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ibel.chamba\Downloads\"/>
    </mc:Choice>
  </mc:AlternateContent>
  <xr:revisionPtr revIDLastSave="0" documentId="8_{990D6AE7-A9DE-4B0C-B4B1-9B99B1F35541}" xr6:coauthVersionLast="47" xr6:coauthVersionMax="47" xr10:uidLastSave="{00000000-0000-0000-0000-000000000000}"/>
  <bookViews>
    <workbookView xWindow="-110" yWindow="-110" windowWidth="19420" windowHeight="10300" xr2:uid="{2226E392-AAE5-41C7-8447-B40C67F641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23" i="1" l="1"/>
  <c r="H722" i="1"/>
  <c r="H721" i="1" s="1"/>
</calcChain>
</file>

<file path=xl/sharedStrings.xml><?xml version="1.0" encoding="utf-8"?>
<sst xmlns="http://schemas.openxmlformats.org/spreadsheetml/2006/main" count="13953" uniqueCount="2529">
  <si>
    <t>1q|ss</t>
  </si>
  <si>
    <t>PROYECTO</t>
  </si>
  <si>
    <t>SITIO</t>
  </si>
  <si>
    <t xml:space="preserve">N. CAM </t>
  </si>
  <si>
    <t>COD_SITIMAS</t>
  </si>
  <si>
    <t>PILOTO</t>
  </si>
  <si>
    <t>CUDRANTE CERO</t>
  </si>
  <si>
    <t>ADMINISTRACION ZONAL</t>
  </si>
  <si>
    <t>SECTOR</t>
  </si>
  <si>
    <t>DIRECCION</t>
  </si>
  <si>
    <t>SUBRED</t>
  </si>
  <si>
    <t>GATEWAY</t>
  </si>
  <si>
    <t>CAMARA</t>
  </si>
  <si>
    <t>MARCA</t>
  </si>
  <si>
    <t>MODELO</t>
  </si>
  <si>
    <t>SERIE</t>
  </si>
  <si>
    <t>PLATAFORMA</t>
  </si>
  <si>
    <t>SITIMAS</t>
  </si>
  <si>
    <t>LUGAR MONITOREO</t>
  </si>
  <si>
    <t>TIPO</t>
  </si>
  <si>
    <t>LATITUD</t>
  </si>
  <si>
    <t>LONGUITUD</t>
  </si>
  <si>
    <t>PERIFONEO</t>
  </si>
  <si>
    <t>EQUIPO ALMACENAMIENTO</t>
  </si>
  <si>
    <t>POSTE</t>
  </si>
  <si>
    <t xml:space="preserve">CANTIDAD </t>
  </si>
  <si>
    <t>USUARIO</t>
  </si>
  <si>
    <t>CLAVE</t>
  </si>
  <si>
    <t>AÑO INSTALACION</t>
  </si>
  <si>
    <t>ESTADO</t>
  </si>
  <si>
    <t>OBSERVACION</t>
  </si>
  <si>
    <t>MAC</t>
  </si>
  <si>
    <t>ANCHO BANDA</t>
  </si>
  <si>
    <t>INCREMENTO AB</t>
  </si>
  <si>
    <t>RECONOCIMIENTO FACIAL FASE 1</t>
  </si>
  <si>
    <t>MS0005</t>
  </si>
  <si>
    <t>MANUELA SAENZ</t>
  </si>
  <si>
    <t>AV. GRAN COLOMBIA Y YAGUACHI</t>
  </si>
  <si>
    <t>172.50.4.32/29</t>
  </si>
  <si>
    <t>172.50.4.33</t>
  </si>
  <si>
    <t>172.50.4.34</t>
  </si>
  <si>
    <t>HIKIVISION</t>
  </si>
  <si>
    <t>DS-2DF8A436IX-AEL</t>
  </si>
  <si>
    <t>HIKCENTRAL</t>
  </si>
  <si>
    <t>CUERPO AGENTES Y SIS ECU 911</t>
  </si>
  <si>
    <t>PTZ</t>
  </si>
  <si>
    <t>-0.213089</t>
  </si>
  <si>
    <t>SI</t>
  </si>
  <si>
    <t>STORAGE1</t>
  </si>
  <si>
    <t>admin</t>
  </si>
  <si>
    <t>Emseguridad1</t>
  </si>
  <si>
    <t>FUNCIONANDO</t>
  </si>
  <si>
    <t>4MB</t>
  </si>
  <si>
    <t>8MB</t>
  </si>
  <si>
    <t>MS0010</t>
  </si>
  <si>
    <t>IQUIQUE Y LUIS SODIRO</t>
  </si>
  <si>
    <t>172.50.4.40/29</t>
  </si>
  <si>
    <t>172.50.4.41</t>
  </si>
  <si>
    <t>172.50.4.42</t>
  </si>
  <si>
    <t>-0.217310</t>
  </si>
  <si>
    <t> -78.498510</t>
  </si>
  <si>
    <t>MS0015</t>
  </si>
  <si>
    <t>ANTONIO ELIZALDE Y VALPARAISO</t>
  </si>
  <si>
    <t>172.50.4.48/29</t>
  </si>
  <si>
    <t>172.50.4.49</t>
  </si>
  <si>
    <t>172.50.4.50</t>
  </si>
  <si>
    <t>DS-2CD7A46G0-IZHS</t>
  </si>
  <si>
    <t>E82790739</t>
  </si>
  <si>
    <t>FIJA</t>
  </si>
  <si>
    <t>-0.217730</t>
  </si>
  <si>
    <t> -78.502380</t>
  </si>
  <si>
    <t>MS0020</t>
  </si>
  <si>
    <t>VALPARAISO Y MANOSALVAS</t>
  </si>
  <si>
    <t>172.50.4.56/29</t>
  </si>
  <si>
    <t>172.50.4.57</t>
  </si>
  <si>
    <t>172.50.4.58</t>
  </si>
  <si>
    <t>E82790775</t>
  </si>
  <si>
    <t>-0.226500</t>
  </si>
  <si>
    <t> -78.504500</t>
  </si>
  <si>
    <t>MS0025</t>
  </si>
  <si>
    <t>VELASCO IBARRA Y AV. PICHINCHA SECTOR EL TRÉBOL PARADA DE LOS MEJÍAS</t>
  </si>
  <si>
    <t>172.50.4.64/29</t>
  </si>
  <si>
    <t>172.50.4.65</t>
  </si>
  <si>
    <t>172.50.4.66</t>
  </si>
  <si>
    <t>-0.232720</t>
  </si>
  <si>
    <t> -78.504770</t>
  </si>
  <si>
    <t>SUBIR ANCHO  DE BANDA</t>
  </si>
  <si>
    <t>16MB</t>
  </si>
  <si>
    <t>MS0835</t>
  </si>
  <si>
    <t>172.50.4.67</t>
  </si>
  <si>
    <t>D68470083</t>
  </si>
  <si>
    <t>MS0035</t>
  </si>
  <si>
    <t>PARADA DEL METRO ENTRE PICHINCHA Y PICHINCHA</t>
  </si>
  <si>
    <t>172.50.4.72/29</t>
  </si>
  <si>
    <t>172.50.4.73</t>
  </si>
  <si>
    <t>172.50.4.74</t>
  </si>
  <si>
    <t>-0.228490</t>
  </si>
  <si>
    <t>12MB</t>
  </si>
  <si>
    <t>24MB</t>
  </si>
  <si>
    <t>MS0040</t>
  </si>
  <si>
    <t>172.50.4.75</t>
  </si>
  <si>
    <t>D68470076</t>
  </si>
  <si>
    <t>MS0045</t>
  </si>
  <si>
    <t>172.50.4.76</t>
  </si>
  <si>
    <t>D68470067</t>
  </si>
  <si>
    <t>MS0050</t>
  </si>
  <si>
    <t>AV. GRAN COLOMBIA Y ANTONIO ELIZALDE</t>
  </si>
  <si>
    <t>172.50.4.80/29</t>
  </si>
  <si>
    <t>172.50.4.81</t>
  </si>
  <si>
    <t>172.50.4.82</t>
  </si>
  <si>
    <t>-0.216050</t>
  </si>
  <si>
    <t> -78.503600</t>
  </si>
  <si>
    <t>AV. GRAN COLOMBIA Y MIGUEL ESPINOZA</t>
  </si>
  <si>
    <t>172.50.4.88/29</t>
  </si>
  <si>
    <t>172.50.4.89</t>
  </si>
  <si>
    <t>172.50.4.90</t>
  </si>
  <si>
    <t>NO</t>
  </si>
  <si>
    <t>-0.216030</t>
  </si>
  <si>
    <t>MS0060</t>
  </si>
  <si>
    <t>6 DE DICIEMBRE Y HERMANOS PAZMIÑO</t>
  </si>
  <si>
    <t>172.50.4.96/29</t>
  </si>
  <si>
    <t>172.50.4.97</t>
  </si>
  <si>
    <t>172.50.4.98</t>
  </si>
  <si>
    <t>-0.213410</t>
  </si>
  <si>
    <t>MS0065</t>
  </si>
  <si>
    <t>10 DE AGOSTO Y ANTONIO ANTE</t>
  </si>
  <si>
    <t>172.50.4.104/29</t>
  </si>
  <si>
    <t>172.50.4.105</t>
  </si>
  <si>
    <t>172.50.4.106</t>
  </si>
  <si>
    <t>-0.214060</t>
  </si>
  <si>
    <t> -78.502970</t>
  </si>
  <si>
    <t xml:space="preserve">NO FUNCIONA </t>
  </si>
  <si>
    <t>MS0070</t>
  </si>
  <si>
    <t>JULIO MATOVELLE Y GARCÍA MORENO</t>
  </si>
  <si>
    <t>172.50.4.112/29</t>
  </si>
  <si>
    <t>172.50.4.113</t>
  </si>
  <si>
    <t>172.50.4.114</t>
  </si>
  <si>
    <t>-0.212450</t>
  </si>
  <si>
    <t> -78.507390</t>
  </si>
  <si>
    <t>MS0075</t>
  </si>
  <si>
    <t>GUAYAQUIL Y FRANCISCO CALDAS</t>
  </si>
  <si>
    <t>172.50.4.120/29</t>
  </si>
  <si>
    <t>172.50.4.121</t>
  </si>
  <si>
    <t>172.50.4.122</t>
  </si>
  <si>
    <t>JOSÉ ANTEPARA Y AV. PICHINCHA</t>
  </si>
  <si>
    <t>172.50.4.128/29</t>
  </si>
  <si>
    <t>172.50.4.129</t>
  </si>
  <si>
    <t>172.50.4.130</t>
  </si>
  <si>
    <t>-0.218190</t>
  </si>
  <si>
    <t>172.50.4.131</t>
  </si>
  <si>
    <t>D68470097</t>
  </si>
  <si>
    <t>ORIENTE Y GUAYAQUIL</t>
  </si>
  <si>
    <t>172.50.4.136/29</t>
  </si>
  <si>
    <t>172.50.4.137</t>
  </si>
  <si>
    <t>172.50.4.138</t>
  </si>
  <si>
    <t>-0.218020</t>
  </si>
  <si>
    <t>8M</t>
  </si>
  <si>
    <t>MS0095</t>
  </si>
  <si>
    <t>ESMERALDAS Y GUAYAQUIL</t>
  </si>
  <si>
    <t>172.50.4.144/29</t>
  </si>
  <si>
    <t>172.50.4.145</t>
  </si>
  <si>
    <t>172.50.4.146</t>
  </si>
  <si>
    <t>-0.218350</t>
  </si>
  <si>
    <t> -78.508250</t>
  </si>
  <si>
    <t>CAMARA PTZ SIN CONEXIÓN</t>
  </si>
  <si>
    <t>MS0815</t>
  </si>
  <si>
    <t>172.50.4.147</t>
  </si>
  <si>
    <t>D68470094</t>
  </si>
  <si>
    <t>MS0105</t>
  </si>
  <si>
    <t>MANABÍ Y FLORES</t>
  </si>
  <si>
    <t>172.50.4.152/29</t>
  </si>
  <si>
    <t>172.50.4.153</t>
  </si>
  <si>
    <t>172.50.4.154</t>
  </si>
  <si>
    <t>-0.219200</t>
  </si>
  <si>
    <t>MEJÍA Y ANTONIO BUSTAMANTE</t>
  </si>
  <si>
    <t>172.50.4.160/29</t>
  </si>
  <si>
    <t>172.50.4.161</t>
  </si>
  <si>
    <t>172.50.4.162</t>
  </si>
  <si>
    <t>-0.220600</t>
  </si>
  <si>
    <t> -78.508830</t>
  </si>
  <si>
    <t>172.50.4.163</t>
  </si>
  <si>
    <t>PICHINCHA Y CHILE</t>
  </si>
  <si>
    <t>172.50.4.168/29</t>
  </si>
  <si>
    <t>172.50.4.169</t>
  </si>
  <si>
    <t>172.50.4.170</t>
  </si>
  <si>
    <t>-0.221780</t>
  </si>
  <si>
    <t>CAMARA PTZ DEFECTUOSA CAMBIAR</t>
  </si>
  <si>
    <t>12 MB</t>
  </si>
  <si>
    <t>MS0140</t>
  </si>
  <si>
    <t>172.50.4.171</t>
  </si>
  <si>
    <t>D68470085</t>
  </si>
  <si>
    <t>172.50.4.172</t>
  </si>
  <si>
    <t>E53511293</t>
  </si>
  <si>
    <t>MS0120</t>
  </si>
  <si>
    <t>CHILE Y AV. PICHINCHA</t>
  </si>
  <si>
    <t>172.50.4.176/29</t>
  </si>
  <si>
    <t>172.50.4.177</t>
  </si>
  <si>
    <t>172.50.4.178</t>
  </si>
  <si>
    <t>-0.222010</t>
  </si>
  <si>
    <t> -78.508130</t>
  </si>
  <si>
    <t>MS0125</t>
  </si>
  <si>
    <t>172.50.4.179</t>
  </si>
  <si>
    <t>D68470080</t>
  </si>
  <si>
    <t>MS0145</t>
  </si>
  <si>
    <t>OLMEDO Y PICHINCHA</t>
  </si>
  <si>
    <t>172.50.4.184/29</t>
  </si>
  <si>
    <t>172.50.4.185</t>
  </si>
  <si>
    <t>172.50.4.186</t>
  </si>
  <si>
    <t>-0.220800</t>
  </si>
  <si>
    <t> -78.507850</t>
  </si>
  <si>
    <t>MS0150</t>
  </si>
  <si>
    <t>DON BOSCO  Y AV. PICHINCHA</t>
  </si>
  <si>
    <t>172.50.4.192/29</t>
  </si>
  <si>
    <t>172.50.4.193</t>
  </si>
  <si>
    <t>172.50.4.194</t>
  </si>
  <si>
    <t>-0.221240</t>
  </si>
  <si>
    <t>MS0155</t>
  </si>
  <si>
    <t>172.50.4.195</t>
  </si>
  <si>
    <t>D68470087</t>
  </si>
  <si>
    <t>MS0170</t>
  </si>
  <si>
    <t>AV. PICHINCHA Y VICENTE LEÓN DIAGONAL PANADERÍA UNIÓN</t>
  </si>
  <si>
    <t>172.50.4.200/29</t>
  </si>
  <si>
    <t>172.50.4.201</t>
  </si>
  <si>
    <t>172.50.4.202</t>
  </si>
  <si>
    <t>-0.224720</t>
  </si>
  <si>
    <t>MS0175</t>
  </si>
  <si>
    <t>MEJÍA Y GARCÍA MORENO</t>
  </si>
  <si>
    <t>172.50.4.208/29</t>
  </si>
  <si>
    <t>172.50.4.209</t>
  </si>
  <si>
    <t>172.50.4.210</t>
  </si>
  <si>
    <t>-0.218950</t>
  </si>
  <si>
    <t> -78.511680</t>
  </si>
  <si>
    <t>MS0180</t>
  </si>
  <si>
    <t>GARCÍA MORENO  Y CHILE</t>
  </si>
  <si>
    <t>172.50.4.216/29</t>
  </si>
  <si>
    <t>172.50.4.217</t>
  </si>
  <si>
    <t>172.50.4.218</t>
  </si>
  <si>
    <t>-0.219559</t>
  </si>
  <si>
    <t>CAMARA CON PROBLEMA MECANICO, NO PERMITE REALIZAR EL MOVIMIENTO EN HORIZONTAL, SE TIENE VIDEO</t>
  </si>
  <si>
    <t>MS0185</t>
  </si>
  <si>
    <t>172.50.4.219</t>
  </si>
  <si>
    <t>D68470099</t>
  </si>
  <si>
    <t>MS0190</t>
  </si>
  <si>
    <t>GARCÍA MORENO Y ESPEJO</t>
  </si>
  <si>
    <t>172.50.4.224/29</t>
  </si>
  <si>
    <t>172.50.4.225</t>
  </si>
  <si>
    <t>172.50.4.226</t>
  </si>
  <si>
    <t>-0.220130</t>
  </si>
  <si>
    <t>MS0195</t>
  </si>
  <si>
    <t>VENEZUELA Y ESPEJO</t>
  </si>
  <si>
    <t>172.50.4.232/29</t>
  </si>
  <si>
    <t>172.50.4.233</t>
  </si>
  <si>
    <t>172.50.4.234</t>
  </si>
  <si>
    <t>-0.220680</t>
  </si>
  <si>
    <t>MS0200</t>
  </si>
  <si>
    <t>VENEZUELA Y CHILE</t>
  </si>
  <si>
    <t>172.50.4.240/29</t>
  </si>
  <si>
    <t>172.50.4.241</t>
  </si>
  <si>
    <t>172.50.4.242</t>
  </si>
  <si>
    <t>-0.220040</t>
  </si>
  <si>
    <t>MS0205</t>
  </si>
  <si>
    <t>172.50.4.243</t>
  </si>
  <si>
    <t>D68470098</t>
  </si>
  <si>
    <t>MS0210</t>
  </si>
  <si>
    <t>GUAYAQUIL Y ESPEJO</t>
  </si>
  <si>
    <t>172.50.4.248/29</t>
  </si>
  <si>
    <t>172.50.4.249</t>
  </si>
  <si>
    <t>172.50.4.250</t>
  </si>
  <si>
    <t>MS0215</t>
  </si>
  <si>
    <t>GUAYAQUIL Y BOLÍVAR</t>
  </si>
  <si>
    <t>172.50.5.0/29</t>
  </si>
  <si>
    <t>172.50.5.1</t>
  </si>
  <si>
    <t>172.50.5.2</t>
  </si>
  <si>
    <t>-0.223160</t>
  </si>
  <si>
    <t>MS0220</t>
  </si>
  <si>
    <t>FLORES Y BOLÍVAR</t>
  </si>
  <si>
    <t>172.50.5.8/29</t>
  </si>
  <si>
    <t>172.50.5.9</t>
  </si>
  <si>
    <t>172.50.5.10</t>
  </si>
  <si>
    <t>-0.223490</t>
  </si>
  <si>
    <t>MS0225</t>
  </si>
  <si>
    <t>ROCAFUERTE Y MONTUFAR</t>
  </si>
  <si>
    <t>172.50.5.16/29</t>
  </si>
  <si>
    <t>172.50.5.17</t>
  </si>
  <si>
    <t>172.50.5.18</t>
  </si>
  <si>
    <t>-0.225120</t>
  </si>
  <si>
    <t> -78.512070</t>
  </si>
  <si>
    <t>172.50.5.19</t>
  </si>
  <si>
    <t>D68470089</t>
  </si>
  <si>
    <t>MS0235</t>
  </si>
  <si>
    <t>ROCAFUERTE Y GUAYAQUIL</t>
  </si>
  <si>
    <t>172.50.5.24/29</t>
  </si>
  <si>
    <t>172.50.5.25</t>
  </si>
  <si>
    <t>172.50.5.26</t>
  </si>
  <si>
    <t>-0.223750</t>
  </si>
  <si>
    <t> -78.513380</t>
  </si>
  <si>
    <t>MS0240</t>
  </si>
  <si>
    <t>172.50.5.27</t>
  </si>
  <si>
    <t>D68470071</t>
  </si>
  <si>
    <t>MS0245</t>
  </si>
  <si>
    <t>24 DE MAYO ENTRE GUAYAQUIL Y VENEZUELA (LA RONDA)</t>
  </si>
  <si>
    <t>172.50.5.32/29</t>
  </si>
  <si>
    <t>172.50.5.33</t>
  </si>
  <si>
    <t>172.50.5.34</t>
  </si>
  <si>
    <t>-0.224660</t>
  </si>
  <si>
    <t> -78.514460</t>
  </si>
  <si>
    <t>VENEZUELA Y 24 DE MAYO</t>
  </si>
  <si>
    <t>172.50.5.40/29</t>
  </si>
  <si>
    <t>172.50.5.41</t>
  </si>
  <si>
    <t>172.50.5.42</t>
  </si>
  <si>
    <t>-0.224290</t>
  </si>
  <si>
    <t> -78.515030</t>
  </si>
  <si>
    <t>MS0350</t>
  </si>
  <si>
    <t>CUENCA Y 24 DE MAYO</t>
  </si>
  <si>
    <t>172.50.5.48/29</t>
  </si>
  <si>
    <t>172.50.5.49</t>
  </si>
  <si>
    <t>172.50.5.50</t>
  </si>
  <si>
    <t>-0.222720</t>
  </si>
  <si>
    <t>MS0260</t>
  </si>
  <si>
    <t>BOLIVAR Y BENALCAZAR</t>
  </si>
  <si>
    <t>172.50.5.56/29</t>
  </si>
  <si>
    <t>172.50.5.57</t>
  </si>
  <si>
    <t>172.50.5.58</t>
  </si>
  <si>
    <t>-0.221320</t>
  </si>
  <si>
    <t>MS0265</t>
  </si>
  <si>
    <t>SUCRE Y BENALCÁZAR</t>
  </si>
  <si>
    <t>172.50.5.64/29</t>
  </si>
  <si>
    <t>172.50.5.65</t>
  </si>
  <si>
    <t>172.50.5.66</t>
  </si>
  <si>
    <t>-0.220550</t>
  </si>
  <si>
    <t> -78.514330</t>
  </si>
  <si>
    <t>MS0270</t>
  </si>
  <si>
    <t>ROCAFUERTE Y IMBABURA</t>
  </si>
  <si>
    <t>172.50.5.72/29</t>
  </si>
  <si>
    <t>172.50.5.73</t>
  </si>
  <si>
    <t>172.50.5.74</t>
  </si>
  <si>
    <t>-0.220780</t>
  </si>
  <si>
    <t>MS0275</t>
  </si>
  <si>
    <t>172.50.5.75</t>
  </si>
  <si>
    <t>D68470073</t>
  </si>
  <si>
    <t>BOLÍVAR Y CHIMBORAZO</t>
  </si>
  <si>
    <t>172.50.5.80/29</t>
  </si>
  <si>
    <t>172.50.5.81</t>
  </si>
  <si>
    <t>172.50.5.82</t>
  </si>
  <si>
    <t>-0.219390</t>
  </si>
  <si>
    <t> -78.517889</t>
  </si>
  <si>
    <t>MS0600</t>
  </si>
  <si>
    <t>MARISCAL SUCRE Y LOJA</t>
  </si>
  <si>
    <t>172.50.5.88/29</t>
  </si>
  <si>
    <t>172.50.5.89</t>
  </si>
  <si>
    <t>172.50.5.90</t>
  </si>
  <si>
    <t>F48854072</t>
  </si>
  <si>
    <t>-0.221106</t>
  </si>
  <si>
    <t>MS0605</t>
  </si>
  <si>
    <t>172.50.5.91</t>
  </si>
  <si>
    <t>D68470078</t>
  </si>
  <si>
    <t>MS0620</t>
  </si>
  <si>
    <t>172.50.5.92</t>
  </si>
  <si>
    <t>D68470069</t>
  </si>
  <si>
    <t>MS0300</t>
  </si>
  <si>
    <t>MARISCAL SUCRE Y 24 DE MAYO INGRESO TÚNEL</t>
  </si>
  <si>
    <t>172.50.5.96/29</t>
  </si>
  <si>
    <t>172.50.5.97</t>
  </si>
  <si>
    <t>172.50.5.98</t>
  </si>
  <si>
    <t> -78.520380</t>
  </si>
  <si>
    <t>MS0305</t>
  </si>
  <si>
    <t>172.50.5.99</t>
  </si>
  <si>
    <t>D68470091</t>
  </si>
  <si>
    <t>MS0310</t>
  </si>
  <si>
    <t>24 DE MAYO Y MARISCAL SUCRE</t>
  </si>
  <si>
    <t>172.50.5.104/29</t>
  </si>
  <si>
    <t>172.50.5.105</t>
  </si>
  <si>
    <t>172.50.5.106</t>
  </si>
  <si>
    <t>-0.218750</t>
  </si>
  <si>
    <t> -78.521150</t>
  </si>
  <si>
    <t>MS0315</t>
  </si>
  <si>
    <t>172.50.5.107</t>
  </si>
  <si>
    <t>D68470075</t>
  </si>
  <si>
    <t>MS0320</t>
  </si>
  <si>
    <t>CUMANDÁ Y 24 DE MAYO</t>
  </si>
  <si>
    <t>172.50.5.112/29</t>
  </si>
  <si>
    <t>172.50.5.113</t>
  </si>
  <si>
    <t>172.50.5.114</t>
  </si>
  <si>
    <t>-0.218370</t>
  </si>
  <si>
    <t> -78.521540</t>
  </si>
  <si>
    <t>MS0325</t>
  </si>
  <si>
    <t>172.50.5.115</t>
  </si>
  <si>
    <t>D68470077</t>
  </si>
  <si>
    <t>MS0330</t>
  </si>
  <si>
    <t>172.50.5.116</t>
  </si>
  <si>
    <t>D68470084</t>
  </si>
  <si>
    <t>MS0335</t>
  </si>
  <si>
    <t>LOJA Y CUMANDÁ</t>
  </si>
  <si>
    <t>172.50.5.120/29</t>
  </si>
  <si>
    <t>172.50.5.121</t>
  </si>
  <si>
    <t>172.50.5.122</t>
  </si>
  <si>
    <t>-0.220380</t>
  </si>
  <si>
    <t> -78.522330</t>
  </si>
  <si>
    <t>MS0340</t>
  </si>
  <si>
    <t>172.50.5.123</t>
  </si>
  <si>
    <t>D68470072</t>
  </si>
  <si>
    <t>MS0345</t>
  </si>
  <si>
    <t>170.50.5.124</t>
  </si>
  <si>
    <t>D68470090</t>
  </si>
  <si>
    <t>LOJA Y TÚPAC YUPANQUI</t>
  </si>
  <si>
    <t>172.50.5.128/29</t>
  </si>
  <si>
    <t>172.50.5.129</t>
  </si>
  <si>
    <t>172.50.5.130</t>
  </si>
  <si>
    <t>-0.220650</t>
  </si>
  <si>
    <t> -78.521680</t>
  </si>
  <si>
    <t>172.50.5.131</t>
  </si>
  <si>
    <t>172.50.5.132</t>
  </si>
  <si>
    <t>MS0365</t>
  </si>
  <si>
    <t>MARISCAL SUCRE Y MEJÍA</t>
  </si>
  <si>
    <t>172.50.5.136/29</t>
  </si>
  <si>
    <t>172.50.5.137</t>
  </si>
  <si>
    <t>172.50.5.138</t>
  </si>
  <si>
    <t>-0.214260</t>
  </si>
  <si>
    <t> -78.516490</t>
  </si>
  <si>
    <t>MS0370</t>
  </si>
  <si>
    <t>172.50.5.139</t>
  </si>
  <si>
    <t>D68470092</t>
  </si>
  <si>
    <t>MEJÍA Y JOSÉ LÓPEZ</t>
  </si>
  <si>
    <t>172.50.5.144/29</t>
  </si>
  <si>
    <t>172.50.5.145</t>
  </si>
  <si>
    <t>172.50.5.146</t>
  </si>
  <si>
    <t>-0.215260</t>
  </si>
  <si>
    <t>-78.515840</t>
  </si>
  <si>
    <t>MS0380</t>
  </si>
  <si>
    <t>172.50.5.147</t>
  </si>
  <si>
    <t>D68470095</t>
  </si>
  <si>
    <t>MS0385</t>
  </si>
  <si>
    <t>MEJÍA Y GENERAL MIRES</t>
  </si>
  <si>
    <t>172.50.5.152/29</t>
  </si>
  <si>
    <t>172.50.5.153</t>
  </si>
  <si>
    <t>172.50.5.154</t>
  </si>
  <si>
    <t>-0.216080</t>
  </si>
  <si>
    <t> -78.514850</t>
  </si>
  <si>
    <t>MS0390</t>
  </si>
  <si>
    <t>172.50.5.155</t>
  </si>
  <si>
    <t>D68470088</t>
  </si>
  <si>
    <t>MS0395</t>
  </si>
  <si>
    <t>MEJÍA Y IMBABURA</t>
  </si>
  <si>
    <t>172.50.5.160/29</t>
  </si>
  <si>
    <t>172.50.5.161</t>
  </si>
  <si>
    <t>172.50.5.162</t>
  </si>
  <si>
    <t>-0.216790</t>
  </si>
  <si>
    <t>-78.514580</t>
  </si>
  <si>
    <t>MS0400</t>
  </si>
  <si>
    <t>172.50.5.163</t>
  </si>
  <si>
    <t>D68470074</t>
  </si>
  <si>
    <t>RECONOCIMIENTO FACIAL FASE 2</t>
  </si>
  <si>
    <t>MS0405</t>
  </si>
  <si>
    <t>PANECILLO 4</t>
  </si>
  <si>
    <t>PANECILLO (GARCÍA MORENO Y AMBATO)</t>
  </si>
  <si>
    <t>172.50.5.168/29</t>
  </si>
  <si>
    <t>172.50.5.169/29</t>
  </si>
  <si>
    <t>172.50.5.170</t>
  </si>
  <si>
    <t xml:space="preserve">DS-2CD7A46G0-IZHS  </t>
  </si>
  <si>
    <t>-0.224691</t>
  </si>
  <si>
    <t>-78.516666</t>
  </si>
  <si>
    <t>STORAGE 2</t>
  </si>
  <si>
    <t>MS0410</t>
  </si>
  <si>
    <t>172.50.5.171</t>
  </si>
  <si>
    <t>MS0570</t>
  </si>
  <si>
    <t>PANECILLO 5</t>
  </si>
  <si>
    <t>PANECILLO(AGOYAN Y FRANCISCO QUIJANO)</t>
  </si>
  <si>
    <t>172.50.5.176/29</t>
  </si>
  <si>
    <t>172.50.5.177/29</t>
  </si>
  <si>
    <t>172.50.5.178</t>
  </si>
  <si>
    <t>-0.228333</t>
  </si>
  <si>
    <t>-78.516111</t>
  </si>
  <si>
    <t>MS0575</t>
  </si>
  <si>
    <t>172.50.5.179</t>
  </si>
  <si>
    <t>PANECILLO 1</t>
  </si>
  <si>
    <t>PANECILLO (MELCHOR AYMERICH CANCHAS)</t>
  </si>
  <si>
    <t>172.50.5.184/29</t>
  </si>
  <si>
    <t>172.50.5.185/29</t>
  </si>
  <si>
    <t>172.50.5.186</t>
  </si>
  <si>
    <t>DS-2DF8A436IX-AEL  C</t>
  </si>
  <si>
    <t>-0.226111</t>
  </si>
  <si>
    <t>-78.517777</t>
  </si>
  <si>
    <t>MS0430</t>
  </si>
  <si>
    <t>PANECILLO (ESCALINATA PARTE SUPERIOR)</t>
  </si>
  <si>
    <t>172.50.5.192/29</t>
  </si>
  <si>
    <t>172.50.5.193/29</t>
  </si>
  <si>
    <t>172.50.5.194</t>
  </si>
  <si>
    <t>-0.228055</t>
  </si>
  <si>
    <t>-78.5175</t>
  </si>
  <si>
    <t>MS0435</t>
  </si>
  <si>
    <t>172.50.5.195</t>
  </si>
  <si>
    <t>MS0440</t>
  </si>
  <si>
    <t>PANECILLO 2</t>
  </si>
  <si>
    <t>PANECILLO (PARTE DE  POSTERIOR DEL RESTAURANTE PIMS)</t>
  </si>
  <si>
    <t>172.50.5.200/29</t>
  </si>
  <si>
    <t>172.50.5.201/29</t>
  </si>
  <si>
    <t>172.50.5.202</t>
  </si>
  <si>
    <t>-78.500833</t>
  </si>
  <si>
    <t>5MB</t>
  </si>
  <si>
    <t>MS0445</t>
  </si>
  <si>
    <t>172.50.5.203</t>
  </si>
  <si>
    <t>MS0800</t>
  </si>
  <si>
    <t>PANECILLO 5 </t>
  </si>
  <si>
    <t>PANECILLO (PATIO DE COMIDAS)</t>
  </si>
  <si>
    <t>172.50.5.208/29</t>
  </si>
  <si>
    <t>172.50.5.209/29</t>
  </si>
  <si>
    <t>172.50.5.210</t>
  </si>
  <si>
    <t>-0.229722</t>
  </si>
  <si>
    <t>-78.518055</t>
  </si>
  <si>
    <t>MS0805</t>
  </si>
  <si>
    <t>172.50.5.211</t>
  </si>
  <si>
    <t>PANECILLO (PARTE ALTA DE LA VIRGEN)</t>
  </si>
  <si>
    <t>172.50.5.216/29</t>
  </si>
  <si>
    <t>172.50.5.217/29</t>
  </si>
  <si>
    <t>172.50.5.218</t>
  </si>
  <si>
    <t>DS-2DF8A436IX-AEL              C</t>
  </si>
  <si>
    <t>-0.228611</t>
  </si>
  <si>
    <t>-78.518611</t>
  </si>
  <si>
    <t>MS0465</t>
  </si>
  <si>
    <t>172.50.5.219</t>
  </si>
  <si>
    <t>SAN ROQUE</t>
  </si>
  <si>
    <t>ABDÓN CALDERÓN Y CUMANDÁ</t>
  </si>
  <si>
    <t>172.50.5.224/29</t>
  </si>
  <si>
    <t>172.50.5.225/29</t>
  </si>
  <si>
    <t>172.50.5.226</t>
  </si>
  <si>
    <t>-0.221111</t>
  </si>
  <si>
    <t>-78.522777</t>
  </si>
  <si>
    <t>CAMARA PTZ, DAÑO MECANI MO HAY MOVIMINENTO</t>
  </si>
  <si>
    <t>172.50.5.227</t>
  </si>
  <si>
    <t>MS0825</t>
  </si>
  <si>
    <t>EL TREBOL</t>
  </si>
  <si>
    <t>AV. PICHINCHA Y VELASCO IBARRA</t>
  </si>
  <si>
    <t>172.50.5.232/291</t>
  </si>
  <si>
    <t>172.50.5.233/29</t>
  </si>
  <si>
    <t>172.50.5.234</t>
  </si>
  <si>
    <t>-0.231944</t>
  </si>
  <si>
    <t>-78.503611</t>
  </si>
  <si>
    <t>MS0820</t>
  </si>
  <si>
    <t>172.50.5.235</t>
  </si>
  <si>
    <t>MS0830</t>
  </si>
  <si>
    <t>172.50.5.236</t>
  </si>
  <si>
    <t>LM0005</t>
  </si>
  <si>
    <t>MARISCAL</t>
  </si>
  <si>
    <t>MARISCAL 3</t>
  </si>
  <si>
    <t>CALLE REINA VICTORIA Y CALLE CALAMA, ESQUINA</t>
  </si>
  <si>
    <t>172.50.5.240/29</t>
  </si>
  <si>
    <t>172.50.5.241/29</t>
  </si>
  <si>
    <t>172.50.5.242</t>
  </si>
  <si>
    <t>-0.2025</t>
  </si>
  <si>
    <t>-78.490555</t>
  </si>
  <si>
    <t>LM0010</t>
  </si>
  <si>
    <t>172.50.5.243</t>
  </si>
  <si>
    <t>LM0015</t>
  </si>
  <si>
    <t>172.50.5.244</t>
  </si>
  <si>
    <t>LM0020</t>
  </si>
  <si>
    <t>CALLE CALAMA Y JUAN LEÓN MERA CON VISTA A LA CALLE CALAMA</t>
  </si>
  <si>
    <t>172.50.5.248/29</t>
  </si>
  <si>
    <t>172.50.5.249/29</t>
  </si>
  <si>
    <t>172.50.5.250</t>
  </si>
  <si>
    <t>-0.201666</t>
  </si>
  <si>
    <t>-78.490833</t>
  </si>
  <si>
    <t>LM0025</t>
  </si>
  <si>
    <t>172.50.5.251</t>
  </si>
  <si>
    <t>LM0030</t>
  </si>
  <si>
    <t>172.50.5.252</t>
  </si>
  <si>
    <t>CALLE CALAMA CON VISTA A LA AVENIDA AMAZONAS</t>
  </si>
  <si>
    <t>172.50.6.0/29</t>
  </si>
  <si>
    <t>172.50.6.1/29</t>
  </si>
  <si>
    <t>172.50.6.2</t>
  </si>
  <si>
    <t>-0.20111111</t>
  </si>
  <si>
    <t>-78.491388</t>
  </si>
  <si>
    <t>172.50.6.3</t>
  </si>
  <si>
    <t>172.50.6.4</t>
  </si>
  <si>
    <t>LM0050</t>
  </si>
  <si>
    <t>CALLE JOAQUÍN PINTO Y CALLE JUAN LEÓN MERA, ESQUINA</t>
  </si>
  <si>
    <t>172.50.6.8/29</t>
  </si>
  <si>
    <t>172.50.6.9/29</t>
  </si>
  <si>
    <t>172.50.6.10</t>
  </si>
  <si>
    <t>-0.202222</t>
  </si>
  <si>
    <t>-78.491944</t>
  </si>
  <si>
    <t>LM0055</t>
  </si>
  <si>
    <t>172.50.6.11</t>
  </si>
  <si>
    <t xml:space="preserve">CALLE JOAQUÍN PINTO Y REINA VICTORIA, ESQUINA </t>
  </si>
  <si>
    <t>172.50.6.16/29</t>
  </si>
  <si>
    <t>172.50.6.17/29</t>
  </si>
  <si>
    <t>172.50.6.18</t>
  </si>
  <si>
    <t>-0.203055</t>
  </si>
  <si>
    <t>172.50.6.19</t>
  </si>
  <si>
    <t>172.50.6.20</t>
  </si>
  <si>
    <t>LM0075</t>
  </si>
  <si>
    <t>CALLE JUAN LEÓN MERA Y CALLE WILSON CON VISTA HACIA LA 6 DE DICIEMBRE</t>
  </si>
  <si>
    <t>172.50.6.24/29</t>
  </si>
  <si>
    <t>172.50.6.25/29</t>
  </si>
  <si>
    <t>172.50.6.26</t>
  </si>
  <si>
    <t>-0.202745</t>
  </si>
  <si>
    <t>-78.492473</t>
  </si>
  <si>
    <t>LM0080</t>
  </si>
  <si>
    <t>172.50.6.27</t>
  </si>
  <si>
    <t>-0,202745</t>
  </si>
  <si>
    <t>LM0085</t>
  </si>
  <si>
    <t>172.50.6.28</t>
  </si>
  <si>
    <t>LM0090</t>
  </si>
  <si>
    <t>CALLE CALAMA Y DIEGO DE ALMAGRO, ESQUINA</t>
  </si>
  <si>
    <t>172.50.6.32/29</t>
  </si>
  <si>
    <t>172.50.6.33/29</t>
  </si>
  <si>
    <t>172.50.6.34</t>
  </si>
  <si>
    <t>-0.203333</t>
  </si>
  <si>
    <t>-78.489992</t>
  </si>
  <si>
    <t>LM0095</t>
  </si>
  <si>
    <t>172.50.6.35</t>
  </si>
  <si>
    <t>LM0100</t>
  </si>
  <si>
    <t>172.50.6.36</t>
  </si>
  <si>
    <t>LM0110</t>
  </si>
  <si>
    <t>AV. COLÓN Y AV. AMAZONAS, ESQUINA</t>
  </si>
  <si>
    <t>172.50.6.40/29</t>
  </si>
  <si>
    <t>172.50.6.41/29</t>
  </si>
  <si>
    <t>172.50.6.42</t>
  </si>
  <si>
    <t>-0.200277</t>
  </si>
  <si>
    <t>LM0105</t>
  </si>
  <si>
    <t>172.50.6.43</t>
  </si>
  <si>
    <t>LM0115</t>
  </si>
  <si>
    <t>CALLE FOCH Y CALLE REINA VICTORIA, PARA MONITOREO DE PLAZA FOCH</t>
  </si>
  <si>
    <t>172.50.6.48/29</t>
  </si>
  <si>
    <t>172.50.6.49/29</t>
  </si>
  <si>
    <t>172.50.6.50</t>
  </si>
  <si>
    <t>-0.202777</t>
  </si>
  <si>
    <t>20 MB</t>
  </si>
  <si>
    <t>40 MB</t>
  </si>
  <si>
    <t>LM0120</t>
  </si>
  <si>
    <t>172.50.6.51</t>
  </si>
  <si>
    <t>REVISAR CAMARA FIJA DESCONECTADA</t>
  </si>
  <si>
    <t>172.50.6.52</t>
  </si>
  <si>
    <t>LM0130</t>
  </si>
  <si>
    <t>172.50.6.53</t>
  </si>
  <si>
    <t>LM0135</t>
  </si>
  <si>
    <t>172.50.6.54</t>
  </si>
  <si>
    <t>LM0140</t>
  </si>
  <si>
    <t>AV. AMAZONAS Y FOCH</t>
  </si>
  <si>
    <t>172.50.6.56/29</t>
  </si>
  <si>
    <t>172.50.6.57/29</t>
  </si>
  <si>
    <t>172.50.6.58</t>
  </si>
  <si>
    <t>-0.201388</t>
  </si>
  <si>
    <t>-78,491944</t>
  </si>
  <si>
    <t>LM0145</t>
  </si>
  <si>
    <t>172.50.6.59</t>
  </si>
  <si>
    <t>LM0150</t>
  </si>
  <si>
    <t>172.50.6.60</t>
  </si>
  <si>
    <t>BAHÍA DE TAXIS EN LA CALLE FOCH, ENTRE DIEGO DE ALMAGRO Y 6 DE DICIEMBRE</t>
  </si>
  <si>
    <t>172.50.6.64/29</t>
  </si>
  <si>
    <t>172.50.6.65/29</t>
  </si>
  <si>
    <t>172.50.6.66</t>
  </si>
  <si>
    <t>-0.203611</t>
  </si>
  <si>
    <t>-78.490277</t>
  </si>
  <si>
    <t>LM0160</t>
  </si>
  <si>
    <t>172.50.6.67</t>
  </si>
  <si>
    <t>REVISAR CAMARA NO HAY VIDEO</t>
  </si>
  <si>
    <t>LM0165</t>
  </si>
  <si>
    <t>172.50.6.68</t>
  </si>
  <si>
    <t>LM0170</t>
  </si>
  <si>
    <t>BAHÍA DE TAXIS EN LA AV. VEINTIMILLA ENTRE REINA VICTORIA Y JUAN LEÓN MERA</t>
  </si>
  <si>
    <t>172.50.6.72/29</t>
  </si>
  <si>
    <t>172.50.6.73/29</t>
  </si>
  <si>
    <t>172.50.6.74</t>
  </si>
  <si>
    <t>-0.203888</t>
  </si>
  <si>
    <t>-78.49277</t>
  </si>
  <si>
    <t>LM0175</t>
  </si>
  <si>
    <t>172.50.6.75</t>
  </si>
  <si>
    <t>LM0180</t>
  </si>
  <si>
    <t>172.50.6.76</t>
  </si>
  <si>
    <t>STORAGE 1</t>
  </si>
  <si>
    <t>LM0185</t>
  </si>
  <si>
    <t>BAHÍA DE TAXIS EN LA CALLE WILSON, ENTRE DIEGO DE ALMAGRO Y 6 DE DICIEMBRE</t>
  </si>
  <si>
    <t>172.50.6.80/29</t>
  </si>
  <si>
    <t>172.50.6.81/29</t>
  </si>
  <si>
    <t>172.50.6.82</t>
  </si>
  <si>
    <t>-78.491111</t>
  </si>
  <si>
    <t>LM0190</t>
  </si>
  <si>
    <t>172.50.6.83</t>
  </si>
  <si>
    <t>MOVER LA CAMARA, ESTA AL PISO</t>
  </si>
  <si>
    <t>LM0195</t>
  </si>
  <si>
    <t>172.50.6.84</t>
  </si>
  <si>
    <t>CALLE FOCH CON VISTA A LA AVENIDA 6 DE DICIEMBRE, CORREDOR SEGURO</t>
  </si>
  <si>
    <t>172.50.6.88/29</t>
  </si>
  <si>
    <t>172.50.6.89/29</t>
  </si>
  <si>
    <t>172.50.6.90</t>
  </si>
  <si>
    <t>-0.204166</t>
  </si>
  <si>
    <t>-78.489722</t>
  </si>
  <si>
    <t>LM0205</t>
  </si>
  <si>
    <t>172.50.6.91</t>
  </si>
  <si>
    <t>LM0210</t>
  </si>
  <si>
    <t>CALLE DIEGO DE ALMAGRO Y LIZARDO GARCÍA, ESQUINA</t>
  </si>
  <si>
    <t>172.50.6.96/29</t>
  </si>
  <si>
    <t>172.50.6.97/29</t>
  </si>
  <si>
    <t>172.50.6.98</t>
  </si>
  <si>
    <t>-78.489444</t>
  </si>
  <si>
    <t>LM0215</t>
  </si>
  <si>
    <t>172.50.6.99</t>
  </si>
  <si>
    <t>LM0220</t>
  </si>
  <si>
    <t>CALLE JUAN LEÓN MERA Y BAQUEDANO, CORREDOR SEGURO</t>
  </si>
  <si>
    <t>172.50.6.104/29</t>
  </si>
  <si>
    <t>172.50.6.105/29</t>
  </si>
  <si>
    <t>172.50.6.106</t>
  </si>
  <si>
    <t>-78.493055</t>
  </si>
  <si>
    <t>LM0225</t>
  </si>
  <si>
    <t>172.50.6.107</t>
  </si>
  <si>
    <t>LM0230</t>
  </si>
  <si>
    <t>172.50.6.108</t>
  </si>
  <si>
    <t>LM0235</t>
  </si>
  <si>
    <t>CALLE FOCH Y CALLE JUAN LEÓN MERA CON VISTA A LA CALLE REINA VICTORIA</t>
  </si>
  <si>
    <t>172.50.6.112/29</t>
  </si>
  <si>
    <t>172.50.6.113/29</t>
  </si>
  <si>
    <t>172.50.6.114</t>
  </si>
  <si>
    <t>-0.201944</t>
  </si>
  <si>
    <t>LM0240</t>
  </si>
  <si>
    <t>172.50.6.115</t>
  </si>
  <si>
    <t>EE0005</t>
  </si>
  <si>
    <t>EUGENIO ESPEJO</t>
  </si>
  <si>
    <t>COCOTOG</t>
  </si>
  <si>
    <t>CALLE GARCIA MORENO CERCA DE LA UNIDAD EDUCATIVA JACINTO COLLAHUAZO</t>
  </si>
  <si>
    <t>172.50.6.120/29</t>
  </si>
  <si>
    <t>172.50.6.121/29</t>
  </si>
  <si>
    <t>172.50.6.122</t>
  </si>
  <si>
    <t>-0.138611</t>
  </si>
  <si>
    <t>-78.425833</t>
  </si>
  <si>
    <t>EE0010</t>
  </si>
  <si>
    <t>172.50.6.123</t>
  </si>
  <si>
    <t>EE0015</t>
  </si>
  <si>
    <t>MIRAFLORES</t>
  </si>
  <si>
    <t>AV. UNIVERSITARIA Y NICARAGUA</t>
  </si>
  <si>
    <t>172.50.6.128/29</t>
  </si>
  <si>
    <t>172.50.6.129/29</t>
  </si>
  <si>
    <t>172.50.6.130</t>
  </si>
  <si>
    <t>-0.205833</t>
  </si>
  <si>
    <t>-78.508888</t>
  </si>
  <si>
    <t>EE0020</t>
  </si>
  <si>
    <t>172.50.6.131</t>
  </si>
  <si>
    <t>EE0025</t>
  </si>
  <si>
    <t>172.50.6.132</t>
  </si>
  <si>
    <t>EE0030</t>
  </si>
  <si>
    <t>EL BOSQUE</t>
  </si>
  <si>
    <t>ALONSO TORRES Y AV. DEL PARQUE </t>
  </si>
  <si>
    <t>172.50.6.136/29</t>
  </si>
  <si>
    <t>172.50.6.137/29</t>
  </si>
  <si>
    <t>172.50.6.138</t>
  </si>
  <si>
    <t>-0.160284</t>
  </si>
  <si>
    <t>-78.496666</t>
  </si>
  <si>
    <t>EE0035</t>
  </si>
  <si>
    <t>AV. ANTONIO JOSE DE  SUCRE Y FLAVIO ALFARO</t>
  </si>
  <si>
    <t>172.50.6.144/29</t>
  </si>
  <si>
    <t>172.50.6.145/29</t>
  </si>
  <si>
    <t>172.50.6.146</t>
  </si>
  <si>
    <t>-0.123611</t>
  </si>
  <si>
    <t>-78.503055</t>
  </si>
  <si>
    <t>EE0040</t>
  </si>
  <si>
    <t>172.50.6.147</t>
  </si>
  <si>
    <t>EE0045</t>
  </si>
  <si>
    <t>AV. MACHALA Y EMPERADOR CARLOS V</t>
  </si>
  <si>
    <t>172.50.6.152/29</t>
  </si>
  <si>
    <t>172.50.6.153/29</t>
  </si>
  <si>
    <t>172.50.6.154</t>
  </si>
  <si>
    <t>-0.136388</t>
  </si>
  <si>
    <t>-78.496944</t>
  </si>
  <si>
    <t>EE0050</t>
  </si>
  <si>
    <t>AV. 6 DE DICIEMBRE Y RIO COCA </t>
  </si>
  <si>
    <t>172.50.6.160/29</t>
  </si>
  <si>
    <t>172.50.6.161/29</t>
  </si>
  <si>
    <t>172.50.6.162</t>
  </si>
  <si>
    <t>-0.163465</t>
  </si>
  <si>
    <t>-78.475063</t>
  </si>
  <si>
    <t>EE0055</t>
  </si>
  <si>
    <t>172.50.6.163</t>
  </si>
  <si>
    <t>EE0060</t>
  </si>
  <si>
    <t>ISLA MARCHENA Y JOEL POLANCO</t>
  </si>
  <si>
    <t>172.50.6.168/29</t>
  </si>
  <si>
    <t>172.50.6.169/29</t>
  </si>
  <si>
    <t>172.50.6.170</t>
  </si>
  <si>
    <t>-0.164722</t>
  </si>
  <si>
    <t>-78.471666</t>
  </si>
  <si>
    <t>CL0005</t>
  </si>
  <si>
    <t>CALDERON</t>
  </si>
  <si>
    <t>SIERRA HERMOSA</t>
  </si>
  <si>
    <t>CARLOS MANTILLA Y DE LOS GERANIOS</t>
  </si>
  <si>
    <t>172.50.6.176/29</t>
  </si>
  <si>
    <t>172.50.6.177/29</t>
  </si>
  <si>
    <t>172.50.6.178</t>
  </si>
  <si>
    <t>-0.084166</t>
  </si>
  <si>
    <t>-78.436111</t>
  </si>
  <si>
    <t>SAN JOSÉ ALTO</t>
  </si>
  <si>
    <t>EFRAIN ARMAS Y VIRGEN DE MONSERRATH</t>
  </si>
  <si>
    <t>172.50.6.184/29</t>
  </si>
  <si>
    <t>172.50.6.185/29</t>
  </si>
  <si>
    <t>172.50.6.186</t>
  </si>
  <si>
    <t>-0.082777</t>
  </si>
  <si>
    <t>SUSPENDER ENLACE POR DAÑO EN CÁMARA DE VIDEO</t>
  </si>
  <si>
    <t>CL0015</t>
  </si>
  <si>
    <t>ZABALA</t>
  </si>
  <si>
    <t>GEOVANNI CALLES Y ARRIEROS</t>
  </si>
  <si>
    <t>172.50.6.192/29</t>
  </si>
  <si>
    <t>172.50.6.193/29</t>
  </si>
  <si>
    <t>172.50.6.194</t>
  </si>
  <si>
    <t>-0.079722</t>
  </si>
  <si>
    <t>-78.413611</t>
  </si>
  <si>
    <t>CL0020</t>
  </si>
  <si>
    <t>172.50.6.195</t>
  </si>
  <si>
    <t>CL0025</t>
  </si>
  <si>
    <t>CORAZON DE JESUS</t>
  </si>
  <si>
    <t>PANAMERICANA NORTE Y LUIS VACARI</t>
  </si>
  <si>
    <t>172.50.6.200/29</t>
  </si>
  <si>
    <t>172.50.6.201/29</t>
  </si>
  <si>
    <t>172.50.6.202</t>
  </si>
  <si>
    <t>-0.108611</t>
  </si>
  <si>
    <t>-78.455555</t>
  </si>
  <si>
    <t>CL0030</t>
  </si>
  <si>
    <t>172.50.6.203</t>
  </si>
  <si>
    <t>CL0035</t>
  </si>
  <si>
    <t>172.50.6.204</t>
  </si>
  <si>
    <t>TOLA</t>
  </si>
  <si>
    <t> FRANCISCO ALBORNOZ Y AMELIA URIGUEN</t>
  </si>
  <si>
    <t>172.50.6.208/29</t>
  </si>
  <si>
    <t>172.50.6.209/29</t>
  </si>
  <si>
    <t>172.50.6.210</t>
  </si>
  <si>
    <t>-0.080555</t>
  </si>
  <si>
    <t>-78.418055</t>
  </si>
  <si>
    <t>COLLAS</t>
  </si>
  <si>
    <t>GEOVANNY CALLES Y EFRAIN ARMAS</t>
  </si>
  <si>
    <t>172.50.6.216/29</t>
  </si>
  <si>
    <t>172.50.6.217/29</t>
  </si>
  <si>
    <t>172.50.6.218</t>
  </si>
  <si>
    <t>-0.086388</t>
  </si>
  <si>
    <t>-78.4230555</t>
  </si>
  <si>
    <t>172.50.6.219</t>
  </si>
  <si>
    <t>CL0055</t>
  </si>
  <si>
    <t>SAN JOSÉ DE TERÁN</t>
  </si>
  <si>
    <t>9 DE AGOSTO Y CARÁN</t>
  </si>
  <si>
    <t>172.50.6.224/29</t>
  </si>
  <si>
    <t>172.50.6.225/29</t>
  </si>
  <si>
    <t>172.50.6.226</t>
  </si>
  <si>
    <t>-0.098333</t>
  </si>
  <si>
    <t>-78.421111</t>
  </si>
  <si>
    <t>CL0060</t>
  </si>
  <si>
    <t>172.50.6.227</t>
  </si>
  <si>
    <t>CL0065</t>
  </si>
  <si>
    <t>PAREDES</t>
  </si>
  <si>
    <t>INDEPENDENCIA JUNTO AL MERCADO DE LA PAMPA</t>
  </si>
  <si>
    <t>172.50.6.232/29</t>
  </si>
  <si>
    <t>172.50.6.233/29</t>
  </si>
  <si>
    <t>172.50.6.234</t>
  </si>
  <si>
    <t>-0.098611</t>
  </si>
  <si>
    <t>-78.424166</t>
  </si>
  <si>
    <t>CL0070</t>
  </si>
  <si>
    <t>172.50.6.235</t>
  </si>
  <si>
    <t>CL0075</t>
  </si>
  <si>
    <t>172.50.6.236</t>
  </si>
  <si>
    <t>CL0080</t>
  </si>
  <si>
    <t>BARRIO CENTRAL</t>
  </si>
  <si>
    <t>CALLE 9 DE AGOSTO Y DUCHICELA</t>
  </si>
  <si>
    <t>172.50.6.240/29</t>
  </si>
  <si>
    <t>172.50.6.241/29</t>
  </si>
  <si>
    <t>172.50.6.242</t>
  </si>
  <si>
    <t>-0.102777</t>
  </si>
  <si>
    <t>-78.425555</t>
  </si>
  <si>
    <t>CL0085</t>
  </si>
  <si>
    <t>172.50.6.243</t>
  </si>
  <si>
    <t>CL0009</t>
  </si>
  <si>
    <t>CANDELARIA</t>
  </si>
  <si>
    <t>GARCÍA MORENO Y CLEMENTE PULUPA</t>
  </si>
  <si>
    <t>172.50.6.248/29</t>
  </si>
  <si>
    <t>172.50.6.249/29</t>
  </si>
  <si>
    <t>172.50.6.250</t>
  </si>
  <si>
    <t>-0.126666</t>
  </si>
  <si>
    <t>-78.416111</t>
  </si>
  <si>
    <t>QT0005</t>
  </si>
  <si>
    <t>QUITUMBE</t>
  </si>
  <si>
    <t>LA ECUATORIANA</t>
  </si>
  <si>
    <t>MARISCAL SUCRE Y HUYANAY ÑAN</t>
  </si>
  <si>
    <t>172.50.7.0/29</t>
  </si>
  <si>
    <t>172.50.7.1/29</t>
  </si>
  <si>
    <t>172.50.7.2</t>
  </si>
  <si>
    <t>-0.299166</t>
  </si>
  <si>
    <t>-78.558333</t>
  </si>
  <si>
    <t>QT0010</t>
  </si>
  <si>
    <t>HUAYRALLACTA</t>
  </si>
  <si>
    <t>CONDOR ÑAN Y PUMAPUNGO</t>
  </si>
  <si>
    <t>172.50.7.8/29</t>
  </si>
  <si>
    <t>172.50.7.9/29</t>
  </si>
  <si>
    <t>172.50.7.10</t>
  </si>
  <si>
    <t>-0.2952777</t>
  </si>
  <si>
    <t>-78.554999</t>
  </si>
  <si>
    <t>172.50.7.11</t>
  </si>
  <si>
    <t>QT0020</t>
  </si>
  <si>
    <t>CHILLOGALLO</t>
  </si>
  <si>
    <t>MANUEL CORONADO Y MARISCAL SUCRE</t>
  </si>
  <si>
    <t>172.50.7.16/29</t>
  </si>
  <si>
    <t>172.50.7.17/29</t>
  </si>
  <si>
    <t>172.50.7.18</t>
  </si>
  <si>
    <t>-0.278888</t>
  </si>
  <si>
    <t>-78.552777</t>
  </si>
  <si>
    <t>QT0025</t>
  </si>
  <si>
    <t>172.50.7.19</t>
  </si>
  <si>
    <t>QT0030</t>
  </si>
  <si>
    <t>172.50.7.20</t>
  </si>
  <si>
    <t>PACARILLACTA</t>
  </si>
  <si>
    <t>PEDRO VICENTE MALDONADO Y CONDOR ÑAN (PARADA DEL ECOVIA CAPULÍ)</t>
  </si>
  <si>
    <t>172.50.7.24/29</t>
  </si>
  <si>
    <t>172.50.7.25/29</t>
  </si>
  <si>
    <t>172.50.7.26</t>
  </si>
  <si>
    <t>-0.299722</t>
  </si>
  <si>
    <t>-78.542222</t>
  </si>
  <si>
    <t>SUPENDER ENLACE / DESMONTADA LA CAMARA POR CHOQUE CONTRA EL POSTE, POR REPORTAR A LA ASEGURADORA</t>
  </si>
  <si>
    <t>172.50.7.27</t>
  </si>
  <si>
    <t>SUSPENDER ENLACE / DESMONTADA LA CAMARA POR CHOQUE CONTRA EL POSTE, POR REPORTAR A LA ASEGURADORA</t>
  </si>
  <si>
    <t>172.50.7.28</t>
  </si>
  <si>
    <t>SUSPENDER ENLACE /DESMONTADA LA CAMARA POR CHOQUE CONTRA EL POSTE, POR REPORTAR A LA ASEGURADORA</t>
  </si>
  <si>
    <t>QT0050</t>
  </si>
  <si>
    <t>FUNDEPORTE</t>
  </si>
  <si>
    <t>QUITUMBE ÑAN Y MORAN VALVERDE</t>
  </si>
  <si>
    <t>172.50.7.32/29</t>
  </si>
  <si>
    <t>172.50.7.33/29</t>
  </si>
  <si>
    <t>172.50.7.34</t>
  </si>
  <si>
    <t>-0.283888</t>
  </si>
  <si>
    <t>-78.544166</t>
  </si>
  <si>
    <t>QT0055</t>
  </si>
  <si>
    <t>172.50.7.35</t>
  </si>
  <si>
    <t>QT0060</t>
  </si>
  <si>
    <t>MARISCAL SUCRE Y CONDOR ÑAN</t>
  </si>
  <si>
    <t>172.50.7.40/29</t>
  </si>
  <si>
    <t>172.50.7.41/29</t>
  </si>
  <si>
    <t>172.50.7.42</t>
  </si>
  <si>
    <t>-0.291666</t>
  </si>
  <si>
    <t>QT0065</t>
  </si>
  <si>
    <t>172.50.7.43</t>
  </si>
  <si>
    <t>QT0070</t>
  </si>
  <si>
    <t>SAN FRANCISCO SUR</t>
  </si>
  <si>
    <t>S45 Y MARTHA BUCARAM</t>
  </si>
  <si>
    <t>172.50.7.48/29</t>
  </si>
  <si>
    <t>172.50.7.49/29</t>
  </si>
  <si>
    <t>172.50.7.50</t>
  </si>
  <si>
    <t>-0.308611</t>
  </si>
  <si>
    <t>-78.566111</t>
  </si>
  <si>
    <t>CAMARA PTZ DAÑADA</t>
  </si>
  <si>
    <t>QT0075</t>
  </si>
  <si>
    <t>172.50.7.51</t>
  </si>
  <si>
    <t xml:space="preserve">SAN VICENTE </t>
  </si>
  <si>
    <t>FRANCISCO CAMPOS Y CLODOVE CARRIÓN </t>
  </si>
  <si>
    <t>172.50.7.56/29</t>
  </si>
  <si>
    <t>172.50.7.57/29</t>
  </si>
  <si>
    <t>172.50.7.58</t>
  </si>
  <si>
    <t>-0.332265</t>
  </si>
  <si>
    <t>-78.560227</t>
  </si>
  <si>
    <t>CAMARA PTZ DESMONTADA</t>
  </si>
  <si>
    <t>QT0085</t>
  </si>
  <si>
    <t>LAS ORQUIDEAS</t>
  </si>
  <si>
    <t>S40D MARCO CHIRIBOGA Y MARTHA BUCARAM</t>
  </si>
  <si>
    <t>172.50.7.64/29</t>
  </si>
  <si>
    <t>172.50.7.65/29</t>
  </si>
  <si>
    <t>172.50.7.66</t>
  </si>
  <si>
    <t>-0.298442</t>
  </si>
  <si>
    <t>-78.565267</t>
  </si>
  <si>
    <t>QT0090</t>
  </si>
  <si>
    <t>172.50.7.67</t>
  </si>
  <si>
    <t>QT0095</t>
  </si>
  <si>
    <t>EJERCITO NAC 2ETP</t>
  </si>
  <si>
    <t>GRAL GALLARDO (Oe3d) y GUAYANAY ÑAN (S43C) </t>
  </si>
  <si>
    <t>172.50.7.72/9</t>
  </si>
  <si>
    <t>172.50.7.73/9</t>
  </si>
  <si>
    <t>172.50.7.74</t>
  </si>
  <si>
    <t>-0.3025</t>
  </si>
  <si>
    <t>-78.5525</t>
  </si>
  <si>
    <t>PUEBLO SOLO PUEBLO</t>
  </si>
  <si>
    <t>S42 y S44 </t>
  </si>
  <si>
    <t>172.50.7.80/29</t>
  </si>
  <si>
    <t>172.50.7.81/29</t>
  </si>
  <si>
    <t>172.50.7.82</t>
  </si>
  <si>
    <t>-0.307777</t>
  </si>
  <si>
    <t>-78.545555</t>
  </si>
  <si>
    <t>172.50.7.83</t>
  </si>
  <si>
    <t>QT0110</t>
  </si>
  <si>
    <t>CHILLOGALLO </t>
  </si>
  <si>
    <t>AV. MARISCAL SUCRE y MANUEL CORONADO </t>
  </si>
  <si>
    <t>172.50.7.88/29</t>
  </si>
  <si>
    <t>172.50.7.89/29</t>
  </si>
  <si>
    <t>172.50.7.90</t>
  </si>
  <si>
    <t>-0.279166</t>
  </si>
  <si>
    <t>QT0115</t>
  </si>
  <si>
    <t>172.50.7.91</t>
  </si>
  <si>
    <t>QT0120</t>
  </si>
  <si>
    <t>172.50.7.92</t>
  </si>
  <si>
    <t>EA0005</t>
  </si>
  <si>
    <t>ELOY ALFARO</t>
  </si>
  <si>
    <t>TRIBUNA DEL SUR</t>
  </si>
  <si>
    <t>CALLE R. MORAN, ATRÁS DE LA TRIBUNA DEL SUR</t>
  </si>
  <si>
    <t>172.50.7.96/29</t>
  </si>
  <si>
    <t>172.50.7.97/29</t>
  </si>
  <si>
    <t>172.50.7.98</t>
  </si>
  <si>
    <t>-0.248055</t>
  </si>
  <si>
    <t>-78.530555</t>
  </si>
  <si>
    <t>EA0010</t>
  </si>
  <si>
    <t>172.50.7.99</t>
  </si>
  <si>
    <t>TB0130</t>
  </si>
  <si>
    <t>TUMBACO</t>
  </si>
  <si>
    <t>CUMBAYA</t>
  </si>
  <si>
    <t>AV. OSWALDO GUAYASAMIN y JACINTO JIJÓN y CAAMAÑO</t>
  </si>
  <si>
    <t>172.50.7.104/29</t>
  </si>
  <si>
    <t>172.50.7.105/29</t>
  </si>
  <si>
    <t>172.50.7.106</t>
  </si>
  <si>
    <t>-0.1974999</t>
  </si>
  <si>
    <t>-78.438333</t>
  </si>
  <si>
    <t>TB0131</t>
  </si>
  <si>
    <t>172.50.7.107</t>
  </si>
  <si>
    <t>TB0132</t>
  </si>
  <si>
    <t>172.50.7.108</t>
  </si>
  <si>
    <t>RECONOCIMIENTO FACIAL IC</t>
  </si>
  <si>
    <t>CENTRO HISTORICO</t>
  </si>
  <si>
    <t>AMBATO E IMBABURA</t>
  </si>
  <si>
    <t>172.50.7.112/29</t>
  </si>
  <si>
    <t>172.50.7.113</t>
  </si>
  <si>
    <t>172.50.7.114</t>
  </si>
  <si>
    <t>-0.22246</t>
  </si>
  <si>
    <t>-78.518830</t>
  </si>
  <si>
    <t>MS0500</t>
  </si>
  <si>
    <t>Chile e Imbabura</t>
  </si>
  <si>
    <t>172.50.3.0/29</t>
  </si>
  <si>
    <t>172.50.3.1</t>
  </si>
  <si>
    <t>172.50.3.2</t>
  </si>
  <si>
    <t>DS-2DF8436IX-AEL</t>
  </si>
  <si>
    <t>-0.217546</t>
  </si>
  <si>
    <t>-78.514863</t>
  </si>
  <si>
    <t>NVR 64 CANALES</t>
  </si>
  <si>
    <t>cam12345</t>
  </si>
  <si>
    <t>2MB</t>
  </si>
  <si>
    <t>6MB</t>
  </si>
  <si>
    <t>MS0505</t>
  </si>
  <si>
    <t>Esmeraldas y Garcia Moreno</t>
  </si>
  <si>
    <t>172.50.3.8/29</t>
  </si>
  <si>
    <t>172.50.3.9</t>
  </si>
  <si>
    <t>172.50.3.10</t>
  </si>
  <si>
    <t>-0.216900</t>
  </si>
  <si>
    <t> -78.509979</t>
  </si>
  <si>
    <t>MS0510</t>
  </si>
  <si>
    <t>Oriente y Venezuela</t>
  </si>
  <si>
    <t>172.50.3.16/29</t>
  </si>
  <si>
    <t>172.50.3.17</t>
  </si>
  <si>
    <t>172.50.3.18</t>
  </si>
  <si>
    <t>-0.216780</t>
  </si>
  <si>
    <t>-78.508787</t>
  </si>
  <si>
    <t>MS0515</t>
  </si>
  <si>
    <t xml:space="preserve">Sucre y Montufar </t>
  </si>
  <si>
    <t>172.50.3.24/29</t>
  </si>
  <si>
    <t>172.50.3.25</t>
  </si>
  <si>
    <t>172.50.3.26</t>
  </si>
  <si>
    <t>-0.223510</t>
  </si>
  <si>
    <t> -78.510950</t>
  </si>
  <si>
    <t>MS0520</t>
  </si>
  <si>
    <t>Ambato y Murgeitio</t>
  </si>
  <si>
    <t>172.50.3.32/29</t>
  </si>
  <si>
    <t>172.50.3.33</t>
  </si>
  <si>
    <t>172.50.3.34</t>
  </si>
  <si>
    <t>-0.226370</t>
  </si>
  <si>
    <t> -78.515274</t>
  </si>
  <si>
    <t>MS0525</t>
  </si>
  <si>
    <t>Galapagos y Vargas</t>
  </si>
  <si>
    <t>172.50.3.40/29</t>
  </si>
  <si>
    <t>172.50.3.41</t>
  </si>
  <si>
    <t>172.50.3.42</t>
  </si>
  <si>
    <t>-0.216679</t>
  </si>
  <si>
    <t>-78.507560</t>
  </si>
  <si>
    <t>MS0530</t>
  </si>
  <si>
    <t>Bolivar e Imbabura</t>
  </si>
  <si>
    <t>172.50.3.48/29</t>
  </si>
  <si>
    <t>172.50.3.49</t>
  </si>
  <si>
    <t>172.50.3.50</t>
  </si>
  <si>
    <t>-0.220120</t>
  </si>
  <si>
    <t>-78.516825</t>
  </si>
  <si>
    <t>MS0535</t>
  </si>
  <si>
    <t>Av. Mariscal Sucre y Hno Miguel</t>
  </si>
  <si>
    <t>172.50.3.56/29</t>
  </si>
  <si>
    <t>172.50.3.57</t>
  </si>
  <si>
    <t>172.50.3.58</t>
  </si>
  <si>
    <t> -78.508024</t>
  </si>
  <si>
    <t>MS0845</t>
  </si>
  <si>
    <t>Av. Pichincha y Olmedo</t>
  </si>
  <si>
    <t>172.50.3.64/29</t>
  </si>
  <si>
    <t>172.50.3.65</t>
  </si>
  <si>
    <t>172.50.3.66</t>
  </si>
  <si>
    <t>0,215350</t>
  </si>
  <si>
    <t>-78.517207</t>
  </si>
  <si>
    <t>si</t>
  </si>
  <si>
    <t>CAMARAS PANECILLO</t>
  </si>
  <si>
    <t>MS0545</t>
  </si>
  <si>
    <t>Ambato y Garcia Moreno</t>
  </si>
  <si>
    <t>172.50.3.72/29</t>
  </si>
  <si>
    <t>172.50.3.73</t>
  </si>
  <si>
    <t>172.50.3.74</t>
  </si>
  <si>
    <t>-0.224676</t>
  </si>
  <si>
    <t>-78.516706</t>
  </si>
  <si>
    <t>M. Villavicencio y Pascuales</t>
  </si>
  <si>
    <t>172.50.3.80/29</t>
  </si>
  <si>
    <t>172.50.3.81</t>
  </si>
  <si>
    <t>172.50.3.82</t>
  </si>
  <si>
    <t>DS-2D2655FWD-IZS</t>
  </si>
  <si>
    <t>-0.225365</t>
  </si>
  <si>
    <t>-78.517373</t>
  </si>
  <si>
    <t>Descanso Escalinata (Pascuales y Ramón Nava)</t>
  </si>
  <si>
    <t>172.50.3.88/29</t>
  </si>
  <si>
    <t>172.50.3.89</t>
  </si>
  <si>
    <t>172.50.3.90</t>
  </si>
  <si>
    <t>IDS-2PT   9122IX-D/S</t>
  </si>
  <si>
    <t>-0.226242</t>
  </si>
  <si>
    <t>-78.517323</t>
  </si>
  <si>
    <t>Pascuales (Curva )</t>
  </si>
  <si>
    <t>172.50.3.96/29</t>
  </si>
  <si>
    <t>172.50.3.97</t>
  </si>
  <si>
    <t>172.50.3.98</t>
  </si>
  <si>
    <t>-0.225759</t>
  </si>
  <si>
    <t>-78.517686</t>
  </si>
  <si>
    <t>172.50.3.99</t>
  </si>
  <si>
    <t xml:space="preserve">Agoyan y escalinata de ascenso y descenso del Panecillo  </t>
  </si>
  <si>
    <t>172.50.3.104/29</t>
  </si>
  <si>
    <t>172.50.3.105</t>
  </si>
  <si>
    <t>172.50.3.106</t>
  </si>
  <si>
    <t>-0.227444</t>
  </si>
  <si>
    <t>-78.517915</t>
  </si>
  <si>
    <t>172.50.3.107</t>
  </si>
  <si>
    <t xml:space="preserve">Grl. Melchor de Aymerich,  escalinata de ascenso y descenso del Panecillo  </t>
  </si>
  <si>
    <t>172.50.3.112/29</t>
  </si>
  <si>
    <t>172.50.3.113</t>
  </si>
  <si>
    <t>172.50.3.114</t>
  </si>
  <si>
    <t>-0.227927</t>
  </si>
  <si>
    <t>-78.517616</t>
  </si>
  <si>
    <t>MS0585</t>
  </si>
  <si>
    <t>Mirador Panecillo,  Calle Palestina</t>
  </si>
  <si>
    <t>172.50.3.120/29</t>
  </si>
  <si>
    <t>172.50.3.121</t>
  </si>
  <si>
    <t>172.50.3.122</t>
  </si>
  <si>
    <t>-0.227942</t>
  </si>
  <si>
    <t>-78.519085</t>
  </si>
  <si>
    <t>MS0810</t>
  </si>
  <si>
    <t>Panecillo, Patio de Comida</t>
  </si>
  <si>
    <t>172.50.3.128/29</t>
  </si>
  <si>
    <t>172.50.3.129</t>
  </si>
  <si>
    <t>172.50.3.130</t>
  </si>
  <si>
    <t>-0.22982</t>
  </si>
  <si>
    <t>-78.51817</t>
  </si>
  <si>
    <t>ESPACIOS PUBLICO EMS</t>
  </si>
  <si>
    <t>JARDIN LA COLMENA</t>
  </si>
  <si>
    <t>LA CONCEPCIÓN</t>
  </si>
  <si>
    <t>172.50.3.136/29</t>
  </si>
  <si>
    <t>172.50.3.137</t>
  </si>
  <si>
    <t>172.50.3.138</t>
  </si>
  <si>
    <t>DS-2DF8436IX-AEL(W)</t>
  </si>
  <si>
    <t>-0.22647</t>
  </si>
  <si>
    <t>-78.52975</t>
  </si>
  <si>
    <t>Admin12345678</t>
  </si>
  <si>
    <t>TB0020</t>
  </si>
  <si>
    <t>LA ESPERANZA</t>
  </si>
  <si>
    <t>VIRGEN DEL QUINCHE Y SEGUNDO SOTELO</t>
  </si>
  <si>
    <t>172.50.3.144/29</t>
  </si>
  <si>
    <t>172.50.3.145</t>
  </si>
  <si>
    <t>172.50.3.146</t>
  </si>
  <si>
    <t>-0.09711</t>
  </si>
  <si>
    <t>-78.28990</t>
  </si>
  <si>
    <t>TB0025</t>
  </si>
  <si>
    <t>COLLAQUI</t>
  </si>
  <si>
    <t>DE LOS NARANJOS Y STACEY GUZMAN</t>
  </si>
  <si>
    <t>172.50.3.152/29</t>
  </si>
  <si>
    <t>172.50.3.153</t>
  </si>
  <si>
    <t>172.50.3.154</t>
  </si>
  <si>
    <t>-0.17663</t>
  </si>
  <si>
    <t>-78.39756</t>
  </si>
  <si>
    <t>LC0005</t>
  </si>
  <si>
    <t>VALLE DE LOS CHILLOS</t>
  </si>
  <si>
    <t>CUENDINA</t>
  </si>
  <si>
    <t>LOS SAUCES Y JOSE ESPINOZA</t>
  </si>
  <si>
    <t>172.50.3.160/29</t>
  </si>
  <si>
    <t>172.50.3.161</t>
  </si>
  <si>
    <t>172.50.3.162</t>
  </si>
  <si>
    <t>-0.37477</t>
  </si>
  <si>
    <t>-78.48103</t>
  </si>
  <si>
    <t>LM0250</t>
  </si>
  <si>
    <t>UNIVERSIDAD CENTRAL</t>
  </si>
  <si>
    <t>ANTONIO DE ULLOA Y JERONIMO CARRION</t>
  </si>
  <si>
    <t>172.50.3.168/29</t>
  </si>
  <si>
    <t>172.50.3.169</t>
  </si>
  <si>
    <t>172.50.3.170</t>
  </si>
  <si>
    <t>-0.201467</t>
  </si>
  <si>
    <t>-78.500426</t>
  </si>
  <si>
    <t>Sisecu911</t>
  </si>
  <si>
    <t>LC0010</t>
  </si>
  <si>
    <t xml:space="preserve">	809070</t>
  </si>
  <si>
    <t>LA ARMENIA</t>
  </si>
  <si>
    <t>LUIS FELIPE BORJA Y JOSE PINO</t>
  </si>
  <si>
    <t>172.50.3.176/29</t>
  </si>
  <si>
    <t>172.50.3.177</t>
  </si>
  <si>
    <t>172.50.3.178</t>
  </si>
  <si>
    <t>-0.26967</t>
  </si>
  <si>
    <t>-78.46391</t>
  </si>
  <si>
    <t>MS0650</t>
  </si>
  <si>
    <t xml:space="preserve">SAN JOSE DE MONJAS 1 </t>
  </si>
  <si>
    <t>AV SIMON BOLIVAR Y RIO ALMENDRO (CANCHAS)</t>
  </si>
  <si>
    <t>172.50.3.184/29</t>
  </si>
  <si>
    <t>172.50.3.185</t>
  </si>
  <si>
    <t>172.50.3.186</t>
  </si>
  <si>
    <t>-0.23102</t>
  </si>
  <si>
    <t>-78.49202</t>
  </si>
  <si>
    <t xml:space="preserve">SAN JOSE DE MONJAS 2 </t>
  </si>
  <si>
    <t xml:space="preserve">MANUEL RUALES Y AV SIMON BOLIVAR </t>
  </si>
  <si>
    <t>172.50.3.192/29</t>
  </si>
  <si>
    <t>172.50.3.193</t>
  </si>
  <si>
    <t>172.50.3.194</t>
  </si>
  <si>
    <t>-0.23171</t>
  </si>
  <si>
    <t>-78.49335</t>
  </si>
  <si>
    <t>Oe1L Y S-45</t>
  </si>
  <si>
    <t>172.50.3.200/29</t>
  </si>
  <si>
    <t>172.50.3.201</t>
  </si>
  <si>
    <t>172.50.3.202</t>
  </si>
  <si>
    <t>-0.30788</t>
  </si>
  <si>
    <t>-78.54843</t>
  </si>
  <si>
    <t>LAS CASAS</t>
  </si>
  <si>
    <t>JUAN ACEVEDO Y DIAZ DE LA MADRID</t>
  </si>
  <si>
    <t>172.50.3.208/29</t>
  </si>
  <si>
    <t>172.50.3.209</t>
  </si>
  <si>
    <t>172.50.3.210</t>
  </si>
  <si>
    <t>-0.18509</t>
  </si>
  <si>
    <t>-78.50744</t>
  </si>
  <si>
    <t>LA BOTA</t>
  </si>
  <si>
    <t>LA BOTA Y AGUSTO SALTOS</t>
  </si>
  <si>
    <t>172.50.3.216/29</t>
  </si>
  <si>
    <t>172.50.3.217</t>
  </si>
  <si>
    <t>172.50.3.218</t>
  </si>
  <si>
    <t>-0.11931</t>
  </si>
  <si>
    <t>-78.45339</t>
  </si>
  <si>
    <t>VILLAS AURORA 1</t>
  </si>
  <si>
    <t>BARTOLOME DE ZAMORA ENTRE SABANILLA Y NASACOTA PUENTO</t>
  </si>
  <si>
    <t>172.50.3.224/29</t>
  </si>
  <si>
    <t>172.50.3.225</t>
  </si>
  <si>
    <t>172.50.3.226</t>
  </si>
  <si>
    <t>-0.11921</t>
  </si>
  <si>
    <t>-78.49030</t>
  </si>
  <si>
    <t>LM0280</t>
  </si>
  <si>
    <t>AV. PATRIA Y AV. 12 DE OCTUBRE</t>
  </si>
  <si>
    <t>172.50.3.232/29</t>
  </si>
  <si>
    <t>172.50.3.233</t>
  </si>
  <si>
    <t>172.50.3.234</t>
  </si>
  <si>
    <t>228168931X</t>
  </si>
  <si>
    <t>-0.210316</t>
  </si>
  <si>
    <t>-78.493594</t>
  </si>
  <si>
    <t>SAN JUAN</t>
  </si>
  <si>
    <t>TEGUCIGALPA Y MANUEL AGUILAR MIRAFLORES 1</t>
  </si>
  <si>
    <t>172.50.3.240/29</t>
  </si>
  <si>
    <t>172.50.3.241</t>
  </si>
  <si>
    <t>172.50.3.242</t>
  </si>
  <si>
    <t>-0.20708</t>
  </si>
  <si>
    <t>-78.51136</t>
  </si>
  <si>
    <t>TEGUCIGALPA Y MANUEL AGUILAR MIRAFLORES 2</t>
  </si>
  <si>
    <t>172.50.3.248/29</t>
  </si>
  <si>
    <t>172.50.3.249</t>
  </si>
  <si>
    <t>172.50.3.250</t>
  </si>
  <si>
    <t>-0.20800</t>
  </si>
  <si>
    <t>-78.51238</t>
  </si>
  <si>
    <t>LM0285</t>
  </si>
  <si>
    <t>AV. PATRIA Y JOSÉ TAMAYO</t>
  </si>
  <si>
    <t>172.50.4.0/29</t>
  </si>
  <si>
    <t>172.50.4.1</t>
  </si>
  <si>
    <t>172.50.4.2</t>
  </si>
  <si>
    <t>227930898X</t>
  </si>
  <si>
    <t>-0.209708</t>
  </si>
  <si>
    <t>-78.494241</t>
  </si>
  <si>
    <t>QT0135</t>
  </si>
  <si>
    <t>NUEVA AURORA  2</t>
  </si>
  <si>
    <t>NUEVA AURORA  AREA JUEGOS</t>
  </si>
  <si>
    <t>172.50.4.8/29</t>
  </si>
  <si>
    <t>172.50.4.9</t>
  </si>
  <si>
    <t>172.50.4.10</t>
  </si>
  <si>
    <t>-0.32021</t>
  </si>
  <si>
    <t>-78.55088</t>
  </si>
  <si>
    <t>LM0295</t>
  </si>
  <si>
    <t>PATRIA Y AV. 6 DE DICIEMBRE</t>
  </si>
  <si>
    <t>AV. PATRIA Y 6 DE DICIEMBRE</t>
  </si>
  <si>
    <t>172.50.4.16/29</t>
  </si>
  <si>
    <t>172.50.4.17</t>
  </si>
  <si>
    <t>172.50.4.18</t>
  </si>
  <si>
    <t>227930887X</t>
  </si>
  <si>
    <t>-0.208664</t>
  </si>
  <si>
    <t>-78.495682</t>
  </si>
  <si>
    <t>LM0290</t>
  </si>
  <si>
    <t>AV. PATRIA Y 10 DE AGOSTO</t>
  </si>
  <si>
    <t>172.50.4.24/29</t>
  </si>
  <si>
    <t>172.50.4.25</t>
  </si>
  <si>
    <t>172.50.4.26</t>
  </si>
  <si>
    <t>227930893X</t>
  </si>
  <si>
    <t>-0.206862</t>
  </si>
  <si>
    <t>-78.499304</t>
  </si>
  <si>
    <t>CALDERON CASA TUYA 1 (TUPAC YUPANQUI Y GRAL. PINTAG) LUISA GOMEZ</t>
  </si>
  <si>
    <t>172.50.1.184/29</t>
  </si>
  <si>
    <t>172.50.1.185/29</t>
  </si>
  <si>
    <t>172.50.1.186</t>
  </si>
  <si>
    <t>-0.11375</t>
  </si>
  <si>
    <t>-78.43225</t>
  </si>
  <si>
    <t xml:space="preserve">PROBLEMAS EN EL ENLACE </t>
  </si>
  <si>
    <t xml:space="preserve">CALDERON CASA TUYA 2 (TUPAC YUPANQUI Y APO  CAPAC, JUNTO AL UPC) </t>
  </si>
  <si>
    <t>172.50.1.192/29</t>
  </si>
  <si>
    <t>172.50.1.193/29</t>
  </si>
  <si>
    <t>172.50.1.194</t>
  </si>
  <si>
    <t>-0.11427</t>
  </si>
  <si>
    <t>-78.43153</t>
  </si>
  <si>
    <t>CONOCOTO</t>
  </si>
  <si>
    <t>PARQUE 6 DE JUNIO (Ingreso)</t>
  </si>
  <si>
    <t>172.50.7.176/29</t>
  </si>
  <si>
    <t>172.50.7.177</t>
  </si>
  <si>
    <t>172.50.7.178</t>
  </si>
  <si>
    <t>-0.313022 </t>
  </si>
  <si>
    <t>-78.478568</t>
  </si>
  <si>
    <t>PARQUE 6 DE JUNIO (Posterior)</t>
  </si>
  <si>
    <t>172.50.7.184/29</t>
  </si>
  <si>
    <t>172.50.7.185</t>
  </si>
  <si>
    <t>172.50.7.186</t>
  </si>
  <si>
    <t>185906479X</t>
  </si>
  <si>
    <t>-0.31248</t>
  </si>
  <si>
    <t>-78.478267</t>
  </si>
  <si>
    <t>PARQUE METROPOLITANO</t>
  </si>
  <si>
    <t>EE0500</t>
  </si>
  <si>
    <t>GARITA PRINCIPAL C1</t>
  </si>
  <si>
    <t>192.170.40.0/24</t>
  </si>
  <si>
    <t>192.170.40.254/24 10.121.249.70/29</t>
  </si>
  <si>
    <t>192.170.40.2</t>
  </si>
  <si>
    <t>DS-2DF8436IX-AELW</t>
  </si>
  <si>
    <t>-0.179007</t>
  </si>
  <si>
    <t>-78.470924</t>
  </si>
  <si>
    <t>NVR 32 CANALES</t>
  </si>
  <si>
    <t>CCTV20!8</t>
  </si>
  <si>
    <t>EE0501</t>
  </si>
  <si>
    <t>PARQUEADERO CHUQUIPATA C2</t>
  </si>
  <si>
    <t>192.170.40.3</t>
  </si>
  <si>
    <t>-0.180116</t>
  </si>
  <si>
    <t>-78.468096</t>
  </si>
  <si>
    <t>EE0502</t>
  </si>
  <si>
    <t>PARQUEADERO ASHINTACO C3</t>
  </si>
  <si>
    <t>192.170.40.4</t>
  </si>
  <si>
    <t>-0.178592</t>
  </si>
  <si>
    <t>-78.466953</t>
  </si>
  <si>
    <t>EE0503</t>
  </si>
  <si>
    <t>ADMINISTRACION C4</t>
  </si>
  <si>
    <t>192.170.40.5</t>
  </si>
  <si>
    <t>-0.182387</t>
  </si>
  <si>
    <t>-78.464014</t>
  </si>
  <si>
    <t>EE0504</t>
  </si>
  <si>
    <t>ANTENAS C5</t>
  </si>
  <si>
    <t>192.170.40.6</t>
  </si>
  <si>
    <t>-0.183491</t>
  </si>
  <si>
    <t>-78.460229</t>
  </si>
  <si>
    <t>EE0505</t>
  </si>
  <si>
    <t>REPETIDORAS DE MOVISTAR C6</t>
  </si>
  <si>
    <t>192.170.40.7</t>
  </si>
  <si>
    <t>-0.185923</t>
  </si>
  <si>
    <t>-78.461509</t>
  </si>
  <si>
    <t>EE0506</t>
  </si>
  <si>
    <t>MIRADOR COTOPAXI C7</t>
  </si>
  <si>
    <t>192.170.40.8</t>
  </si>
  <si>
    <t>-0.187161</t>
  </si>
  <si>
    <t>-78.461905</t>
  </si>
  <si>
    <t>EE0507</t>
  </si>
  <si>
    <t>BATERIA CANCHA C8</t>
  </si>
  <si>
    <t>192.170.40.9</t>
  </si>
  <si>
    <t>-0.187573</t>
  </si>
  <si>
    <t>-78.463383</t>
  </si>
  <si>
    <t>EE0508</t>
  </si>
  <si>
    <t>INGRESO SUR C9</t>
  </si>
  <si>
    <t>192.170.40.10</t>
  </si>
  <si>
    <t>-0.190607</t>
  </si>
  <si>
    <t>-78.467972</t>
  </si>
  <si>
    <t>EE0509</t>
  </si>
  <si>
    <t>MIRADOR ILALO C10</t>
  </si>
  <si>
    <t>192.170.40.11</t>
  </si>
  <si>
    <t>-0.180933</t>
  </si>
  <si>
    <t>-78.459153</t>
  </si>
  <si>
    <t>EE0510</t>
  </si>
  <si>
    <t>MIRADOR PUNTAS  C11</t>
  </si>
  <si>
    <t>192.170.40.12</t>
  </si>
  <si>
    <t>-0.1770253</t>
  </si>
  <si>
    <t>-78.4612534</t>
  </si>
  <si>
    <t>EE0511</t>
  </si>
  <si>
    <t>MIRADOR CAYAMBE AREA BBQ C12</t>
  </si>
  <si>
    <t>192.170.40.13</t>
  </si>
  <si>
    <t>-0.17414</t>
  </si>
  <si>
    <t>-78.457274</t>
  </si>
  <si>
    <t>EE0512</t>
  </si>
  <si>
    <t>MIRADOR CAYAMBE C13</t>
  </si>
  <si>
    <t>192.170.40.14</t>
  </si>
  <si>
    <t>-0.1754211</t>
  </si>
  <si>
    <t>-78.4586699</t>
  </si>
  <si>
    <t>EE0513</t>
  </si>
  <si>
    <t>INGRESO A LA COMUNA MIRAFLORES C14</t>
  </si>
  <si>
    <t>192.170.40.15</t>
  </si>
  <si>
    <t>-0.168744</t>
  </si>
  <si>
    <t>-78.457191</t>
  </si>
  <si>
    <t>EE0514</t>
  </si>
  <si>
    <t>INGRESO Y SALIDA COMUNA MIRAFLORES C15</t>
  </si>
  <si>
    <t>192.170.40.16</t>
  </si>
  <si>
    <t>-0.171848</t>
  </si>
  <si>
    <t>-78.464587</t>
  </si>
  <si>
    <t>CARE QUEBRADA CAUPICHO</t>
  </si>
  <si>
    <t>EA0310</t>
  </si>
  <si>
    <t>QUEBRADA CAUPICHO</t>
  </si>
  <si>
    <t>Barrio Lucha de los Pobres</t>
  </si>
  <si>
    <t>172.50.7.120/29</t>
  </si>
  <si>
    <t>172.50.7.121</t>
  </si>
  <si>
    <t>172.50.7.122</t>
  </si>
  <si>
    <t>DS-2CD2683G1-IZ(S)</t>
  </si>
  <si>
    <t>COEM METROPOLTANO</t>
  </si>
  <si>
    <t>-0.284654</t>
  </si>
  <si>
    <t>-78.535065</t>
  </si>
  <si>
    <t xml:space="preserve">NVR 4 CANALES </t>
  </si>
  <si>
    <t>ecu9112022</t>
  </si>
  <si>
    <t>EA0315</t>
  </si>
  <si>
    <t>Barrio el Paraiso</t>
  </si>
  <si>
    <t>172.50.7.128/29</t>
  </si>
  <si>
    <t>172.50.7.129</t>
  </si>
  <si>
    <t>172.50.7.130</t>
  </si>
  <si>
    <t>-0.288452</t>
  </si>
  <si>
    <t>-78.535733</t>
  </si>
  <si>
    <t>QT0320</t>
  </si>
  <si>
    <t>Valle del Sur (Simon Bolivar)</t>
  </si>
  <si>
    <t>172.50.7.136/29</t>
  </si>
  <si>
    <t>172.50.7.137</t>
  </si>
  <si>
    <t>172.50.7.138</t>
  </si>
  <si>
    <t>-0.292157</t>
  </si>
  <si>
    <t>-78.536461</t>
  </si>
  <si>
    <t>EA0320</t>
  </si>
  <si>
    <t>Valle del Sur (Quebrada)</t>
  </si>
  <si>
    <t>172.50.7.144/29</t>
  </si>
  <si>
    <t>172.50.7.145</t>
  </si>
  <si>
    <t>172.50.7.146</t>
  </si>
  <si>
    <t>0.296792</t>
  </si>
  <si>
    <t>QT0310</t>
  </si>
  <si>
    <t>Nueva Loja Cancha</t>
  </si>
  <si>
    <t>172.50.7.152/29</t>
  </si>
  <si>
    <t>172.50.7.153</t>
  </si>
  <si>
    <t>172.50.7.154</t>
  </si>
  <si>
    <t>-0.297332</t>
  </si>
  <si>
    <t>-78.536436</t>
  </si>
  <si>
    <t>QT0315</t>
  </si>
  <si>
    <t>Guajalo Terraza Casa</t>
  </si>
  <si>
    <t>172.50.7.160/29</t>
  </si>
  <si>
    <t>172.50.7.161</t>
  </si>
  <si>
    <t>172.50.7.162</t>
  </si>
  <si>
    <t>DS-2DE5432W-AE(E)</t>
  </si>
  <si>
    <t>-0.318310</t>
  </si>
  <si>
    <t>-78.536562</t>
  </si>
  <si>
    <t>QT0325</t>
  </si>
  <si>
    <t xml:space="preserve">Caupicho Santa Isabel </t>
  </si>
  <si>
    <t>172.50.7.168/29</t>
  </si>
  <si>
    <t>172.50.7.169</t>
  </si>
  <si>
    <t>172.50.7.170</t>
  </si>
  <si>
    <t>-0.324620</t>
  </si>
  <si>
    <t>-78.533789</t>
  </si>
  <si>
    <t>CAMARAS SAN MARCOS CUMBAYA</t>
  </si>
  <si>
    <t>S/N</t>
  </si>
  <si>
    <t>BARRIO SAN MARCOS CUMBAYA</t>
  </si>
  <si>
    <t>GARCIA MORENO Y CHIMBORAZO (HOTEL CUMBAYÁ)</t>
  </si>
  <si>
    <t>172.50.8.32</t>
  </si>
  <si>
    <t>172.50.8.33</t>
  </si>
  <si>
    <t>172.50.8.34</t>
  </si>
  <si>
    <t>HANWHA</t>
  </si>
  <si>
    <t>SNP-6230RHN</t>
  </si>
  <si>
    <t>ZCKQ6V2J60000QA</t>
  </si>
  <si>
    <t>UPC SAN JUAN</t>
  </si>
  <si>
    <t>-0.200303</t>
  </si>
  <si>
    <t>-78.432362</t>
  </si>
  <si>
    <t xml:space="preserve">NVR 16 CANALES </t>
  </si>
  <si>
    <t>CCTV82!0</t>
  </si>
  <si>
    <t>NO OPERATIVA (DESMONTADA)</t>
  </si>
  <si>
    <t>FRANCISCO D EORELLANA Y VIA FERROCARRIL (EL CHAQUIÑÁN)</t>
  </si>
  <si>
    <t>172.50.8.35</t>
  </si>
  <si>
    <t>ZCKQ6V2J60000GK</t>
  </si>
  <si>
    <t xml:space="preserve">-0.1998558 </t>
  </si>
  <si>
    <t>-78.431420</t>
  </si>
  <si>
    <t>VIA DEL FERROCARRIL Y GARCIA MORENO (LAS RIELES)</t>
  </si>
  <si>
    <t>172.50.8.36</t>
  </si>
  <si>
    <t>ZCKQ6V2J60000HT</t>
  </si>
  <si>
    <t>-0.200994</t>
  </si>
  <si>
    <t xml:space="preserve"> -78.430973</t>
  </si>
  <si>
    <t>MARIA ANGELICA IDROVO Y SALINAS (INTEROCEÁNICA)</t>
  </si>
  <si>
    <t>172.50.8.37</t>
  </si>
  <si>
    <t>ZCKQ6V2J60000MF</t>
  </si>
  <si>
    <t>-0.201950</t>
  </si>
  <si>
    <t>-78.431178</t>
  </si>
  <si>
    <t>CAMARAS SAN ROQUE CUMBAYA</t>
  </si>
  <si>
    <t>BARRIO SAN ROQUE CUMBAYA</t>
  </si>
  <si>
    <t>VIA DEL FERROCARRIL Y AVE CRISTO REY</t>
  </si>
  <si>
    <t>172.50.8.38</t>
  </si>
  <si>
    <t>SNP-L6230RH</t>
  </si>
  <si>
    <t>ZHAX70GK60000AK</t>
  </si>
  <si>
    <t xml:space="preserve">UPC SAN ROQUE </t>
  </si>
  <si>
    <t>-0.200853</t>
  </si>
  <si>
    <t>-78.436180</t>
  </si>
  <si>
    <t>EMSEG20!9</t>
  </si>
  <si>
    <t>AVE CRISTO REY Y VIA DEL FERROCARRIL</t>
  </si>
  <si>
    <t>172.50.8.39</t>
  </si>
  <si>
    <t>ZHAX70GK600009V</t>
  </si>
  <si>
    <t>-0.201041</t>
  </si>
  <si>
    <t>-78.434404</t>
  </si>
  <si>
    <t>AVE CRISTO REY , MERCADO DE CUMBAYA</t>
  </si>
  <si>
    <t>172.50.8.40</t>
  </si>
  <si>
    <t>ZHAX70GK600005B</t>
  </si>
  <si>
    <t>-0.200702</t>
  </si>
  <si>
    <t>-78.433926</t>
  </si>
  <si>
    <t>COLEGIO NACIONAL CUMBAYA</t>
  </si>
  <si>
    <t>172.50.8.41</t>
  </si>
  <si>
    <t>ZHAX70GK600002L</t>
  </si>
  <si>
    <t xml:space="preserve">-0.202540
</t>
  </si>
  <si>
    <t>-78.438533</t>
  </si>
  <si>
    <t>CCTV TUMBACO</t>
  </si>
  <si>
    <t>BAÑISTAS </t>
  </si>
  <si>
    <t>172.50.8.42</t>
  </si>
  <si>
    <t>SAMSUNG</t>
  </si>
  <si>
    <t>SNP-3371TH</t>
  </si>
  <si>
    <t>C6AR67ICA01073W</t>
  </si>
  <si>
    <t>UV_ TUMBACO</t>
  </si>
  <si>
    <t>-0.197499</t>
  </si>
  <si>
    <t>-78,433611</t>
  </si>
  <si>
    <t>CAMARA SIN SOPORTE TECNICO DE FABRICA, EN REPUESTOS NI SOFTWARE, SE RECOMIENDA REALIZAR EL CAMBIO DE LA CAMARA,  O CAMBIO DE DOMO</t>
  </si>
  <si>
    <t>RIELES </t>
  </si>
  <si>
    <t>172.50.8.43</t>
  </si>
  <si>
    <t>C6AR67ICA01110N</t>
  </si>
  <si>
    <t>-0.200833</t>
  </si>
  <si>
    <t>-78.433055</t>
  </si>
  <si>
    <t>RESERVORIO </t>
  </si>
  <si>
    <t>172.50.8.44</t>
  </si>
  <si>
    <t>C6AR67ICA01097J</t>
  </si>
  <si>
    <t>-0.196944</t>
  </si>
  <si>
    <t>-78.430833</t>
  </si>
  <si>
    <t>PRIMAVERA II </t>
  </si>
  <si>
    <t>172.50.8.45</t>
  </si>
  <si>
    <t>C6AR67ICA01106L</t>
  </si>
  <si>
    <t>-78.428611</t>
  </si>
  <si>
    <t>PRIMAVERA I </t>
  </si>
  <si>
    <t>172.50.8.48</t>
  </si>
  <si>
    <t>172.50.8.49</t>
  </si>
  <si>
    <t>172.50.8.50</t>
  </si>
  <si>
    <t>C6AR67ICA01067Y</t>
  </si>
  <si>
    <t>-0.209792</t>
  </si>
  <si>
    <t>-78.424722</t>
  </si>
  <si>
    <t>VENTURA MALL </t>
  </si>
  <si>
    <t>172.50.8.51</t>
  </si>
  <si>
    <t>C6AR67ICA01096H</t>
  </si>
  <si>
    <t>-0.211111</t>
  </si>
  <si>
    <t>-78.413888</t>
  </si>
  <si>
    <t>00:16:6C:7C:15:50</t>
  </si>
  <si>
    <t>SANTA MARÍA </t>
  </si>
  <si>
    <t>172.50.8.52</t>
  </si>
  <si>
    <t>C6AR67ICA01099W</t>
  </si>
  <si>
    <t>-0.214722</t>
  </si>
  <si>
    <t>-78.406111</t>
  </si>
  <si>
    <t>CUNUYACU </t>
  </si>
  <si>
    <t>172.50.8.53</t>
  </si>
  <si>
    <t>C6AR67ICA01095R</t>
  </si>
  <si>
    <t>-0.225555</t>
  </si>
  <si>
    <t>-78.429166</t>
  </si>
  <si>
    <t>00:16:6C:7C:15:4F</t>
  </si>
  <si>
    <t>PUEMBO </t>
  </si>
  <si>
    <t>172.50.8.54</t>
  </si>
  <si>
    <t>C6AR67ICA01092N</t>
  </si>
  <si>
    <t>-78.368611</t>
  </si>
  <si>
    <t>“Y” DE PALUGO </t>
  </si>
  <si>
    <t>172.50.8.55</t>
  </si>
  <si>
    <t>C6AR67ICA01103M</t>
  </si>
  <si>
    <t>-0.239833</t>
  </si>
  <si>
    <t>-78.330737</t>
  </si>
  <si>
    <t>00:16:6C:7C:15:57</t>
  </si>
  <si>
    <t>TB0120</t>
  </si>
  <si>
    <t>EL QUINCHE-PARQUE </t>
  </si>
  <si>
    <t>172.50.8.64</t>
  </si>
  <si>
    <t>172.50.8.65</t>
  </si>
  <si>
    <t>172.50.8.66</t>
  </si>
  <si>
    <t>C6AR67ICA01116M</t>
  </si>
  <si>
    <t>-0.110218</t>
  </si>
  <si>
    <t>-78.297017</t>
  </si>
  <si>
    <t>00:16:6C:7C:15:65</t>
  </si>
  <si>
    <t>TB0121</t>
  </si>
  <si>
    <t>EL QUINCHE-IGLESIA </t>
  </si>
  <si>
    <t>172.50.8.67</t>
  </si>
  <si>
    <t>C6AR67ICA01060W</t>
  </si>
  <si>
    <t>-0.109747</t>
  </si>
  <si>
    <t>-78.296135</t>
  </si>
  <si>
    <t>00:16:6C:7C:15:26</t>
  </si>
  <si>
    <t>TB0122</t>
  </si>
  <si>
    <t>EL QUINCHE-  P. BUSES </t>
  </si>
  <si>
    <t>172.50.8.68</t>
  </si>
  <si>
    <t>C6AR67ICA01102J</t>
  </si>
  <si>
    <t>-0.112210</t>
  </si>
  <si>
    <t>-78.296029</t>
  </si>
  <si>
    <t>00:16:6C:7C:15:56</t>
  </si>
  <si>
    <t>TB0123</t>
  </si>
  <si>
    <t>EL QUINCHE-B. PICHINCHA </t>
  </si>
  <si>
    <t>172.50.8.69</t>
  </si>
  <si>
    <t>C6AR67ICA01052K</t>
  </si>
  <si>
    <t>-0.109124</t>
  </si>
  <si>
    <t>-78.297543</t>
  </si>
  <si>
    <t>00:16:6C:7C:15:22</t>
  </si>
  <si>
    <t>CCTV QUITO TENIS</t>
  </si>
  <si>
    <t>Calle Afganistán y de las Almonedas</t>
  </si>
  <si>
    <t>172.50.8.16</t>
  </si>
  <si>
    <t>172.50.8.17</t>
  </si>
  <si>
    <t>172.50.8.18</t>
  </si>
  <si>
    <t>SHP-3430H</t>
  </si>
  <si>
    <t>CSSF6888C01060E</t>
  </si>
  <si>
    <t xml:space="preserve">UPC QUITO TENIS </t>
  </si>
  <si>
    <t>-0.167617</t>
  </si>
  <si>
    <t>-78.497851</t>
  </si>
  <si>
    <t>Calle de los Comicios y Azkunaga</t>
  </si>
  <si>
    <t>172.50.8.19</t>
  </si>
  <si>
    <t>CSSF6888C01091K</t>
  </si>
  <si>
    <t>-0.1693895</t>
  </si>
  <si>
    <t>-78.494940</t>
  </si>
  <si>
    <t>Calle Hidalgo Pinto y Pedro Rodena</t>
  </si>
  <si>
    <t>172.50.8.20</t>
  </si>
  <si>
    <t>CSSF6888C010908</t>
  </si>
  <si>
    <t>-0.165927</t>
  </si>
  <si>
    <t>-78.492799</t>
  </si>
  <si>
    <t>Calle Los Cabildos y Calle A</t>
  </si>
  <si>
    <t>172.50.8.21</t>
  </si>
  <si>
    <t>CSSF6888C01098N</t>
  </si>
  <si>
    <t>-0.162582</t>
  </si>
  <si>
    <t>-78.494276</t>
  </si>
  <si>
    <t>Calle Brasil y Azkunaga</t>
  </si>
  <si>
    <t>172.50.8.22</t>
  </si>
  <si>
    <t>CSSF6888C01073E</t>
  </si>
  <si>
    <t>-0.1693848</t>
  </si>
  <si>
    <t>Calle Brasil y Charles Darwin</t>
  </si>
  <si>
    <t>172.50.8.23</t>
  </si>
  <si>
    <t>CSSF6888C01083D</t>
  </si>
  <si>
    <t>-0.16784393</t>
  </si>
  <si>
    <t xml:space="preserve"> -78.489796</t>
  </si>
  <si>
    <t>Calle Brasil y Mariano Echeverría</t>
  </si>
  <si>
    <t>172.50.8.24</t>
  </si>
  <si>
    <t>CSSF6888C01085F</t>
  </si>
  <si>
    <t>-0.1655992</t>
  </si>
  <si>
    <t>-78.489221</t>
  </si>
  <si>
    <t>Calle Brasil y Hidalgo Pinto</t>
  </si>
  <si>
    <t>172.50.8.25</t>
  </si>
  <si>
    <t>CSSF6888C01069T</t>
  </si>
  <si>
    <t>-0.1632507</t>
  </si>
  <si>
    <t>-78.489546</t>
  </si>
  <si>
    <t>PASOS DEPRIMIDOS</t>
  </si>
  <si>
    <t>PASO 1</t>
  </si>
  <si>
    <t>Av. 10de Agosto y Patria</t>
  </si>
  <si>
    <t>172.16.1.0</t>
  </si>
  <si>
    <t>172.16.1.254</t>
  </si>
  <si>
    <t>172.16.1.1</t>
  </si>
  <si>
    <t>AVIGILON</t>
  </si>
  <si>
    <t>3.OC-H4A-BO2-IR /</t>
  </si>
  <si>
    <t>ACC</t>
  </si>
  <si>
    <t>-0.20663773</t>
  </si>
  <si>
    <t>-78.4993049</t>
  </si>
  <si>
    <t xml:space="preserve">NVR 32 CANALES </t>
  </si>
  <si>
    <t>172.16.1.2</t>
  </si>
  <si>
    <t>PASO 2</t>
  </si>
  <si>
    <t>Av. América y Ulloa</t>
  </si>
  <si>
    <t>172.16.2.0</t>
  </si>
  <si>
    <t>172.16.2.1</t>
  </si>
  <si>
    <t>-0.20220082</t>
  </si>
  <si>
    <t>-78.50102617</t>
  </si>
  <si>
    <t>PASO 3</t>
  </si>
  <si>
    <t>Av. América y Av. Universitaria</t>
  </si>
  <si>
    <t>172.16.3.0</t>
  </si>
  <si>
    <t>172.16.3.254</t>
  </si>
  <si>
    <t>172.16.3.1</t>
  </si>
  <si>
    <t>-0.20158026</t>
  </si>
  <si>
    <t>-78.5015527</t>
  </si>
  <si>
    <t>172.16.3.2</t>
  </si>
  <si>
    <t>2.OC-H4IRPTZ-DP30</t>
  </si>
  <si>
    <t>172.16.3.3</t>
  </si>
  <si>
    <t>PASO 4</t>
  </si>
  <si>
    <t>Av. 12 de Octubre y Patria</t>
  </si>
  <si>
    <t>172.16.4.0</t>
  </si>
  <si>
    <t>172.16.4.254</t>
  </si>
  <si>
    <t>172.16.4.1</t>
  </si>
  <si>
    <t>-0.21021233</t>
  </si>
  <si>
    <t>-78.4936676</t>
  </si>
  <si>
    <t>172.16.4.2</t>
  </si>
  <si>
    <t>PASO 5</t>
  </si>
  <si>
    <t>Av. 10 de Agosto Y Orellana</t>
  </si>
  <si>
    <t>172.16.5.0</t>
  </si>
  <si>
    <t>172.16.5.254</t>
  </si>
  <si>
    <t>172.16.5.1</t>
  </si>
  <si>
    <t>-0.19579211</t>
  </si>
  <si>
    <t>-78.4949593</t>
  </si>
  <si>
    <t>172.16.5.2</t>
  </si>
  <si>
    <t>PASO 6</t>
  </si>
  <si>
    <t>Av. 10 de Agosto y Juan de Azcaray</t>
  </si>
  <si>
    <t>172.16.6.0</t>
  </si>
  <si>
    <t>172.16.6.254</t>
  </si>
  <si>
    <t>172.16.6.1</t>
  </si>
  <si>
    <t>-0.1666291</t>
  </si>
  <si>
    <t>-78.4864615</t>
  </si>
  <si>
    <t>172.16.6.2</t>
  </si>
  <si>
    <t>172.16.6.3</t>
  </si>
  <si>
    <t>PASO 7</t>
  </si>
  <si>
    <t>Av. América y Prensa</t>
  </si>
  <si>
    <t>172.16.7.0</t>
  </si>
  <si>
    <t>172.16.7.254</t>
  </si>
  <si>
    <t>172.16.7.1</t>
  </si>
  <si>
    <t>-0.1663421</t>
  </si>
  <si>
    <t>-78.4869509</t>
  </si>
  <si>
    <t>172.16.7.2</t>
  </si>
  <si>
    <t>172.16.7.3</t>
  </si>
  <si>
    <t>172.16.7.4</t>
  </si>
  <si>
    <t>172.16.7.5</t>
  </si>
  <si>
    <t>PASO 8</t>
  </si>
  <si>
    <t>Av. América y Mariana de Jesús</t>
  </si>
  <si>
    <t>172.16.8.0</t>
  </si>
  <si>
    <t>172.16.8.254</t>
  </si>
  <si>
    <t>172.16.8.1</t>
  </si>
  <si>
    <t>-0.1868249</t>
  </si>
  <si>
    <t>-78.49566090</t>
  </si>
  <si>
    <t>172.16.8.2</t>
  </si>
  <si>
    <t>PASO 9</t>
  </si>
  <si>
    <t>Av. 10 de Agosto y Naciones Unidas</t>
  </si>
  <si>
    <t>172.16.9.0</t>
  </si>
  <si>
    <t>172.16.9.254</t>
  </si>
  <si>
    <t>172.16.9.1</t>
  </si>
  <si>
    <t>-0.1752464</t>
  </si>
  <si>
    <t>-78.4882805</t>
  </si>
  <si>
    <t>172.16.9.2</t>
  </si>
  <si>
    <t>PASO 10</t>
  </si>
  <si>
    <t>El Labrador, Amazonas Norte-Occidente</t>
  </si>
  <si>
    <t>172.16.10.0</t>
  </si>
  <si>
    <t>172.16.10.254</t>
  </si>
  <si>
    <t>172.16.10.1</t>
  </si>
  <si>
    <t>-0.1567015</t>
  </si>
  <si>
    <t>-78.4857912</t>
  </si>
  <si>
    <t>172.16.10.2</t>
  </si>
  <si>
    <t>172.16.10.3</t>
  </si>
  <si>
    <t>172.16.10.4</t>
  </si>
  <si>
    <t>172.16.10.5</t>
  </si>
  <si>
    <t>MERCADOS DMQ</t>
  </si>
  <si>
    <t>MS0700</t>
  </si>
  <si>
    <t>MERCADO CENTRAL</t>
  </si>
  <si>
    <t>192.170.10.0</t>
  </si>
  <si>
    <t>192.170.10.254</t>
  </si>
  <si>
    <t>192.170.10.1</t>
  </si>
  <si>
    <t>ACTI</t>
  </si>
  <si>
    <t>E78 / E36</t>
  </si>
  <si>
    <t>VMS ACTI</t>
  </si>
  <si>
    <t>MERCADO/ACDC/CACM</t>
  </si>
  <si>
    <t>-0.2200456</t>
  </si>
  <si>
    <t>-78.50709712</t>
  </si>
  <si>
    <t>NVR</t>
  </si>
  <si>
    <t>MS0701</t>
  </si>
  <si>
    <t>192.170.10.2</t>
  </si>
  <si>
    <t>MS0702</t>
  </si>
  <si>
    <t>192.170.10.3</t>
  </si>
  <si>
    <t>MS0703</t>
  </si>
  <si>
    <t>192.170.10.4</t>
  </si>
  <si>
    <t>MS0704</t>
  </si>
  <si>
    <t>192.170.10.5</t>
  </si>
  <si>
    <t>MS0705</t>
  </si>
  <si>
    <t>192.170.10.6</t>
  </si>
  <si>
    <t>MS0706</t>
  </si>
  <si>
    <t>192.170.10.7</t>
  </si>
  <si>
    <t>DOMO</t>
  </si>
  <si>
    <t>192.170.10.8</t>
  </si>
  <si>
    <t>192.170.10.9</t>
  </si>
  <si>
    <t>MS0709</t>
  </si>
  <si>
    <t>192.170.10.10</t>
  </si>
  <si>
    <t>MS0712</t>
  </si>
  <si>
    <t>192.170.10.11</t>
  </si>
  <si>
    <t>MS0713</t>
  </si>
  <si>
    <t>192.170.10.12</t>
  </si>
  <si>
    <t>MS0714</t>
  </si>
  <si>
    <t>192.170.10.13</t>
  </si>
  <si>
    <t>192.170.10.14</t>
  </si>
  <si>
    <t>MERCADO FLORESTA</t>
  </si>
  <si>
    <t>192.170.5.0</t>
  </si>
  <si>
    <t>192.170.5.254</t>
  </si>
  <si>
    <t>192.170.5.1</t>
  </si>
  <si>
    <t xml:space="preserve">VMS ACTI </t>
  </si>
  <si>
    <t>-0.2068184</t>
  </si>
  <si>
    <t>-78.4853991</t>
  </si>
  <si>
    <t>192.170.5.2</t>
  </si>
  <si>
    <t>192.170.5.3</t>
  </si>
  <si>
    <t>192.170.5.4</t>
  </si>
  <si>
    <t>192.170.5.5</t>
  </si>
  <si>
    <t>192.170.5.6</t>
  </si>
  <si>
    <t>192.170.5.7</t>
  </si>
  <si>
    <t>192.170.5.8</t>
  </si>
  <si>
    <t>LA DELICIA</t>
  </si>
  <si>
    <t>MERCADO COTOCOLLAO</t>
  </si>
  <si>
    <t>192.170.4.0</t>
  </si>
  <si>
    <t>192.170.4.254</t>
  </si>
  <si>
    <t>192.170.4.1</t>
  </si>
  <si>
    <t>ACTI / VIVOTEK</t>
  </si>
  <si>
    <t>FD8377-HV / E78 / E36</t>
  </si>
  <si>
    <t>VMS ACTI / VIVOTEK</t>
  </si>
  <si>
    <t>-0.1164458</t>
  </si>
  <si>
    <t>-78.4902905</t>
  </si>
  <si>
    <t>192.170.4.2</t>
  </si>
  <si>
    <t>192.170.4.3</t>
  </si>
  <si>
    <t>192.170.4.4</t>
  </si>
  <si>
    <t>192.170.4.5</t>
  </si>
  <si>
    <t>192.170.4.6</t>
  </si>
  <si>
    <t>LD0007</t>
  </si>
  <si>
    <t>192.170.4.7</t>
  </si>
  <si>
    <t>192.170.4.8</t>
  </si>
  <si>
    <t>LD0009</t>
  </si>
  <si>
    <t>192.170.4.9</t>
  </si>
  <si>
    <t>LD0010</t>
  </si>
  <si>
    <t>192.170.4.10</t>
  </si>
  <si>
    <t>192.170.4.11</t>
  </si>
  <si>
    <t>192.170.4.12</t>
  </si>
  <si>
    <t>192.170.4.13</t>
  </si>
  <si>
    <t>LD0014</t>
  </si>
  <si>
    <t>192.170.4.14</t>
  </si>
  <si>
    <t>LD0015</t>
  </si>
  <si>
    <t>192.170.4.15</t>
  </si>
  <si>
    <t>LD0016</t>
  </si>
  <si>
    <t>192.170.4.16</t>
  </si>
  <si>
    <t>192.170.4.17</t>
  </si>
  <si>
    <t>192.170.4.18</t>
  </si>
  <si>
    <t>192.170.4.19</t>
  </si>
  <si>
    <t>LD0020</t>
  </si>
  <si>
    <t>192.170.4.20</t>
  </si>
  <si>
    <t>LD0021</t>
  </si>
  <si>
    <t>192.170.4.21</t>
  </si>
  <si>
    <t>MERCADO SAN ROQUE</t>
  </si>
  <si>
    <t>192.170.7.0</t>
  </si>
  <si>
    <t>192.170.7.254</t>
  </si>
  <si>
    <t>192.170.7.1</t>
  </si>
  <si>
    <t>-0.2185471</t>
  </si>
  <si>
    <t>-78.5215234</t>
  </si>
  <si>
    <t>192.170.7.2</t>
  </si>
  <si>
    <t>192.170.7.3</t>
  </si>
  <si>
    <t>192.170.7.4</t>
  </si>
  <si>
    <t>192.170.7.5</t>
  </si>
  <si>
    <t>192.170.7.6</t>
  </si>
  <si>
    <t>192.170.7.7</t>
  </si>
  <si>
    <t>192.170.7.8</t>
  </si>
  <si>
    <t>192.170.7.9</t>
  </si>
  <si>
    <t>192.170.7.10</t>
  </si>
  <si>
    <t>192.170.7.11</t>
  </si>
  <si>
    <t>192.170.7.12</t>
  </si>
  <si>
    <t>192.170.7.13</t>
  </si>
  <si>
    <t>192.170.7.14</t>
  </si>
  <si>
    <t>192.170.7.15</t>
  </si>
  <si>
    <t>192.170.7.16</t>
  </si>
  <si>
    <t>192.170.7.17</t>
  </si>
  <si>
    <t>192.170.7.18</t>
  </si>
  <si>
    <t>MS0750</t>
  </si>
  <si>
    <t>192.170.7.19</t>
  </si>
  <si>
    <t>MS0751</t>
  </si>
  <si>
    <t>192.170.7.20</t>
  </si>
  <si>
    <t>192.170.7.21</t>
  </si>
  <si>
    <t>MS0753</t>
  </si>
  <si>
    <t>192.170.7.22</t>
  </si>
  <si>
    <t>192.170.7.23</t>
  </si>
  <si>
    <t>MS0755</t>
  </si>
  <si>
    <t>192.170.7.24</t>
  </si>
  <si>
    <t>192.170.7.25</t>
  </si>
  <si>
    <t>192.170.7.26</t>
  </si>
  <si>
    <t>192.170.7.27</t>
  </si>
  <si>
    <t>192.170.7.28</t>
  </si>
  <si>
    <t>192.170.7.29</t>
  </si>
  <si>
    <t>192.170.7.30</t>
  </si>
  <si>
    <t>192.170.7.31</t>
  </si>
  <si>
    <t>MS0764</t>
  </si>
  <si>
    <t>192.170.7.32</t>
  </si>
  <si>
    <t>EE0101</t>
  </si>
  <si>
    <t>MERCADO IÑAQUITO</t>
  </si>
  <si>
    <t>192.170.9.0</t>
  </si>
  <si>
    <t>192.170.9.254</t>
  </si>
  <si>
    <t>192.170.9.1</t>
  </si>
  <si>
    <t>-0.17181621</t>
  </si>
  <si>
    <t>-78.4861267</t>
  </si>
  <si>
    <t>EE0102</t>
  </si>
  <si>
    <t>192.170.9.2</t>
  </si>
  <si>
    <t>EE0103</t>
  </si>
  <si>
    <t>192.170.9.3</t>
  </si>
  <si>
    <t>192.170.9.4</t>
  </si>
  <si>
    <t>EE0105</t>
  </si>
  <si>
    <t>192.170.9.5</t>
  </si>
  <si>
    <t>192.170.9.6</t>
  </si>
  <si>
    <t>EE0106</t>
  </si>
  <si>
    <t>192.170.9.7</t>
  </si>
  <si>
    <t>EE0108</t>
  </si>
  <si>
    <t>192.170.9.8</t>
  </si>
  <si>
    <t>EE0109</t>
  </si>
  <si>
    <t>192.170.9.9</t>
  </si>
  <si>
    <t>192.170.9.10</t>
  </si>
  <si>
    <t>EE0110</t>
  </si>
  <si>
    <t>192.170.9.11</t>
  </si>
  <si>
    <t>EE0111</t>
  </si>
  <si>
    <t>192.170.9.12</t>
  </si>
  <si>
    <t>EE0112</t>
  </si>
  <si>
    <t>192.170.9.13</t>
  </si>
  <si>
    <t>EE0113</t>
  </si>
  <si>
    <t>192.170.9.14</t>
  </si>
  <si>
    <t>192.170.9.15</t>
  </si>
  <si>
    <t>EE0117</t>
  </si>
  <si>
    <t>192.170.9.16</t>
  </si>
  <si>
    <t>LM0301</t>
  </si>
  <si>
    <t>MERCADO SANTA CLARA</t>
  </si>
  <si>
    <t>Ramírez Dávalos y Versalles</t>
  </si>
  <si>
    <t>192.170.11.0</t>
  </si>
  <si>
    <t>192.170.11.254</t>
  </si>
  <si>
    <t>192.170.11.1</t>
  </si>
  <si>
    <t>-0.2000840</t>
  </si>
  <si>
    <t>-78.4996217</t>
  </si>
  <si>
    <t>LM0302</t>
  </si>
  <si>
    <t>192.170.11.2</t>
  </si>
  <si>
    <t>LM0303</t>
  </si>
  <si>
    <t>192.170.11.3</t>
  </si>
  <si>
    <t>192.170.11.4</t>
  </si>
  <si>
    <t>LM0305</t>
  </si>
  <si>
    <t>192.170.11.5</t>
  </si>
  <si>
    <t>LM0306</t>
  </si>
  <si>
    <t>192.170.11.6</t>
  </si>
  <si>
    <t>LM0307</t>
  </si>
  <si>
    <t>192.170.11.7</t>
  </si>
  <si>
    <t>LM0308</t>
  </si>
  <si>
    <t>192.170.11.8</t>
  </si>
  <si>
    <t>192.170.11.9</t>
  </si>
  <si>
    <t>LM0310</t>
  </si>
  <si>
    <t>192.170.11.10</t>
  </si>
  <si>
    <t>192.170.11.11</t>
  </si>
  <si>
    <t>LM0312</t>
  </si>
  <si>
    <t>192.170.11.12</t>
  </si>
  <si>
    <t>LM0313</t>
  </si>
  <si>
    <t>192.170.11.13</t>
  </si>
  <si>
    <t>192.170.11.14</t>
  </si>
  <si>
    <t>192.170.11.15</t>
  </si>
  <si>
    <t>QT0200</t>
  </si>
  <si>
    <t>MERCADO LAS CUADRAS</t>
  </si>
  <si>
    <t>MARISCAL SUCRE Y MORAN VALVERDE</t>
  </si>
  <si>
    <t>192.170.1.0</t>
  </si>
  <si>
    <t>192.170.1.254</t>
  </si>
  <si>
    <t>192.170.1.1</t>
  </si>
  <si>
    <t>-0.281056</t>
  </si>
  <si>
    <t>-78.552573</t>
  </si>
  <si>
    <t>QT0201</t>
  </si>
  <si>
    <t>192.170.1.2</t>
  </si>
  <si>
    <t>QT0202</t>
  </si>
  <si>
    <t>192.170.1.3</t>
  </si>
  <si>
    <t>192.170.1.4</t>
  </si>
  <si>
    <t>QT0204</t>
  </si>
  <si>
    <t>192.170.1.5</t>
  </si>
  <si>
    <t>192.170.1.6</t>
  </si>
  <si>
    <t>192.170.1.7</t>
  </si>
  <si>
    <t>QT0207</t>
  </si>
  <si>
    <t>192.170.1.8</t>
  </si>
  <si>
    <t>192.170.1.9</t>
  </si>
  <si>
    <t>QT0209</t>
  </si>
  <si>
    <t>192.170.1.10</t>
  </si>
  <si>
    <t>192.170.1.11</t>
  </si>
  <si>
    <t>192.170.1.12</t>
  </si>
  <si>
    <t>192.170.1.13</t>
  </si>
  <si>
    <t>192.170.1.14</t>
  </si>
  <si>
    <t>192.170.1.15</t>
  </si>
  <si>
    <t>QT0215</t>
  </si>
  <si>
    <t>192.170.1.16</t>
  </si>
  <si>
    <t>192.170.1.17</t>
  </si>
  <si>
    <t>192.170.1.18</t>
  </si>
  <si>
    <t>192.170.1.19</t>
  </si>
  <si>
    <t>192.170.1.20</t>
  </si>
  <si>
    <t>192.170.1.21</t>
  </si>
  <si>
    <t>192.170.1.22</t>
  </si>
  <si>
    <t>192.170.1.23</t>
  </si>
  <si>
    <t>192.170.1.24</t>
  </si>
  <si>
    <t>MS0616</t>
  </si>
  <si>
    <t>MERCADO AMERICA</t>
  </si>
  <si>
    <t>192.170.6.0</t>
  </si>
  <si>
    <t>192.170.6.254</t>
  </si>
  <si>
    <t>192.170.6.1</t>
  </si>
  <si>
    <t>-0.20972439</t>
  </si>
  <si>
    <t>-78.50471</t>
  </si>
  <si>
    <t>MS0601</t>
  </si>
  <si>
    <t>192.170.6.2</t>
  </si>
  <si>
    <t>192.170.6.3</t>
  </si>
  <si>
    <t>MS0603</t>
  </si>
  <si>
    <t>192.170.6.4</t>
  </si>
  <si>
    <t>192.170.6.5</t>
  </si>
  <si>
    <t>MS0617</t>
  </si>
  <si>
    <t>192.170.6.6</t>
  </si>
  <si>
    <t>MS0606</t>
  </si>
  <si>
    <t>192.170.6.7</t>
  </si>
  <si>
    <t>MS0607</t>
  </si>
  <si>
    <t>192.170.6.8</t>
  </si>
  <si>
    <t>MS0608</t>
  </si>
  <si>
    <t>192.170.6.9</t>
  </si>
  <si>
    <t>192.170.6.10</t>
  </si>
  <si>
    <t>MS0610</t>
  </si>
  <si>
    <t>192.170.6.11</t>
  </si>
  <si>
    <t>MS0611</t>
  </si>
  <si>
    <t>192.170.6.12</t>
  </si>
  <si>
    <t>MS0612</t>
  </si>
  <si>
    <t>192.170.6.13</t>
  </si>
  <si>
    <t>192.170.6.14</t>
  </si>
  <si>
    <t>MS0614</t>
  </si>
  <si>
    <t>192.170.6.15</t>
  </si>
  <si>
    <t>MS0615</t>
  </si>
  <si>
    <t>192.170.6.16</t>
  </si>
  <si>
    <t>MERCADO SAN FRANCISCO</t>
  </si>
  <si>
    <t>192.170.2.0</t>
  </si>
  <si>
    <t>192.170.2.254</t>
  </si>
  <si>
    <t>192.170.2.1</t>
  </si>
  <si>
    <t>-0.2198775</t>
  </si>
  <si>
    <t>-78.5187540</t>
  </si>
  <si>
    <t>192.170.2.2</t>
  </si>
  <si>
    <t>192.170.2.3</t>
  </si>
  <si>
    <t>192.170.2.4</t>
  </si>
  <si>
    <t>192.170.2.5</t>
  </si>
  <si>
    <t>192.170.2.6</t>
  </si>
  <si>
    <t>192.170.2.7</t>
  </si>
  <si>
    <t>192.170.2.8</t>
  </si>
  <si>
    <t>192.170.2.9</t>
  </si>
  <si>
    <t>192.170.2.10</t>
  </si>
  <si>
    <t>192.170.2.11</t>
  </si>
  <si>
    <t>192.170.2.12</t>
  </si>
  <si>
    <t>192.170.2.13</t>
  </si>
  <si>
    <t>192.170.2.14</t>
  </si>
  <si>
    <t>192.170.2.15</t>
  </si>
  <si>
    <t>192.170.2.16</t>
  </si>
  <si>
    <t>EA0200</t>
  </si>
  <si>
    <t>MERCADO CHIRIYACU</t>
  </si>
  <si>
    <t>192.170.8.0</t>
  </si>
  <si>
    <t>192.170.8.254</t>
  </si>
  <si>
    <t>192.170.8.1</t>
  </si>
  <si>
    <t>E33A</t>
  </si>
  <si>
    <t>E33A-A-XX-21J-00036</t>
  </si>
  <si>
    <t>-0.2505403</t>
  </si>
  <si>
    <t>-78.5184932</t>
  </si>
  <si>
    <t>192.170.8.2</t>
  </si>
  <si>
    <t>E33A-A-XX-21J-00017</t>
  </si>
  <si>
    <t>192.170.8.3</t>
  </si>
  <si>
    <t>E33A-A-XX-21J-00060</t>
  </si>
  <si>
    <t>192.170.8.4</t>
  </si>
  <si>
    <t>E33A-A-XX-21J-00020</t>
  </si>
  <si>
    <t>192.170.8.5</t>
  </si>
  <si>
    <t>E33A-A-XX-21J-00022</t>
  </si>
  <si>
    <t>192.170.8.6</t>
  </si>
  <si>
    <t>E33A-A-XX-21J-00033</t>
  </si>
  <si>
    <t>EA0206</t>
  </si>
  <si>
    <t>192.170.8.7</t>
  </si>
  <si>
    <t>E36</t>
  </si>
  <si>
    <t>E36--A2XX-16E-00040</t>
  </si>
  <si>
    <t>192.170.8.8</t>
  </si>
  <si>
    <t>192.170.8.9</t>
  </si>
  <si>
    <t>E36--A2XX-16E-00042</t>
  </si>
  <si>
    <t>SEGURO</t>
  </si>
  <si>
    <t>192.170.8.10</t>
  </si>
  <si>
    <t>192.170.8.11</t>
  </si>
  <si>
    <t>E33A-A-XX-21G-00020</t>
  </si>
  <si>
    <t>192.170.8.12</t>
  </si>
  <si>
    <t>E36--A2XX-16E-00004</t>
  </si>
  <si>
    <t>192.170.8.13</t>
  </si>
  <si>
    <t>E36--A2XX-16E-00039</t>
  </si>
  <si>
    <t>192.170.8.14</t>
  </si>
  <si>
    <t>E36--A2XX-16E-00041</t>
  </si>
  <si>
    <t>192.170.8.15</t>
  </si>
  <si>
    <t>E38</t>
  </si>
  <si>
    <t>E38--A-XX-20A-00010</t>
  </si>
  <si>
    <t>192.170.8.16</t>
  </si>
  <si>
    <t>E38--A-XX-20A-00012</t>
  </si>
  <si>
    <t>EA0216</t>
  </si>
  <si>
    <t>192.170.8.17</t>
  </si>
  <si>
    <t>FD9388-HTV</t>
  </si>
  <si>
    <t>0002D19DBE5E</t>
  </si>
  <si>
    <t>Mercados2018</t>
  </si>
  <si>
    <t>EA0217</t>
  </si>
  <si>
    <t>192.170.8.18</t>
  </si>
  <si>
    <t>0002D19DBE5B</t>
  </si>
  <si>
    <t>192.170.8.19</t>
  </si>
  <si>
    <t>0002D19DBE5C</t>
  </si>
  <si>
    <t>192.170.8.20</t>
  </si>
  <si>
    <t>FD8377-HV</t>
  </si>
  <si>
    <t>0002D1720DC8</t>
  </si>
  <si>
    <t>192.170.8.21</t>
  </si>
  <si>
    <t>0002D1720DC2</t>
  </si>
  <si>
    <t>QUEMADA</t>
  </si>
  <si>
    <t>192.170.8.22</t>
  </si>
  <si>
    <t>0002D1720DC3</t>
  </si>
  <si>
    <t xml:space="preserve">FUERA DE FUNCIONAMIENTO POR TRABAJOS DE OBRA CIVIL </t>
  </si>
  <si>
    <t>192.170.8.23</t>
  </si>
  <si>
    <t>0002D1720DC4</t>
  </si>
  <si>
    <t>192.170.8.24</t>
  </si>
  <si>
    <t>BAJA</t>
  </si>
  <si>
    <t>192.170.8.25</t>
  </si>
  <si>
    <t>POR REVISAR</t>
  </si>
  <si>
    <t>192.170.8.26</t>
  </si>
  <si>
    <t>192.170.8.27</t>
  </si>
  <si>
    <t>0002D1720DC1</t>
  </si>
  <si>
    <t>192.170.8.28</t>
  </si>
  <si>
    <t>0002D1720DC6</t>
  </si>
  <si>
    <t>MERCADO CARAPUNGO</t>
  </si>
  <si>
    <t>192.170.3.0</t>
  </si>
  <si>
    <t>192.170.3.254</t>
  </si>
  <si>
    <t>192.170.3.1</t>
  </si>
  <si>
    <t>-0.0958080</t>
  </si>
  <si>
    <t>-78.4504418</t>
  </si>
  <si>
    <t>NVR 16 DIGIEVER</t>
  </si>
  <si>
    <t>192.170.3.2</t>
  </si>
  <si>
    <t>192.170.3.3</t>
  </si>
  <si>
    <t>192.170.3.4</t>
  </si>
  <si>
    <t>192.170.3.5</t>
  </si>
  <si>
    <t>192.170.3.6</t>
  </si>
  <si>
    <t>192.170.3.7</t>
  </si>
  <si>
    <t>192.170.3.8</t>
  </si>
  <si>
    <t>192.170.3.9</t>
  </si>
  <si>
    <t>192.170.3.10</t>
  </si>
  <si>
    <t>192.170.3.11</t>
  </si>
  <si>
    <t>192.170.3.12</t>
  </si>
  <si>
    <t>192.170.3.13</t>
  </si>
  <si>
    <t>192.170.3.14</t>
  </si>
  <si>
    <t>192.170.3.15</t>
  </si>
  <si>
    <t>192.170.3.16</t>
  </si>
  <si>
    <t>MERCADO PLAZA ARENAS</t>
  </si>
  <si>
    <t>192.170.15.0</t>
  </si>
  <si>
    <t>192.170.15.254</t>
  </si>
  <si>
    <t>192.170.15.1</t>
  </si>
  <si>
    <t>VIVOTEK</t>
  </si>
  <si>
    <t>VMS VIVOTEK</t>
  </si>
  <si>
    <t>-0.21667532</t>
  </si>
  <si>
    <t>-78.5069849</t>
  </si>
  <si>
    <t>MS0651</t>
  </si>
  <si>
    <t>192.170.15.2</t>
  </si>
  <si>
    <t>MS0652</t>
  </si>
  <si>
    <t>192.170.15.3</t>
  </si>
  <si>
    <t>MS0653</t>
  </si>
  <si>
    <t>192.170.15.4</t>
  </si>
  <si>
    <t>MS0654</t>
  </si>
  <si>
    <t>192.170.15.5</t>
  </si>
  <si>
    <t>MS0655</t>
  </si>
  <si>
    <t>192.170.15.6</t>
  </si>
  <si>
    <t>MS0656</t>
  </si>
  <si>
    <t>192.170.15.7</t>
  </si>
  <si>
    <t>MS0657</t>
  </si>
  <si>
    <t>192.170.15.8</t>
  </si>
  <si>
    <t>MS0658</t>
  </si>
  <si>
    <t>192.170.15.9</t>
  </si>
  <si>
    <t>MS0659</t>
  </si>
  <si>
    <t>192.170.15.10</t>
  </si>
  <si>
    <t>MERCADO RUMIÑAHUI</t>
  </si>
  <si>
    <t>192.170.20.0</t>
  </si>
  <si>
    <t>192.170.20.254</t>
  </si>
  <si>
    <t>192.170.20.1</t>
  </si>
  <si>
    <t>-0.12739357</t>
  </si>
  <si>
    <t>-78.4862242</t>
  </si>
  <si>
    <t>192.170.20.2</t>
  </si>
  <si>
    <t>192.170.20.3</t>
  </si>
  <si>
    <t>192.170.20.4</t>
  </si>
  <si>
    <t>192.170.20.5</t>
  </si>
  <si>
    <t>192.170.20.6</t>
  </si>
  <si>
    <t>192.170.20.7</t>
  </si>
  <si>
    <t>192.170.20.8</t>
  </si>
  <si>
    <t>LC0100</t>
  </si>
  <si>
    <t>MERCADO CONOCOTO</t>
  </si>
  <si>
    <t>192.170.16.0</t>
  </si>
  <si>
    <t>192.170.16.254</t>
  </si>
  <si>
    <t>192.170.16.1</t>
  </si>
  <si>
    <t>-0.29787036</t>
  </si>
  <si>
    <t>-78.4804026</t>
  </si>
  <si>
    <t>LC0101</t>
  </si>
  <si>
    <t>192.170.16.2</t>
  </si>
  <si>
    <t>192.170.16.3</t>
  </si>
  <si>
    <t>192.170.16.4</t>
  </si>
  <si>
    <t>LC0104</t>
  </si>
  <si>
    <t>192.170.16.5</t>
  </si>
  <si>
    <t>LC0105</t>
  </si>
  <si>
    <t>192.170.16.6</t>
  </si>
  <si>
    <t>LC0106</t>
  </si>
  <si>
    <t>192.170.16.7</t>
  </si>
  <si>
    <t>LC0107</t>
  </si>
  <si>
    <t>192.170.16.8</t>
  </si>
  <si>
    <t>LC0108</t>
  </si>
  <si>
    <t>192.170.16.9</t>
  </si>
  <si>
    <t>LC0109</t>
  </si>
  <si>
    <t>192.170.16.10</t>
  </si>
  <si>
    <t>MERCADO CALDERON</t>
  </si>
  <si>
    <t>192.170.21.0</t>
  </si>
  <si>
    <t>192.170.21.254</t>
  </si>
  <si>
    <t>192.170.21.1</t>
  </si>
  <si>
    <t>-0.1018062</t>
  </si>
  <si>
    <t>-78.4236749</t>
  </si>
  <si>
    <t>192.170.21.2</t>
  </si>
  <si>
    <t>192.170.21.3</t>
  </si>
  <si>
    <t>192.170.21.4</t>
  </si>
  <si>
    <t>192.170.21.5</t>
  </si>
  <si>
    <t>192.170.21.6</t>
  </si>
  <si>
    <t>192.170.21.7</t>
  </si>
  <si>
    <t>192.170.21.8</t>
  </si>
  <si>
    <t>MERCADO SOLANDA</t>
  </si>
  <si>
    <t>192.170.14.0</t>
  </si>
  <si>
    <t>192.170.14.254</t>
  </si>
  <si>
    <t>192.170.14.1</t>
  </si>
  <si>
    <t>-0.2687654</t>
  </si>
  <si>
    <t>-78.5427088</t>
  </si>
  <si>
    <t>ENLACE DE CNT HABILITADO, REVISAR  NVR Y CONFIGURACION DE RED PARA TENER CONEXIÓN DESDE EL COEM</t>
  </si>
  <si>
    <t>192.170.14.2</t>
  </si>
  <si>
    <t>192.170.14.3</t>
  </si>
  <si>
    <t>192.170.14.4</t>
  </si>
  <si>
    <t>192.170.14.5</t>
  </si>
  <si>
    <t>192.170.14.6</t>
  </si>
  <si>
    <t>EA0151</t>
  </si>
  <si>
    <t>MERCADO MAGDALENA</t>
  </si>
  <si>
    <t>192.170.13.0</t>
  </si>
  <si>
    <t>192.170.13.254</t>
  </si>
  <si>
    <t>192.170.13.1</t>
  </si>
  <si>
    <t>-0.2416571</t>
  </si>
  <si>
    <t>-78.5297549</t>
  </si>
  <si>
    <t>EA0152</t>
  </si>
  <si>
    <t>192.170.13.2</t>
  </si>
  <si>
    <t>192.170.13.3</t>
  </si>
  <si>
    <t>EA0154</t>
  </si>
  <si>
    <t>192.170.13.4</t>
  </si>
  <si>
    <t>EA0155</t>
  </si>
  <si>
    <t>192.170.13.5</t>
  </si>
  <si>
    <t>EA0156</t>
  </si>
  <si>
    <t>192.170.13.6</t>
  </si>
  <si>
    <t>EA0157</t>
  </si>
  <si>
    <t>192.170.13.7</t>
  </si>
  <si>
    <t>EA0158</t>
  </si>
  <si>
    <t>192.170.13.8</t>
  </si>
  <si>
    <t>EA0159</t>
  </si>
  <si>
    <t>192.170.13.9</t>
  </si>
  <si>
    <t>EA01510</t>
  </si>
  <si>
    <t>192.170.13.10</t>
  </si>
  <si>
    <t>EA01511</t>
  </si>
  <si>
    <t>192.170.13.11</t>
  </si>
  <si>
    <t>EA01512</t>
  </si>
  <si>
    <t>192.170.13.12</t>
  </si>
  <si>
    <t>MERCADO EL QUINCHE</t>
  </si>
  <si>
    <t>192.170.17.0</t>
  </si>
  <si>
    <t>192.170.17.254</t>
  </si>
  <si>
    <t>192.170.17.1</t>
  </si>
  <si>
    <t>-0.1102659</t>
  </si>
  <si>
    <t>-78.2978498</t>
  </si>
  <si>
    <t>TB0002</t>
  </si>
  <si>
    <t>192.170.17.2</t>
  </si>
  <si>
    <t>TB0003</t>
  </si>
  <si>
    <t>192.170.17.3</t>
  </si>
  <si>
    <t>192.170.17.4</t>
  </si>
  <si>
    <t>192.170.17.5</t>
  </si>
  <si>
    <t>TB0017</t>
  </si>
  <si>
    <t>192.170.17.6</t>
  </si>
  <si>
    <t>TB0007</t>
  </si>
  <si>
    <t>192.170.17.7</t>
  </si>
  <si>
    <t>TB0008</t>
  </si>
  <si>
    <t>192.170.17.8</t>
  </si>
  <si>
    <t>TB0009</t>
  </si>
  <si>
    <t>192.170.17.9</t>
  </si>
  <si>
    <t>TB0010</t>
  </si>
  <si>
    <t>192.170.17.10</t>
  </si>
  <si>
    <t>TB0011</t>
  </si>
  <si>
    <t>192.170.17.11</t>
  </si>
  <si>
    <t>TB0012</t>
  </si>
  <si>
    <t>192.170.17.12</t>
  </si>
  <si>
    <t>TB0013</t>
  </si>
  <si>
    <t>192.170.17.13</t>
  </si>
  <si>
    <t>192.170.17.14</t>
  </si>
  <si>
    <t>TB0015</t>
  </si>
  <si>
    <t>192.170.17.15</t>
  </si>
  <si>
    <t>TB0016</t>
  </si>
  <si>
    <t>192.170.17.16</t>
  </si>
  <si>
    <t>EA0101</t>
  </si>
  <si>
    <t>MERCADO MICHELENA</t>
  </si>
  <si>
    <t>192.170.12.0</t>
  </si>
  <si>
    <t>192.170.12.254</t>
  </si>
  <si>
    <t>192.170.12.1</t>
  </si>
  <si>
    <t>-0.24922200</t>
  </si>
  <si>
    <t>-78.535832</t>
  </si>
  <si>
    <t>EA0102</t>
  </si>
  <si>
    <t>192.170.12.2</t>
  </si>
  <si>
    <t>EA0103</t>
  </si>
  <si>
    <t>192.170.12.3</t>
  </si>
  <si>
    <t>EA0104</t>
  </si>
  <si>
    <t>192.170.12.4</t>
  </si>
  <si>
    <t>EA0105</t>
  </si>
  <si>
    <t>192.170.12.5</t>
  </si>
  <si>
    <t>EA0106</t>
  </si>
  <si>
    <t>192.170.12.6</t>
  </si>
  <si>
    <t>EA0107</t>
  </si>
  <si>
    <t>192.170.12.7</t>
  </si>
  <si>
    <t>EA0108</t>
  </si>
  <si>
    <t>192.170.12.8</t>
  </si>
  <si>
    <t>EA0109</t>
  </si>
  <si>
    <t>192.170.12.9</t>
  </si>
  <si>
    <t>EA0110</t>
  </si>
  <si>
    <t>192.170.12.10</t>
  </si>
  <si>
    <t>EA0111</t>
  </si>
  <si>
    <t>192.170.12.11</t>
  </si>
  <si>
    <t>EA0112</t>
  </si>
  <si>
    <t>192.170.12.12</t>
  </si>
  <si>
    <t>EA0113</t>
  </si>
  <si>
    <t>192.170.12.13</t>
  </si>
  <si>
    <t>EA0114</t>
  </si>
  <si>
    <t>192.170.12.14</t>
  </si>
  <si>
    <t>EA0115</t>
  </si>
  <si>
    <t>192.170.12.15</t>
  </si>
  <si>
    <t>EA0116</t>
  </si>
  <si>
    <t>192.170.12.16</t>
  </si>
  <si>
    <t>MERCADO ANDALUCÍA</t>
  </si>
  <si>
    <t>192.170.19.0</t>
  </si>
  <si>
    <t>192.170.19.254</t>
  </si>
  <si>
    <t>192.170.19.1</t>
  </si>
  <si>
    <t>-0.13986352</t>
  </si>
  <si>
    <t>-78.500568</t>
  </si>
  <si>
    <t>192.170.19.2</t>
  </si>
  <si>
    <t>192.170.19.3</t>
  </si>
  <si>
    <t>192.170.19.4</t>
  </si>
  <si>
    <t>192.170.19.5</t>
  </si>
  <si>
    <t>192.170.19.6</t>
  </si>
  <si>
    <t>192.170.19.7</t>
  </si>
  <si>
    <t>192.170.19.8</t>
  </si>
  <si>
    <t>192.170.19.9</t>
  </si>
  <si>
    <t>192.170.19.10</t>
  </si>
  <si>
    <t>192.170.19.11</t>
  </si>
  <si>
    <t>192.170.19.12</t>
  </si>
  <si>
    <t>192.170.19.13</t>
  </si>
  <si>
    <t>MERCADO COMITÉ DEL PUEBLO</t>
  </si>
  <si>
    <t>192.170.18.0</t>
  </si>
  <si>
    <t>192.170.18.254</t>
  </si>
  <si>
    <t>192.170.18.1</t>
  </si>
  <si>
    <t>-0.118775</t>
  </si>
  <si>
    <t>-78.465674</t>
  </si>
  <si>
    <t>192.170.18.2</t>
  </si>
  <si>
    <t>192.170.18.3</t>
  </si>
  <si>
    <t>192.170.18.4</t>
  </si>
  <si>
    <t>192.170.18.5</t>
  </si>
  <si>
    <t>192.170.18.6</t>
  </si>
  <si>
    <t>192.170.18.7</t>
  </si>
  <si>
    <t>192.170.18.8</t>
  </si>
  <si>
    <t>MERCADO CARCELEN</t>
  </si>
  <si>
    <t>192.170.26.0</t>
  </si>
  <si>
    <t>192.170.26.254</t>
  </si>
  <si>
    <t>192.170.26.1</t>
  </si>
  <si>
    <t>-0.0854172</t>
  </si>
  <si>
    <t>-78.4698213</t>
  </si>
  <si>
    <t>192.170.26.2</t>
  </si>
  <si>
    <t>192.170.26.3</t>
  </si>
  <si>
    <t>192.170.26.4</t>
  </si>
  <si>
    <t>192.170.26.5</t>
  </si>
  <si>
    <t>192.170.26.6</t>
  </si>
  <si>
    <t>MERCADO CHIMBACALLE</t>
  </si>
  <si>
    <t>192.170.24.0</t>
  </si>
  <si>
    <t>192.170.24.254</t>
  </si>
  <si>
    <t>192.170.24.1</t>
  </si>
  <si>
    <t>-0.2404073</t>
  </si>
  <si>
    <t>-78.514228</t>
  </si>
  <si>
    <t>BATERIAS DAÑADAS DEL UPS DEL CENTRO DE MONITOREO, POR LO QUE LAS CAMARS ESTAN FUERA DE SERVICIO</t>
  </si>
  <si>
    <t>192.170.24.2</t>
  </si>
  <si>
    <t>192.170.24.3</t>
  </si>
  <si>
    <t>EA0120</t>
  </si>
  <si>
    <t>192.170.24.4</t>
  </si>
  <si>
    <t>EA0121</t>
  </si>
  <si>
    <t>192.170.24.5</t>
  </si>
  <si>
    <t>EA0122</t>
  </si>
  <si>
    <t>192.170.24.6</t>
  </si>
  <si>
    <t>EA0123</t>
  </si>
  <si>
    <t>192.170.24.7</t>
  </si>
  <si>
    <t>192.170.24.8</t>
  </si>
  <si>
    <t>EA0124</t>
  </si>
  <si>
    <t>192.170.24.9</t>
  </si>
  <si>
    <t>192.170.24.10</t>
  </si>
  <si>
    <t>EA0125</t>
  </si>
  <si>
    <t>192.170.24.11</t>
  </si>
  <si>
    <t>QT0220</t>
  </si>
  <si>
    <t>MERCADO CIUDADELA IBARRA</t>
  </si>
  <si>
    <t>192.170.22.0</t>
  </si>
  <si>
    <t>192.170.22.254</t>
  </si>
  <si>
    <t>192.170.22.1</t>
  </si>
  <si>
    <t>-0.294912</t>
  </si>
  <si>
    <t>-78.562866</t>
  </si>
  <si>
    <t>QT0221</t>
  </si>
  <si>
    <t>192.170.22.2</t>
  </si>
  <si>
    <t>192.170.22.3</t>
  </si>
  <si>
    <t>QT0222</t>
  </si>
  <si>
    <t>192.170.22.4</t>
  </si>
  <si>
    <t>192.170.22.5</t>
  </si>
  <si>
    <t>192.170.22.6</t>
  </si>
  <si>
    <t>192.170.22.7</t>
  </si>
  <si>
    <t>192.170.22.8</t>
  </si>
  <si>
    <t>192.170.22.9</t>
  </si>
  <si>
    <t>MERCADO LA KENNEDY</t>
  </si>
  <si>
    <t>192.170.25.0</t>
  </si>
  <si>
    <t>192.170.25.254</t>
  </si>
  <si>
    <t>192.170.25.1</t>
  </si>
  <si>
    <t>-0.1393235</t>
  </si>
  <si>
    <t>-78.477738</t>
  </si>
  <si>
    <t>192.170.25.2</t>
  </si>
  <si>
    <t>192.170.25.3</t>
  </si>
  <si>
    <t>192.170.25.4</t>
  </si>
  <si>
    <t>192.170.25.5</t>
  </si>
  <si>
    <t>192.170.25.6</t>
  </si>
  <si>
    <t>192.170.25.7</t>
  </si>
  <si>
    <t>192.170.25.8</t>
  </si>
  <si>
    <t>192.170.25.9</t>
  </si>
  <si>
    <t>MERCADO LA MENA</t>
  </si>
  <si>
    <t>192.170.23.0</t>
  </si>
  <si>
    <t>192.170.23.254</t>
  </si>
  <si>
    <t>192.170.23.1</t>
  </si>
  <si>
    <t>-0.2583981</t>
  </si>
  <si>
    <t xml:space="preserve"> -78.5528347</t>
  </si>
  <si>
    <t>192.170.23.2</t>
  </si>
  <si>
    <t>192.170.23.3</t>
  </si>
  <si>
    <t>192.170.23.4</t>
  </si>
  <si>
    <t>192.170.23.5</t>
  </si>
  <si>
    <t>192.170.23.6</t>
  </si>
  <si>
    <t>192.170.23.7</t>
  </si>
  <si>
    <t>192.170.23.8</t>
  </si>
  <si>
    <t>192.170.23.9</t>
  </si>
  <si>
    <t>MERCADO SAN ANTONIO</t>
  </si>
  <si>
    <t>192.170.28.0</t>
  </si>
  <si>
    <t>192.170.28.254</t>
  </si>
  <si>
    <t>192.170.28.1</t>
  </si>
  <si>
    <t>0.003956</t>
  </si>
  <si>
    <t xml:space="preserve"> -78.443856</t>
  </si>
  <si>
    <t>192.170.28.2</t>
  </si>
  <si>
    <t>192.170.28.3</t>
  </si>
  <si>
    <t>192.170.28.4</t>
  </si>
  <si>
    <t>192.170.28.5</t>
  </si>
  <si>
    <t>192.170.28.6</t>
  </si>
  <si>
    <t>TB0050</t>
  </si>
  <si>
    <t>MERCADO TUMBACO</t>
  </si>
  <si>
    <t>192.170.27.0</t>
  </si>
  <si>
    <t>192.170.27.254</t>
  </si>
  <si>
    <t>192.170.27.1</t>
  </si>
  <si>
    <t>-0.2144380</t>
  </si>
  <si>
    <t>-78.408632</t>
  </si>
  <si>
    <t>TB0051</t>
  </si>
  <si>
    <t>192.170.27.2</t>
  </si>
  <si>
    <t>TB0052</t>
  </si>
  <si>
    <t>192.170.27.3</t>
  </si>
  <si>
    <t>TB0053</t>
  </si>
  <si>
    <t>192.170.27.4</t>
  </si>
  <si>
    <t>192.170.27.5</t>
  </si>
  <si>
    <t>TB0055</t>
  </si>
  <si>
    <t>192.170.27.6</t>
  </si>
  <si>
    <t>TB0056</t>
  </si>
  <si>
    <t>192.170.27.7</t>
  </si>
  <si>
    <t>TB0057</t>
  </si>
  <si>
    <t>192.170.27.8</t>
  </si>
  <si>
    <t>TB0058</t>
  </si>
  <si>
    <t>192.170.27.9</t>
  </si>
  <si>
    <t>MERCADO TOCTIUCO</t>
  </si>
  <si>
    <t>192.170.29.0</t>
  </si>
  <si>
    <t>192.170.29.254</t>
  </si>
  <si>
    <t>192.170.29.1</t>
  </si>
  <si>
    <t>-0.20952001</t>
  </si>
  <si>
    <t>-78.5222658</t>
  </si>
  <si>
    <t>192.170.29.2</t>
  </si>
  <si>
    <t>192.170.29.3</t>
  </si>
  <si>
    <t>192.170.29.4</t>
  </si>
  <si>
    <t>192.170.29.5</t>
  </si>
  <si>
    <t>CASA SINCHOLAGUA</t>
  </si>
  <si>
    <t>CHIMBACALLE</t>
  </si>
  <si>
    <t>ANTONIO DE LA TORRE Y SINCHOLAGUA</t>
  </si>
  <si>
    <t>192.170.41.0</t>
  </si>
  <si>
    <t>192.170.41.254</t>
  </si>
  <si>
    <t>192.170.41.1</t>
  </si>
  <si>
    <t>DS-2CD2755FWD-IZS </t>
  </si>
  <si>
    <t>C61622562</t>
  </si>
  <si>
    <t>VMS4200</t>
  </si>
  <si>
    <t>-0.2373689</t>
  </si>
  <si>
    <t>-78.5163131</t>
  </si>
  <si>
    <t>STORAGE</t>
  </si>
  <si>
    <t>abc12345</t>
  </si>
  <si>
    <t>192.170.41.2</t>
  </si>
  <si>
    <t xml:space="preserve">C61622553 </t>
  </si>
  <si>
    <t>192.170.41.3</t>
  </si>
  <si>
    <t xml:space="preserve">C61622554 </t>
  </si>
  <si>
    <t>192.170.41.4</t>
  </si>
  <si>
    <t>C61622565</t>
  </si>
  <si>
    <t>||</t>
  </si>
  <si>
    <t>192.170.41.5</t>
  </si>
  <si>
    <t>C61622566</t>
  </si>
  <si>
    <t>192.170.41.6</t>
  </si>
  <si>
    <t xml:space="preserve">C61622552 </t>
  </si>
  <si>
    <t>192.170.41.7</t>
  </si>
  <si>
    <t>C61622557</t>
  </si>
  <si>
    <t>192.170.41.8</t>
  </si>
  <si>
    <t>DS-2CD2T46G1-2I/4I </t>
  </si>
  <si>
    <t xml:space="preserve">C65575833 </t>
  </si>
  <si>
    <t>192.170.41.9</t>
  </si>
  <si>
    <t xml:space="preserve">C31394846 </t>
  </si>
  <si>
    <t>192.170.41.10</t>
  </si>
  <si>
    <t>C65575838</t>
  </si>
  <si>
    <t>192.170.41.11</t>
  </si>
  <si>
    <t>C65575836</t>
  </si>
  <si>
    <t>QUEBRADA EL TEJADO</t>
  </si>
  <si>
    <t>LM0320</t>
  </si>
  <si>
    <t>LA GASCA</t>
  </si>
  <si>
    <t>QUEBRADA EL TEJADO TERRENOS EMMOP</t>
  </si>
  <si>
    <t>172.50.7.224</t>
  </si>
  <si>
    <t>172.50.7.225</t>
  </si>
  <si>
    <t>172.50.7.226</t>
  </si>
  <si>
    <t>DS-2CD1643GO-IZ</t>
  </si>
  <si>
    <t>K83760352</t>
  </si>
  <si>
    <t>CACM- COEM</t>
  </si>
  <si>
    <t>-0.191078</t>
  </si>
  <si>
    <t>-78.520934</t>
  </si>
  <si>
    <t>CCTV2024!</t>
  </si>
  <si>
    <t>16 MB</t>
  </si>
  <si>
    <t>LM0325</t>
  </si>
  <si>
    <t>172.50.7.227</t>
  </si>
  <si>
    <t>DS-2DE4425IW-DE T5</t>
  </si>
  <si>
    <t>AE2477996</t>
  </si>
  <si>
    <t>LM0330</t>
  </si>
  <si>
    <t>172.50.7.232</t>
  </si>
  <si>
    <t>172.50.7.233</t>
  </si>
  <si>
    <t>172.50.7.234</t>
  </si>
  <si>
    <t>DS-2DE7A432IW-AEB T5</t>
  </si>
  <si>
    <t>FH7610341</t>
  </si>
  <si>
    <t>-0.190617</t>
  </si>
  <si>
    <t>-78.513612</t>
  </si>
  <si>
    <t>QUEBRADA EL TEJADO TERRENOS EMMOP SENSOR</t>
  </si>
  <si>
    <t>172.50.7.232/248</t>
  </si>
  <si>
    <t>172.50.7.235</t>
  </si>
  <si>
    <t>BIVOCOM</t>
  </si>
  <si>
    <t>TG462-LF</t>
  </si>
  <si>
    <t>B462AX241211001</t>
  </si>
  <si>
    <t>COEM</t>
  </si>
  <si>
    <t>SENSOR</t>
  </si>
  <si>
    <t>TOTAL CAMARAS DMQ</t>
  </si>
  <si>
    <t>PORCENTAJE</t>
  </si>
  <si>
    <t>Vivotek</t>
  </si>
  <si>
    <t>root</t>
  </si>
  <si>
    <t>root1234</t>
  </si>
  <si>
    <t>NO FUNCIONA</t>
  </si>
  <si>
    <t>ELABORADO POR:</t>
  </si>
  <si>
    <t>ING. CARLOS LEMA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</si>
</sst>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Tahoma"/>
      <family val="2"/>
    </font>
    <font>
      <b/>
      <sz val="9"/>
      <color theme="1"/>
      <name val="Arial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>
      <alignment vertical="center"/>
    </xf>
  </cellStyleXfs>
  <cellXfs count="19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1" fillId="2" borderId="0" xfId="1" applyFill="1"/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vertical="center"/>
    </xf>
    <xf numFmtId="0" fontId="4" fillId="2" borderId="3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6" fillId="3" borderId="3" xfId="1" applyFont="1" applyFill="1" applyBorder="1" applyAlignment="1">
      <alignment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wrapText="1"/>
    </xf>
    <xf numFmtId="2" fontId="3" fillId="2" borderId="3" xfId="1" applyNumberFormat="1" applyFont="1" applyFill="1" applyBorder="1" applyAlignment="1">
      <alignment horizontal="center" vertical="center"/>
    </xf>
    <xf numFmtId="3" fontId="3" fillId="2" borderId="3" xfId="1" applyNumberFormat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 vertical="center" wrapText="1"/>
    </xf>
    <xf numFmtId="0" fontId="3" fillId="2" borderId="3" xfId="1" applyFont="1" applyFill="1" applyBorder="1"/>
    <xf numFmtId="0" fontId="6" fillId="2" borderId="4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vertical="center" wrapText="1"/>
    </xf>
    <xf numFmtId="0" fontId="3" fillId="2" borderId="9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6" fillId="2" borderId="3" xfId="1" applyFont="1" applyFill="1" applyBorder="1" applyAlignment="1">
      <alignment vertical="center"/>
    </xf>
    <xf numFmtId="0" fontId="6" fillId="3" borderId="3" xfId="1" applyFont="1" applyFill="1" applyBorder="1" applyAlignment="1">
      <alignment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vertical="center" wrapText="1"/>
    </xf>
    <xf numFmtId="0" fontId="3" fillId="2" borderId="7" xfId="1" applyFont="1" applyFill="1" applyBorder="1" applyAlignment="1">
      <alignment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vertical="center" wrapText="1"/>
    </xf>
    <xf numFmtId="0" fontId="3" fillId="2" borderId="9" xfId="1" applyFont="1" applyFill="1" applyBorder="1" applyAlignment="1">
      <alignment horizontal="center" vertical="center" wrapText="1"/>
    </xf>
    <xf numFmtId="2" fontId="3" fillId="2" borderId="3" xfId="1" applyNumberFormat="1" applyFont="1" applyFill="1" applyBorder="1" applyAlignment="1">
      <alignment horizontal="center"/>
    </xf>
    <xf numFmtId="49" fontId="3" fillId="2" borderId="3" xfId="1" applyNumberFormat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left" wrapText="1"/>
    </xf>
    <xf numFmtId="0" fontId="6" fillId="2" borderId="7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wrapText="1"/>
    </xf>
    <xf numFmtId="0" fontId="6" fillId="2" borderId="7" xfId="1" applyFont="1" applyFill="1" applyBorder="1" applyAlignment="1">
      <alignment wrapText="1"/>
    </xf>
    <xf numFmtId="0" fontId="6" fillId="2" borderId="4" xfId="1" applyFont="1" applyFill="1" applyBorder="1" applyAlignment="1">
      <alignment horizontal="center" vertical="center"/>
    </xf>
    <xf numFmtId="0" fontId="6" fillId="2" borderId="3" xfId="1" applyFont="1" applyFill="1" applyBorder="1"/>
    <xf numFmtId="0" fontId="6" fillId="2" borderId="9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vertical="center"/>
    </xf>
    <xf numFmtId="0" fontId="6" fillId="3" borderId="3" xfId="1" applyFont="1" applyFill="1" applyBorder="1" applyAlignment="1">
      <alignment wrapText="1"/>
    </xf>
    <xf numFmtId="0" fontId="6" fillId="2" borderId="8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wrapText="1"/>
    </xf>
    <xf numFmtId="0" fontId="6" fillId="2" borderId="6" xfId="1" applyFont="1" applyFill="1" applyBorder="1" applyAlignment="1">
      <alignment horizontal="left"/>
    </xf>
    <xf numFmtId="0" fontId="6" fillId="2" borderId="3" xfId="1" applyFont="1" applyFill="1" applyBorder="1" applyAlignment="1">
      <alignment horizontal="left" wrapText="1"/>
    </xf>
    <xf numFmtId="0" fontId="6" fillId="4" borderId="4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vertical="center" wrapText="1"/>
    </xf>
    <xf numFmtId="2" fontId="6" fillId="2" borderId="3" xfId="1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left" vertical="center" wrapText="1"/>
    </xf>
    <xf numFmtId="49" fontId="3" fillId="2" borderId="3" xfId="1" applyNumberFormat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 vertical="top" wrapText="1"/>
    </xf>
    <xf numFmtId="0" fontId="6" fillId="2" borderId="6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center"/>
    </xf>
    <xf numFmtId="0" fontId="3" fillId="2" borderId="6" xfId="1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wrapText="1" readingOrder="1"/>
    </xf>
    <xf numFmtId="0" fontId="6" fillId="2" borderId="5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wrapText="1"/>
    </xf>
    <xf numFmtId="164" fontId="6" fillId="2" borderId="3" xfId="1" applyNumberFormat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6" xfId="1" applyFont="1" applyFill="1" applyBorder="1"/>
    <xf numFmtId="2" fontId="3" fillId="2" borderId="3" xfId="0" applyNumberFormat="1" applyFont="1" applyFill="1" applyBorder="1" applyAlignment="1">
      <alignment horizontal="center" vertical="center"/>
    </xf>
    <xf numFmtId="3" fontId="6" fillId="2" borderId="3" xfId="1" applyNumberFormat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left"/>
    </xf>
    <xf numFmtId="0" fontId="6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7" fillId="2" borderId="7" xfId="1" applyFont="1" applyFill="1" applyBorder="1" applyAlignment="1">
      <alignment vertical="center"/>
    </xf>
    <xf numFmtId="0" fontId="7" fillId="2" borderId="3" xfId="1" applyFont="1" applyFill="1" applyBorder="1" applyAlignment="1">
      <alignment horizontal="center"/>
    </xf>
    <xf numFmtId="0" fontId="7" fillId="2" borderId="6" xfId="1" applyFont="1" applyFill="1" applyBorder="1" applyAlignment="1">
      <alignment vertical="center"/>
    </xf>
    <xf numFmtId="0" fontId="6" fillId="3" borderId="3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center" vertical="center"/>
    </xf>
    <xf numFmtId="0" fontId="7" fillId="2" borderId="6" xfId="1" applyFont="1" applyFill="1" applyBorder="1"/>
    <xf numFmtId="0" fontId="6" fillId="2" borderId="6" xfId="1" applyFont="1" applyFill="1" applyBorder="1" applyAlignment="1">
      <alignment horizontal="center" wrapText="1"/>
    </xf>
    <xf numFmtId="0" fontId="3" fillId="6" borderId="3" xfId="1" applyFont="1" applyFill="1" applyBorder="1" applyAlignment="1">
      <alignment horizontal="center"/>
    </xf>
    <xf numFmtId="0" fontId="7" fillId="3" borderId="6" xfId="1" applyFont="1" applyFill="1" applyBorder="1" applyAlignment="1">
      <alignment vertical="center"/>
    </xf>
    <xf numFmtId="0" fontId="3" fillId="6" borderId="9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center" wrapText="1"/>
    </xf>
    <xf numFmtId="0" fontId="6" fillId="2" borderId="4" xfId="1" applyFont="1" applyFill="1" applyBorder="1"/>
    <xf numFmtId="0" fontId="6" fillId="3" borderId="4" xfId="1" applyFont="1" applyFill="1" applyBorder="1"/>
    <xf numFmtId="0" fontId="6" fillId="2" borderId="7" xfId="1" applyFont="1" applyFill="1" applyBorder="1"/>
    <xf numFmtId="0" fontId="4" fillId="2" borderId="4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49" fontId="6" fillId="2" borderId="3" xfId="1" applyNumberFormat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6" xfId="1" applyFont="1" applyFill="1" applyBorder="1" applyAlignment="1">
      <alignment wrapText="1"/>
    </xf>
    <xf numFmtId="0" fontId="3" fillId="2" borderId="0" xfId="0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/>
    </xf>
    <xf numFmtId="0" fontId="6" fillId="2" borderId="3" xfId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/>
    </xf>
    <xf numFmtId="0" fontId="6" fillId="2" borderId="5" xfId="1" applyFont="1" applyFill="1" applyBorder="1" applyAlignment="1">
      <alignment vertical="center"/>
    </xf>
    <xf numFmtId="0" fontId="7" fillId="2" borderId="5" xfId="1" applyFont="1" applyFill="1" applyBorder="1"/>
    <xf numFmtId="0" fontId="7" fillId="2" borderId="13" xfId="1" applyFont="1" applyFill="1" applyBorder="1"/>
    <xf numFmtId="0" fontId="6" fillId="2" borderId="2" xfId="1" applyFont="1" applyFill="1" applyBorder="1" applyAlignment="1">
      <alignment horizontal="left"/>
    </xf>
    <xf numFmtId="0" fontId="6" fillId="2" borderId="5" xfId="1" applyFont="1" applyFill="1" applyBorder="1"/>
    <xf numFmtId="0" fontId="6" fillId="2" borderId="13" xfId="1" applyFont="1" applyFill="1" applyBorder="1" applyAlignment="1">
      <alignment horizontal="center" wrapText="1"/>
    </xf>
    <xf numFmtId="0" fontId="4" fillId="2" borderId="8" xfId="1" applyFont="1" applyFill="1" applyBorder="1" applyAlignment="1">
      <alignment horizontal="center"/>
    </xf>
    <xf numFmtId="0" fontId="6" fillId="2" borderId="2" xfId="1" applyFont="1" applyFill="1" applyBorder="1" applyAlignment="1">
      <alignment vertical="center"/>
    </xf>
    <xf numFmtId="0" fontId="6" fillId="2" borderId="2" xfId="1" applyFont="1" applyFill="1" applyBorder="1"/>
    <xf numFmtId="0" fontId="6" fillId="2" borderId="1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vertical="center"/>
    </xf>
    <xf numFmtId="0" fontId="7" fillId="3" borderId="5" xfId="1" applyFont="1" applyFill="1" applyBorder="1"/>
    <xf numFmtId="0" fontId="3" fillId="2" borderId="6" xfId="1" applyFont="1" applyFill="1" applyBorder="1"/>
    <xf numFmtId="2" fontId="6" fillId="2" borderId="3" xfId="1" applyNumberFormat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1" fillId="2" borderId="14" xfId="1" applyFill="1" applyBorder="1"/>
    <xf numFmtId="0" fontId="0" fillId="2" borderId="0" xfId="0" applyFill="1" applyAlignment="1">
      <alignment horizontal="center"/>
    </xf>
    <xf numFmtId="0" fontId="10" fillId="7" borderId="8" xfId="1" applyFont="1" applyFill="1" applyBorder="1" applyAlignment="1">
      <alignment vertical="center" wrapText="1"/>
    </xf>
    <xf numFmtId="0" fontId="11" fillId="2" borderId="3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wrapText="1" readingOrder="1"/>
    </xf>
    <xf numFmtId="0" fontId="0" fillId="2" borderId="0" xfId="1" applyFont="1" applyFill="1"/>
    <xf numFmtId="0" fontId="1" fillId="2" borderId="3" xfId="1" applyFill="1" applyBorder="1"/>
    <xf numFmtId="0" fontId="13" fillId="2" borderId="3" xfId="1" applyFont="1" applyFill="1" applyBorder="1" applyAlignment="1">
      <alignment horizontal="center"/>
    </xf>
    <xf numFmtId="1" fontId="1" fillId="2" borderId="3" xfId="1" applyNumberFormat="1" applyFill="1" applyBorder="1" applyAlignment="1">
      <alignment horizontal="center"/>
    </xf>
    <xf numFmtId="0" fontId="12" fillId="2" borderId="0" xfId="2" applyFont="1" applyFill="1" applyAlignment="1">
      <alignment horizontal="center" wrapText="1" readingOrder="1"/>
    </xf>
    <xf numFmtId="0" fontId="14" fillId="0" borderId="0" xfId="2" applyFont="1" applyAlignment="1">
      <alignment wrapText="1" readingOrder="1"/>
    </xf>
    <xf numFmtId="3" fontId="15" fillId="2" borderId="0" xfId="2" applyNumberFormat="1" applyFont="1" applyFill="1" applyAlignment="1">
      <alignment horizontal="center" wrapText="1" readingOrder="1"/>
    </xf>
    <xf numFmtId="3" fontId="15" fillId="2" borderId="0" xfId="2" applyNumberFormat="1" applyFont="1" applyFill="1" applyAlignment="1">
      <alignment horizontal="center" vertical="center" wrapText="1" readingOrder="1"/>
    </xf>
    <xf numFmtId="0" fontId="11" fillId="2" borderId="0" xfId="1" applyFont="1" applyFill="1"/>
    <xf numFmtId="0" fontId="15" fillId="2" borderId="0" xfId="2" applyFont="1" applyFill="1" applyAlignment="1">
      <alignment horizontal="center" vertical="center" wrapText="1" readingOrder="1"/>
    </xf>
    <xf numFmtId="0" fontId="15" fillId="2" borderId="0" xfId="2" applyFont="1" applyFill="1" applyAlignment="1">
      <alignment horizontal="center" wrapText="1" readingOrder="1"/>
    </xf>
    <xf numFmtId="0" fontId="13" fillId="2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16" fillId="2" borderId="0" xfId="2" applyFont="1" applyFill="1" applyAlignment="1">
      <alignment horizontal="center" vertical="center" wrapText="1" readingOrder="1"/>
    </xf>
    <xf numFmtId="3" fontId="14" fillId="2" borderId="0" xfId="2" applyNumberFormat="1" applyFont="1" applyFill="1" applyAlignment="1">
      <alignment horizontal="center" wrapText="1" readingOrder="1"/>
    </xf>
    <xf numFmtId="0" fontId="16" fillId="2" borderId="0" xfId="2" applyFont="1" applyFill="1" applyAlignment="1">
      <alignment horizontal="center" wrapText="1" readingOrder="1"/>
    </xf>
    <xf numFmtId="0" fontId="17" fillId="2" borderId="0" xfId="2" applyFont="1" applyFill="1" applyAlignment="1">
      <alignment horizontal="center" wrapText="1" readingOrder="1"/>
    </xf>
    <xf numFmtId="0" fontId="18" fillId="2" borderId="0" xfId="2" applyFont="1" applyFill="1" applyAlignment="1">
      <alignment horizontal="center" wrapText="1" readingOrder="1"/>
    </xf>
    <xf numFmtId="0" fontId="19" fillId="2" borderId="0" xfId="2" applyFont="1" applyFill="1" applyAlignment="1">
      <alignment horizontal="center" wrapText="1" readingOrder="1"/>
    </xf>
    <xf numFmtId="0" fontId="14" fillId="2" borderId="0" xfId="2" applyFont="1" applyFill="1" applyAlignment="1">
      <alignment horizontal="center" wrapText="1" readingOrder="1"/>
    </xf>
    <xf numFmtId="0" fontId="20" fillId="2" borderId="0" xfId="2" applyFont="1" applyFill="1" applyAlignment="1">
      <alignment horizontal="center" wrapText="1" readingOrder="1"/>
    </xf>
    <xf numFmtId="3" fontId="12" fillId="2" borderId="0" xfId="2" applyNumberFormat="1" applyFont="1" applyFill="1" applyAlignment="1">
      <alignment horizontal="center" wrapText="1" readingOrder="1"/>
    </xf>
  </cellXfs>
  <cellStyles count="3">
    <cellStyle name="Normal" xfId="0" builtinId="0"/>
    <cellStyle name="Normal 3 3" xfId="1" xr:uid="{2D97CE1C-180D-46ED-9C3E-50A3EB328E0A}"/>
    <cellStyle name="Normal 6" xfId="2" xr:uid="{AA4E18C7-1EE6-43D6-813E-2AA50968D20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A6A1-88AA-44DB-8B6B-460E69AA5B89}">
  <dimension ref="A1:AG22146"/>
  <sheetViews>
    <sheetView tabSelected="1" workbookViewId="0">
      <selection activeCell="A2" sqref="A2"/>
    </sheetView>
  </sheetViews>
  <sheetFormatPr baseColWidth="10" defaultColWidth="12" defaultRowHeight="16" x14ac:dyDescent="0.4"/>
  <cols>
    <col min="1" max="1" width="39" style="5" customWidth="1"/>
    <col min="2" max="2" width="8.54296875" style="5" customWidth="1"/>
    <col min="3" max="3" width="9.6328125" style="5" customWidth="1"/>
    <col min="4" max="4" width="16.6328125" style="5" customWidth="1"/>
    <col min="5" max="5" width="13.7265625" style="5" customWidth="1"/>
    <col min="6" max="6" width="12.36328125" style="5" hidden="1" customWidth="1"/>
    <col min="7" max="7" width="21.6328125" style="5" customWidth="1"/>
    <col min="8" max="8" width="33.6328125" style="5" customWidth="1"/>
    <col min="9" max="9" width="47" style="170" customWidth="1"/>
    <col min="10" max="10" width="14.26953125" style="5" bestFit="1" customWidth="1"/>
    <col min="11" max="11" width="15.26953125" style="5" bestFit="1" customWidth="1"/>
    <col min="12" max="12" width="15" style="5" customWidth="1"/>
    <col min="13" max="13" width="14.54296875" style="5" bestFit="1" customWidth="1"/>
    <col min="14" max="14" width="26" style="5" bestFit="1" customWidth="1"/>
    <col min="15" max="15" width="19.7265625" style="5" bestFit="1" customWidth="1"/>
    <col min="16" max="16" width="19.1796875" style="5" bestFit="1" customWidth="1"/>
    <col min="17" max="17" width="10.453125" style="5" bestFit="1" customWidth="1"/>
    <col min="18" max="18" width="30" style="5" bestFit="1" customWidth="1"/>
    <col min="19" max="19" width="8.81640625" style="5" bestFit="1" customWidth="1"/>
    <col min="20" max="20" width="16.90625" style="5" bestFit="1" customWidth="1"/>
    <col min="21" max="21" width="20" style="5" bestFit="1" customWidth="1"/>
    <col min="22" max="22" width="20.453125" style="5" bestFit="1" customWidth="1"/>
    <col min="23" max="23" width="28.7265625" style="5" bestFit="1" customWidth="1"/>
    <col min="24" max="24" width="15.08984375" style="5" bestFit="1" customWidth="1"/>
    <col min="25" max="25" width="19.1796875" style="5" bestFit="1" customWidth="1"/>
    <col min="26" max="26" width="17.26953125" style="5" bestFit="1" customWidth="1"/>
    <col min="27" max="27" width="15" style="5" bestFit="1" customWidth="1"/>
    <col min="28" max="28" width="22.36328125" style="5" bestFit="1" customWidth="1"/>
    <col min="29" max="29" width="16.6328125" style="5" bestFit="1" customWidth="1"/>
    <col min="30" max="30" width="38.54296875" style="5" customWidth="1"/>
    <col min="31" max="31" width="15.08984375" style="5" bestFit="1" customWidth="1"/>
    <col min="32" max="32" width="17.81640625" style="5" bestFit="1" customWidth="1"/>
    <col min="33" max="33" width="20" style="5" bestFit="1" customWidth="1"/>
    <col min="34" max="16384" width="12" style="5"/>
  </cols>
  <sheetData>
    <row r="1" spans="1:33" ht="24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"/>
      <c r="AF1" s="3"/>
      <c r="AG1" s="4"/>
    </row>
    <row r="2" spans="1:33" ht="35.25" customHeight="1" x14ac:dyDescent="0.4">
      <c r="A2" s="6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8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9" t="s">
        <v>28</v>
      </c>
      <c r="AC2" s="10" t="s">
        <v>29</v>
      </c>
      <c r="AD2" s="11" t="s">
        <v>30</v>
      </c>
      <c r="AE2" s="12" t="s">
        <v>31</v>
      </c>
      <c r="AF2" s="13" t="s">
        <v>32</v>
      </c>
      <c r="AG2" s="14" t="s">
        <v>33</v>
      </c>
    </row>
    <row r="3" spans="1:33" x14ac:dyDescent="0.4">
      <c r="A3" s="15" t="s">
        <v>34</v>
      </c>
      <c r="B3" s="16">
        <v>1</v>
      </c>
      <c r="C3" s="17">
        <v>1</v>
      </c>
      <c r="D3" s="18" t="s">
        <v>35</v>
      </c>
      <c r="E3" s="16">
        <v>746046</v>
      </c>
      <c r="F3" s="16"/>
      <c r="G3" s="19" t="s">
        <v>36</v>
      </c>
      <c r="H3" s="20" t="s">
        <v>36</v>
      </c>
      <c r="I3" s="21" t="s">
        <v>37</v>
      </c>
      <c r="J3" s="16" t="s">
        <v>38</v>
      </c>
      <c r="K3" s="16" t="s">
        <v>39</v>
      </c>
      <c r="L3" s="22" t="s">
        <v>40</v>
      </c>
      <c r="M3" s="16" t="s">
        <v>41</v>
      </c>
      <c r="N3" s="16" t="s">
        <v>42</v>
      </c>
      <c r="O3" s="23">
        <v>240697711</v>
      </c>
      <c r="P3" s="16" t="s">
        <v>43</v>
      </c>
      <c r="Q3" s="24" t="s">
        <v>17</v>
      </c>
      <c r="R3" s="25" t="s">
        <v>44</v>
      </c>
      <c r="S3" s="16" t="s">
        <v>45</v>
      </c>
      <c r="T3" s="26" t="s">
        <v>46</v>
      </c>
      <c r="U3" s="27">
        <v>-78497758</v>
      </c>
      <c r="V3" s="16" t="s">
        <v>47</v>
      </c>
      <c r="W3" s="28" t="s">
        <v>48</v>
      </c>
      <c r="X3" s="16">
        <v>1</v>
      </c>
      <c r="Y3" s="29">
        <v>1</v>
      </c>
      <c r="Z3" s="18" t="s">
        <v>49</v>
      </c>
      <c r="AA3" s="18" t="s">
        <v>50</v>
      </c>
      <c r="AB3" s="17">
        <v>2019</v>
      </c>
      <c r="AC3" s="16" t="s">
        <v>51</v>
      </c>
      <c r="AD3" s="30"/>
      <c r="AE3" s="16"/>
      <c r="AF3" s="16" t="s">
        <v>52</v>
      </c>
      <c r="AG3" s="16" t="s">
        <v>53</v>
      </c>
    </row>
    <row r="4" spans="1:33" x14ac:dyDescent="0.4">
      <c r="A4" s="15" t="s">
        <v>34</v>
      </c>
      <c r="B4" s="16">
        <v>2</v>
      </c>
      <c r="C4" s="17">
        <v>2</v>
      </c>
      <c r="D4" s="18" t="s">
        <v>54</v>
      </c>
      <c r="E4" s="16">
        <v>746047</v>
      </c>
      <c r="F4" s="16"/>
      <c r="G4" s="19" t="s">
        <v>36</v>
      </c>
      <c r="H4" s="20" t="s">
        <v>36</v>
      </c>
      <c r="I4" s="21" t="s">
        <v>55</v>
      </c>
      <c r="J4" s="16" t="s">
        <v>56</v>
      </c>
      <c r="K4" s="16" t="s">
        <v>57</v>
      </c>
      <c r="L4" s="22" t="s">
        <v>58</v>
      </c>
      <c r="M4" s="16" t="s">
        <v>41</v>
      </c>
      <c r="N4" s="16" t="s">
        <v>42</v>
      </c>
      <c r="O4" s="23">
        <v>240697709</v>
      </c>
      <c r="P4" s="16" t="s">
        <v>43</v>
      </c>
      <c r="Q4" s="24" t="s">
        <v>17</v>
      </c>
      <c r="R4" s="25" t="s">
        <v>44</v>
      </c>
      <c r="S4" s="16" t="s">
        <v>45</v>
      </c>
      <c r="T4" s="26" t="s">
        <v>59</v>
      </c>
      <c r="U4" s="26" t="s">
        <v>60</v>
      </c>
      <c r="V4" s="16" t="s">
        <v>47</v>
      </c>
      <c r="W4" s="28" t="s">
        <v>48</v>
      </c>
      <c r="X4" s="16">
        <v>1</v>
      </c>
      <c r="Y4" s="29">
        <v>1</v>
      </c>
      <c r="Z4" s="18" t="s">
        <v>49</v>
      </c>
      <c r="AA4" s="18" t="s">
        <v>50</v>
      </c>
      <c r="AB4" s="17">
        <v>2019</v>
      </c>
      <c r="AC4" s="16" t="s">
        <v>51</v>
      </c>
      <c r="AD4" s="30"/>
      <c r="AE4" s="16"/>
      <c r="AF4" s="16" t="s">
        <v>52</v>
      </c>
      <c r="AG4" s="16" t="s">
        <v>53</v>
      </c>
    </row>
    <row r="5" spans="1:33" x14ac:dyDescent="0.4">
      <c r="A5" s="15" t="s">
        <v>34</v>
      </c>
      <c r="B5" s="16">
        <v>3</v>
      </c>
      <c r="C5" s="17">
        <v>3</v>
      </c>
      <c r="D5" s="18" t="s">
        <v>61</v>
      </c>
      <c r="E5" s="16">
        <v>746048</v>
      </c>
      <c r="F5" s="16"/>
      <c r="G5" s="19" t="s">
        <v>36</v>
      </c>
      <c r="H5" s="20" t="s">
        <v>36</v>
      </c>
      <c r="I5" s="21" t="s">
        <v>62</v>
      </c>
      <c r="J5" s="16" t="s">
        <v>63</v>
      </c>
      <c r="K5" s="16" t="s">
        <v>64</v>
      </c>
      <c r="L5" s="22" t="s">
        <v>65</v>
      </c>
      <c r="M5" s="16" t="s">
        <v>41</v>
      </c>
      <c r="N5" s="16" t="s">
        <v>66</v>
      </c>
      <c r="O5" s="23" t="s">
        <v>67</v>
      </c>
      <c r="P5" s="16" t="s">
        <v>43</v>
      </c>
      <c r="Q5" s="24" t="s">
        <v>17</v>
      </c>
      <c r="R5" s="25" t="s">
        <v>44</v>
      </c>
      <c r="S5" s="16" t="s">
        <v>68</v>
      </c>
      <c r="T5" s="26" t="s">
        <v>69</v>
      </c>
      <c r="U5" s="26" t="s">
        <v>70</v>
      </c>
      <c r="V5" s="16" t="s">
        <v>47</v>
      </c>
      <c r="W5" s="28" t="s">
        <v>48</v>
      </c>
      <c r="X5" s="16">
        <v>1</v>
      </c>
      <c r="Y5" s="29">
        <v>1</v>
      </c>
      <c r="Z5" s="18" t="s">
        <v>49</v>
      </c>
      <c r="AA5" s="18" t="s">
        <v>50</v>
      </c>
      <c r="AB5" s="17">
        <v>2019</v>
      </c>
      <c r="AC5" s="16" t="s">
        <v>51</v>
      </c>
      <c r="AD5" s="30"/>
      <c r="AE5" s="16"/>
      <c r="AF5" s="16" t="s">
        <v>52</v>
      </c>
      <c r="AG5" s="16" t="s">
        <v>53</v>
      </c>
    </row>
    <row r="6" spans="1:33" x14ac:dyDescent="0.4">
      <c r="A6" s="15" t="s">
        <v>34</v>
      </c>
      <c r="B6" s="16">
        <v>4</v>
      </c>
      <c r="C6" s="17">
        <v>4</v>
      </c>
      <c r="D6" s="18" t="s">
        <v>71</v>
      </c>
      <c r="E6" s="16">
        <v>746049</v>
      </c>
      <c r="F6" s="16"/>
      <c r="G6" s="19" t="s">
        <v>36</v>
      </c>
      <c r="H6" s="20" t="s">
        <v>36</v>
      </c>
      <c r="I6" s="21" t="s">
        <v>72</v>
      </c>
      <c r="J6" s="16" t="s">
        <v>73</v>
      </c>
      <c r="K6" s="16" t="s">
        <v>74</v>
      </c>
      <c r="L6" s="22" t="s">
        <v>75</v>
      </c>
      <c r="M6" s="16" t="s">
        <v>41</v>
      </c>
      <c r="N6" s="16" t="s">
        <v>66</v>
      </c>
      <c r="O6" s="23" t="s">
        <v>76</v>
      </c>
      <c r="P6" s="16" t="s">
        <v>43</v>
      </c>
      <c r="Q6" s="24" t="s">
        <v>17</v>
      </c>
      <c r="R6" s="25" t="s">
        <v>44</v>
      </c>
      <c r="S6" s="16" t="s">
        <v>68</v>
      </c>
      <c r="T6" s="26" t="s">
        <v>77</v>
      </c>
      <c r="U6" s="26" t="s">
        <v>78</v>
      </c>
      <c r="V6" s="16" t="s">
        <v>47</v>
      </c>
      <c r="W6" s="28" t="s">
        <v>48</v>
      </c>
      <c r="X6" s="28"/>
      <c r="Y6" s="29">
        <v>1</v>
      </c>
      <c r="Z6" s="18" t="s">
        <v>49</v>
      </c>
      <c r="AA6" s="18" t="s">
        <v>50</v>
      </c>
      <c r="AB6" s="17">
        <v>2019</v>
      </c>
      <c r="AC6" s="16" t="s">
        <v>51</v>
      </c>
      <c r="AD6" s="30"/>
      <c r="AE6" s="16"/>
      <c r="AF6" s="16" t="s">
        <v>52</v>
      </c>
      <c r="AG6" s="16" t="s">
        <v>53</v>
      </c>
    </row>
    <row r="7" spans="1:33" ht="26" x14ac:dyDescent="0.4">
      <c r="A7" s="15" t="s">
        <v>34</v>
      </c>
      <c r="B7" s="16">
        <v>5</v>
      </c>
      <c r="C7" s="17">
        <v>5</v>
      </c>
      <c r="D7" s="31" t="s">
        <v>79</v>
      </c>
      <c r="E7" s="32">
        <v>746050</v>
      </c>
      <c r="F7" s="32"/>
      <c r="G7" s="19" t="s">
        <v>36</v>
      </c>
      <c r="H7" s="20" t="s">
        <v>36</v>
      </c>
      <c r="I7" s="33" t="s">
        <v>80</v>
      </c>
      <c r="J7" s="16" t="s">
        <v>81</v>
      </c>
      <c r="K7" s="32" t="s">
        <v>82</v>
      </c>
      <c r="L7" s="22" t="s">
        <v>83</v>
      </c>
      <c r="M7" s="16" t="s">
        <v>41</v>
      </c>
      <c r="N7" s="16" t="s">
        <v>42</v>
      </c>
      <c r="O7" s="23">
        <v>240959204</v>
      </c>
      <c r="P7" s="16" t="s">
        <v>43</v>
      </c>
      <c r="Q7" s="24" t="s">
        <v>17</v>
      </c>
      <c r="R7" s="25" t="s">
        <v>44</v>
      </c>
      <c r="S7" s="16" t="s">
        <v>45</v>
      </c>
      <c r="T7" s="26" t="s">
        <v>84</v>
      </c>
      <c r="U7" s="26" t="s">
        <v>85</v>
      </c>
      <c r="V7" s="34" t="s">
        <v>47</v>
      </c>
      <c r="W7" s="28" t="s">
        <v>48</v>
      </c>
      <c r="X7" s="28"/>
      <c r="Y7" s="29">
        <v>1</v>
      </c>
      <c r="Z7" s="18" t="s">
        <v>49</v>
      </c>
      <c r="AA7" s="18" t="s">
        <v>50</v>
      </c>
      <c r="AB7" s="17">
        <v>2019</v>
      </c>
      <c r="AC7" s="16" t="s">
        <v>51</v>
      </c>
      <c r="AD7" s="30" t="s">
        <v>86</v>
      </c>
      <c r="AE7" s="24"/>
      <c r="AF7" s="35" t="s">
        <v>53</v>
      </c>
      <c r="AG7" s="34" t="s">
        <v>87</v>
      </c>
    </row>
    <row r="8" spans="1:33" ht="26" x14ac:dyDescent="0.4">
      <c r="A8" s="15" t="s">
        <v>34</v>
      </c>
      <c r="B8" s="16">
        <v>5</v>
      </c>
      <c r="C8" s="17">
        <v>6</v>
      </c>
      <c r="D8" s="18" t="s">
        <v>88</v>
      </c>
      <c r="E8" s="32">
        <v>746050</v>
      </c>
      <c r="F8" s="36"/>
      <c r="G8" s="24" t="s">
        <v>36</v>
      </c>
      <c r="H8" s="20" t="s">
        <v>36</v>
      </c>
      <c r="I8" s="33" t="s">
        <v>80</v>
      </c>
      <c r="J8" s="16" t="s">
        <v>81</v>
      </c>
      <c r="K8" s="32" t="s">
        <v>82</v>
      </c>
      <c r="L8" s="22" t="s">
        <v>89</v>
      </c>
      <c r="M8" s="16" t="s">
        <v>41</v>
      </c>
      <c r="N8" s="16" t="s">
        <v>66</v>
      </c>
      <c r="O8" s="23" t="s">
        <v>90</v>
      </c>
      <c r="P8" s="16" t="s">
        <v>43</v>
      </c>
      <c r="Q8" s="24" t="s">
        <v>17</v>
      </c>
      <c r="R8" s="25" t="s">
        <v>44</v>
      </c>
      <c r="S8" s="16" t="s">
        <v>68</v>
      </c>
      <c r="T8" s="26" t="s">
        <v>84</v>
      </c>
      <c r="U8" s="26" t="s">
        <v>85</v>
      </c>
      <c r="V8" s="34" t="s">
        <v>47</v>
      </c>
      <c r="W8" s="28" t="s">
        <v>48</v>
      </c>
      <c r="X8" s="28"/>
      <c r="Y8" s="29">
        <v>1</v>
      </c>
      <c r="Z8" s="18" t="s">
        <v>49</v>
      </c>
      <c r="AA8" s="18" t="s">
        <v>50</v>
      </c>
      <c r="AB8" s="17">
        <v>2019</v>
      </c>
      <c r="AC8" s="16" t="s">
        <v>51</v>
      </c>
      <c r="AD8" s="30"/>
      <c r="AE8" s="24"/>
      <c r="AF8" s="37"/>
      <c r="AG8" s="34"/>
    </row>
    <row r="9" spans="1:33" ht="27" customHeight="1" x14ac:dyDescent="0.4">
      <c r="A9" s="15" t="s">
        <v>34</v>
      </c>
      <c r="B9" s="32">
        <v>6</v>
      </c>
      <c r="C9" s="17">
        <v>7</v>
      </c>
      <c r="D9" s="18" t="s">
        <v>91</v>
      </c>
      <c r="E9" s="32">
        <v>793110</v>
      </c>
      <c r="F9" s="32"/>
      <c r="G9" s="19" t="s">
        <v>36</v>
      </c>
      <c r="H9" s="20" t="s">
        <v>36</v>
      </c>
      <c r="I9" s="33" t="s">
        <v>92</v>
      </c>
      <c r="J9" s="16" t="s">
        <v>93</v>
      </c>
      <c r="K9" s="32" t="s">
        <v>94</v>
      </c>
      <c r="L9" s="22" t="s">
        <v>95</v>
      </c>
      <c r="M9" s="16" t="s">
        <v>41</v>
      </c>
      <c r="N9" s="16" t="s">
        <v>42</v>
      </c>
      <c r="O9" s="23">
        <v>240959216</v>
      </c>
      <c r="P9" s="16" t="s">
        <v>43</v>
      </c>
      <c r="Q9" s="24" t="s">
        <v>17</v>
      </c>
      <c r="R9" s="25" t="s">
        <v>44</v>
      </c>
      <c r="S9" s="16" t="s">
        <v>45</v>
      </c>
      <c r="T9" s="26" t="s">
        <v>96</v>
      </c>
      <c r="U9" s="27">
        <v>-78506920</v>
      </c>
      <c r="V9" s="34" t="s">
        <v>47</v>
      </c>
      <c r="W9" s="28" t="s">
        <v>48</v>
      </c>
      <c r="X9" s="16">
        <v>1</v>
      </c>
      <c r="Y9" s="29">
        <v>1</v>
      </c>
      <c r="Z9" s="18" t="s">
        <v>49</v>
      </c>
      <c r="AA9" s="18" t="s">
        <v>50</v>
      </c>
      <c r="AB9" s="17">
        <v>2019</v>
      </c>
      <c r="AC9" s="16" t="s">
        <v>51</v>
      </c>
      <c r="AD9" s="30"/>
      <c r="AE9" s="24"/>
      <c r="AF9" s="35" t="s">
        <v>97</v>
      </c>
      <c r="AG9" s="34" t="s">
        <v>98</v>
      </c>
    </row>
    <row r="10" spans="1:33" ht="26.25" customHeight="1" x14ac:dyDescent="0.4">
      <c r="A10" s="15" t="s">
        <v>34</v>
      </c>
      <c r="B10" s="38">
        <v>6</v>
      </c>
      <c r="C10" s="17">
        <v>8</v>
      </c>
      <c r="D10" s="18" t="s">
        <v>99</v>
      </c>
      <c r="E10" s="32">
        <v>793110</v>
      </c>
      <c r="F10" s="38"/>
      <c r="G10" s="19" t="s">
        <v>36</v>
      </c>
      <c r="H10" s="20" t="s">
        <v>36</v>
      </c>
      <c r="I10" s="33" t="s">
        <v>92</v>
      </c>
      <c r="J10" s="16" t="s">
        <v>93</v>
      </c>
      <c r="K10" s="32" t="s">
        <v>94</v>
      </c>
      <c r="L10" s="22" t="s">
        <v>100</v>
      </c>
      <c r="M10" s="16" t="s">
        <v>41</v>
      </c>
      <c r="N10" s="16" t="s">
        <v>66</v>
      </c>
      <c r="O10" s="23" t="s">
        <v>101</v>
      </c>
      <c r="P10" s="16" t="s">
        <v>43</v>
      </c>
      <c r="Q10" s="24" t="s">
        <v>17</v>
      </c>
      <c r="R10" s="25" t="s">
        <v>44</v>
      </c>
      <c r="S10" s="16" t="s">
        <v>68</v>
      </c>
      <c r="T10" s="26" t="s">
        <v>96</v>
      </c>
      <c r="U10" s="27">
        <v>-78506920</v>
      </c>
      <c r="V10" s="34" t="s">
        <v>47</v>
      </c>
      <c r="W10" s="28" t="s">
        <v>48</v>
      </c>
      <c r="X10" s="16">
        <v>1</v>
      </c>
      <c r="Y10" s="29">
        <v>1</v>
      </c>
      <c r="Z10" s="18" t="s">
        <v>49</v>
      </c>
      <c r="AA10" s="18" t="s">
        <v>50</v>
      </c>
      <c r="AB10" s="17">
        <v>2019</v>
      </c>
      <c r="AC10" s="16" t="s">
        <v>51</v>
      </c>
      <c r="AD10" s="30"/>
      <c r="AE10" s="24"/>
      <c r="AF10" s="39"/>
      <c r="AG10" s="34"/>
    </row>
    <row r="11" spans="1:33" ht="30.75" customHeight="1" x14ac:dyDescent="0.4">
      <c r="A11" s="15" t="s">
        <v>34</v>
      </c>
      <c r="B11" s="36">
        <v>6</v>
      </c>
      <c r="C11" s="17">
        <v>9</v>
      </c>
      <c r="D11" s="18" t="s">
        <v>102</v>
      </c>
      <c r="E11" s="32">
        <v>793110</v>
      </c>
      <c r="F11" s="36"/>
      <c r="G11" s="19" t="s">
        <v>36</v>
      </c>
      <c r="H11" s="20" t="s">
        <v>36</v>
      </c>
      <c r="I11" s="33" t="s">
        <v>92</v>
      </c>
      <c r="J11" s="16" t="s">
        <v>93</v>
      </c>
      <c r="K11" s="32" t="s">
        <v>94</v>
      </c>
      <c r="L11" s="22" t="s">
        <v>103</v>
      </c>
      <c r="M11" s="16" t="s">
        <v>41</v>
      </c>
      <c r="N11" s="16" t="s">
        <v>66</v>
      </c>
      <c r="O11" s="23" t="s">
        <v>104</v>
      </c>
      <c r="P11" s="16" t="s">
        <v>43</v>
      </c>
      <c r="Q11" s="24" t="s">
        <v>17</v>
      </c>
      <c r="R11" s="25" t="s">
        <v>44</v>
      </c>
      <c r="S11" s="16" t="s">
        <v>68</v>
      </c>
      <c r="T11" s="26" t="s">
        <v>96</v>
      </c>
      <c r="U11" s="27">
        <v>-78506920</v>
      </c>
      <c r="V11" s="34" t="s">
        <v>47</v>
      </c>
      <c r="W11" s="28" t="s">
        <v>48</v>
      </c>
      <c r="X11" s="16">
        <v>1</v>
      </c>
      <c r="Y11" s="29">
        <v>1</v>
      </c>
      <c r="Z11" s="18" t="s">
        <v>49</v>
      </c>
      <c r="AA11" s="18" t="s">
        <v>50</v>
      </c>
      <c r="AB11" s="17">
        <v>2019</v>
      </c>
      <c r="AC11" s="16" t="s">
        <v>51</v>
      </c>
      <c r="AD11" s="30"/>
      <c r="AE11" s="24"/>
      <c r="AF11" s="37"/>
      <c r="AG11" s="34"/>
    </row>
    <row r="12" spans="1:33" x14ac:dyDescent="0.4">
      <c r="A12" s="15" t="s">
        <v>34</v>
      </c>
      <c r="B12" s="16">
        <v>7</v>
      </c>
      <c r="C12" s="17">
        <v>10</v>
      </c>
      <c r="D12" s="18" t="s">
        <v>105</v>
      </c>
      <c r="E12" s="16">
        <v>31992</v>
      </c>
      <c r="F12" s="32"/>
      <c r="G12" s="40" t="s">
        <v>36</v>
      </c>
      <c r="H12" s="20" t="s">
        <v>36</v>
      </c>
      <c r="I12" s="21" t="s">
        <v>106</v>
      </c>
      <c r="J12" s="16" t="s">
        <v>107</v>
      </c>
      <c r="K12" s="16" t="s">
        <v>108</v>
      </c>
      <c r="L12" s="22" t="s">
        <v>109</v>
      </c>
      <c r="M12" s="16" t="s">
        <v>41</v>
      </c>
      <c r="N12" s="16" t="s">
        <v>42</v>
      </c>
      <c r="O12" s="23">
        <v>240697699</v>
      </c>
      <c r="P12" s="16" t="s">
        <v>43</v>
      </c>
      <c r="Q12" s="24" t="s">
        <v>17</v>
      </c>
      <c r="R12" s="25" t="s">
        <v>44</v>
      </c>
      <c r="S12" s="16" t="s">
        <v>45</v>
      </c>
      <c r="T12" s="26" t="s">
        <v>110</v>
      </c>
      <c r="U12" s="26" t="s">
        <v>111</v>
      </c>
      <c r="V12" s="16" t="s">
        <v>47</v>
      </c>
      <c r="W12" s="28" t="s">
        <v>48</v>
      </c>
      <c r="X12" s="16">
        <v>1</v>
      </c>
      <c r="Y12" s="29">
        <v>1</v>
      </c>
      <c r="Z12" s="18" t="s">
        <v>49</v>
      </c>
      <c r="AA12" s="18" t="s">
        <v>50</v>
      </c>
      <c r="AB12" s="17">
        <v>2019</v>
      </c>
      <c r="AC12" s="16" t="s">
        <v>51</v>
      </c>
      <c r="AD12" s="30"/>
      <c r="AE12" s="16"/>
      <c r="AF12" s="16" t="s">
        <v>52</v>
      </c>
      <c r="AG12" s="16" t="s">
        <v>53</v>
      </c>
    </row>
    <row r="13" spans="1:33" x14ac:dyDescent="0.4">
      <c r="A13" s="15" t="s">
        <v>34</v>
      </c>
      <c r="B13" s="16">
        <v>8</v>
      </c>
      <c r="C13" s="18">
        <v>11</v>
      </c>
      <c r="D13" s="41"/>
      <c r="E13" s="16">
        <v>31442</v>
      </c>
      <c r="F13" s="32"/>
      <c r="G13" s="20" t="s">
        <v>36</v>
      </c>
      <c r="H13" s="20" t="s">
        <v>36</v>
      </c>
      <c r="I13" s="21" t="s">
        <v>112</v>
      </c>
      <c r="J13" s="16" t="s">
        <v>113</v>
      </c>
      <c r="K13" s="16" t="s">
        <v>114</v>
      </c>
      <c r="L13" s="22" t="s">
        <v>115</v>
      </c>
      <c r="M13" s="16" t="s">
        <v>41</v>
      </c>
      <c r="N13" s="16" t="s">
        <v>42</v>
      </c>
      <c r="O13" s="23">
        <v>240697708</v>
      </c>
      <c r="P13" s="16" t="s">
        <v>43</v>
      </c>
      <c r="Q13" s="24" t="s">
        <v>116</v>
      </c>
      <c r="R13" s="25" t="s">
        <v>44</v>
      </c>
      <c r="S13" s="16" t="s">
        <v>45</v>
      </c>
      <c r="T13" s="26" t="s">
        <v>117</v>
      </c>
      <c r="U13" s="27">
        <v>-78503000</v>
      </c>
      <c r="V13" s="16" t="s">
        <v>47</v>
      </c>
      <c r="W13" s="28" t="s">
        <v>48</v>
      </c>
      <c r="X13" s="16">
        <v>1</v>
      </c>
      <c r="Y13" s="29">
        <v>1</v>
      </c>
      <c r="Z13" s="18" t="s">
        <v>49</v>
      </c>
      <c r="AA13" s="18" t="s">
        <v>50</v>
      </c>
      <c r="AB13" s="17">
        <v>2019</v>
      </c>
      <c r="AC13" s="16" t="s">
        <v>51</v>
      </c>
      <c r="AD13" s="30"/>
      <c r="AE13" s="16"/>
      <c r="AF13" s="16" t="s">
        <v>52</v>
      </c>
      <c r="AG13" s="16" t="s">
        <v>53</v>
      </c>
    </row>
    <row r="14" spans="1:33" x14ac:dyDescent="0.4">
      <c r="A14" s="15" t="s">
        <v>34</v>
      </c>
      <c r="B14" s="16">
        <v>9</v>
      </c>
      <c r="C14" s="17">
        <v>12</v>
      </c>
      <c r="D14" s="18" t="s">
        <v>118</v>
      </c>
      <c r="E14" s="16">
        <v>31470</v>
      </c>
      <c r="F14" s="16"/>
      <c r="G14" s="19" t="s">
        <v>36</v>
      </c>
      <c r="H14" s="20" t="s">
        <v>36</v>
      </c>
      <c r="I14" s="21" t="s">
        <v>119</v>
      </c>
      <c r="J14" s="16" t="s">
        <v>120</v>
      </c>
      <c r="K14" s="16" t="s">
        <v>121</v>
      </c>
      <c r="L14" s="22" t="s">
        <v>122</v>
      </c>
      <c r="M14" s="16" t="s">
        <v>41</v>
      </c>
      <c r="N14" s="16" t="s">
        <v>42</v>
      </c>
      <c r="O14" s="23">
        <v>240959225</v>
      </c>
      <c r="P14" s="16" t="s">
        <v>43</v>
      </c>
      <c r="Q14" s="24" t="s">
        <v>17</v>
      </c>
      <c r="R14" s="25" t="s">
        <v>44</v>
      </c>
      <c r="S14" s="16" t="s">
        <v>45</v>
      </c>
      <c r="T14" s="26" t="s">
        <v>123</v>
      </c>
      <c r="U14" s="27">
        <v>-78500520</v>
      </c>
      <c r="V14" s="16" t="s">
        <v>47</v>
      </c>
      <c r="W14" s="28" t="s">
        <v>48</v>
      </c>
      <c r="X14" s="28"/>
      <c r="Y14" s="29">
        <v>1</v>
      </c>
      <c r="Z14" s="18" t="s">
        <v>49</v>
      </c>
      <c r="AA14" s="18" t="s">
        <v>50</v>
      </c>
      <c r="AB14" s="17">
        <v>2019</v>
      </c>
      <c r="AC14" s="16" t="s">
        <v>51</v>
      </c>
      <c r="AD14" s="30"/>
      <c r="AE14" s="16"/>
      <c r="AF14" s="16" t="s">
        <v>52</v>
      </c>
      <c r="AG14" s="16" t="s">
        <v>53</v>
      </c>
    </row>
    <row r="15" spans="1:33" x14ac:dyDescent="0.4">
      <c r="A15" s="15" t="s">
        <v>34</v>
      </c>
      <c r="B15" s="16">
        <v>10</v>
      </c>
      <c r="C15" s="17">
        <v>13</v>
      </c>
      <c r="D15" s="18" t="s">
        <v>124</v>
      </c>
      <c r="E15" s="16">
        <v>35722</v>
      </c>
      <c r="F15" s="16"/>
      <c r="G15" s="19" t="s">
        <v>36</v>
      </c>
      <c r="H15" s="20" t="s">
        <v>36</v>
      </c>
      <c r="I15" s="21" t="s">
        <v>125</v>
      </c>
      <c r="J15" s="16" t="s">
        <v>126</v>
      </c>
      <c r="K15" s="16" t="s">
        <v>127</v>
      </c>
      <c r="L15" s="22" t="s">
        <v>128</v>
      </c>
      <c r="M15" s="16" t="s">
        <v>41</v>
      </c>
      <c r="N15" s="16" t="s">
        <v>42</v>
      </c>
      <c r="O15" s="23">
        <v>240697699</v>
      </c>
      <c r="P15" s="16" t="s">
        <v>43</v>
      </c>
      <c r="Q15" s="24" t="s">
        <v>17</v>
      </c>
      <c r="R15" s="25" t="s">
        <v>44</v>
      </c>
      <c r="S15" s="16" t="s">
        <v>45</v>
      </c>
      <c r="T15" s="26" t="s">
        <v>129</v>
      </c>
      <c r="U15" s="26" t="s">
        <v>130</v>
      </c>
      <c r="V15" s="16" t="s">
        <v>47</v>
      </c>
      <c r="W15" s="28" t="s">
        <v>48</v>
      </c>
      <c r="X15" s="28"/>
      <c r="Y15" s="29">
        <v>1</v>
      </c>
      <c r="Z15" s="18" t="s">
        <v>49</v>
      </c>
      <c r="AA15" s="18" t="s">
        <v>50</v>
      </c>
      <c r="AB15" s="17">
        <v>2019</v>
      </c>
      <c r="AC15" s="16" t="s">
        <v>131</v>
      </c>
      <c r="AD15" s="30"/>
      <c r="AE15" s="16"/>
      <c r="AF15" s="16" t="s">
        <v>52</v>
      </c>
      <c r="AG15" s="16" t="s">
        <v>53</v>
      </c>
    </row>
    <row r="16" spans="1:33" x14ac:dyDescent="0.4">
      <c r="A16" s="15" t="s">
        <v>34</v>
      </c>
      <c r="B16" s="16">
        <v>11</v>
      </c>
      <c r="C16" s="17">
        <v>14</v>
      </c>
      <c r="D16" s="18" t="s">
        <v>132</v>
      </c>
      <c r="E16" s="16">
        <v>31482</v>
      </c>
      <c r="F16" s="16"/>
      <c r="G16" s="19" t="s">
        <v>36</v>
      </c>
      <c r="H16" s="20" t="s">
        <v>36</v>
      </c>
      <c r="I16" s="21" t="s">
        <v>133</v>
      </c>
      <c r="J16" s="16" t="s">
        <v>134</v>
      </c>
      <c r="K16" s="16" t="s">
        <v>135</v>
      </c>
      <c r="L16" s="22" t="s">
        <v>136</v>
      </c>
      <c r="M16" s="16" t="s">
        <v>41</v>
      </c>
      <c r="N16" s="16" t="s">
        <v>42</v>
      </c>
      <c r="O16" s="23">
        <v>240697708</v>
      </c>
      <c r="P16" s="16" t="s">
        <v>43</v>
      </c>
      <c r="Q16" s="24" t="s">
        <v>17</v>
      </c>
      <c r="R16" s="25" t="s">
        <v>44</v>
      </c>
      <c r="S16" s="16" t="s">
        <v>45</v>
      </c>
      <c r="T16" s="26" t="s">
        <v>137</v>
      </c>
      <c r="U16" s="26" t="s">
        <v>138</v>
      </c>
      <c r="V16" s="16" t="s">
        <v>47</v>
      </c>
      <c r="W16" s="28" t="s">
        <v>48</v>
      </c>
      <c r="X16" s="16">
        <v>1</v>
      </c>
      <c r="Y16" s="29">
        <v>1</v>
      </c>
      <c r="Z16" s="18" t="s">
        <v>49</v>
      </c>
      <c r="AA16" s="18" t="s">
        <v>50</v>
      </c>
      <c r="AB16" s="17">
        <v>2019</v>
      </c>
      <c r="AC16" s="16" t="s">
        <v>51</v>
      </c>
      <c r="AD16" s="30"/>
      <c r="AE16" s="16"/>
      <c r="AF16" s="16" t="s">
        <v>52</v>
      </c>
      <c r="AG16" s="16" t="s">
        <v>53</v>
      </c>
    </row>
    <row r="17" spans="1:33" x14ac:dyDescent="0.4">
      <c r="A17" s="15" t="s">
        <v>34</v>
      </c>
      <c r="B17" s="16">
        <v>12</v>
      </c>
      <c r="C17" s="17">
        <v>15</v>
      </c>
      <c r="D17" s="18" t="s">
        <v>139</v>
      </c>
      <c r="E17" s="16">
        <v>32604</v>
      </c>
      <c r="F17" s="16"/>
      <c r="G17" s="19" t="s">
        <v>36</v>
      </c>
      <c r="H17" s="20" t="s">
        <v>36</v>
      </c>
      <c r="I17" s="21" t="s">
        <v>140</v>
      </c>
      <c r="J17" s="16" t="s">
        <v>141</v>
      </c>
      <c r="K17" s="16" t="s">
        <v>142</v>
      </c>
      <c r="L17" s="22" t="s">
        <v>143</v>
      </c>
      <c r="M17" s="16" t="s">
        <v>41</v>
      </c>
      <c r="N17" s="16" t="s">
        <v>42</v>
      </c>
      <c r="O17" s="23">
        <v>240959225</v>
      </c>
      <c r="P17" s="16" t="s">
        <v>43</v>
      </c>
      <c r="Q17" s="24" t="s">
        <v>17</v>
      </c>
      <c r="R17" s="25" t="s">
        <v>44</v>
      </c>
      <c r="S17" s="16" t="s">
        <v>45</v>
      </c>
      <c r="T17" s="26" t="s">
        <v>59</v>
      </c>
      <c r="U17" s="27">
        <v>-78505570</v>
      </c>
      <c r="V17" s="16" t="s">
        <v>47</v>
      </c>
      <c r="W17" s="28" t="s">
        <v>48</v>
      </c>
      <c r="X17" s="28"/>
      <c r="Y17" s="29">
        <v>1</v>
      </c>
      <c r="Z17" s="18" t="s">
        <v>49</v>
      </c>
      <c r="AA17" s="18" t="s">
        <v>50</v>
      </c>
      <c r="AB17" s="17">
        <v>2019</v>
      </c>
      <c r="AC17" s="16" t="s">
        <v>51</v>
      </c>
      <c r="AD17" s="30"/>
      <c r="AE17" s="16"/>
      <c r="AF17" s="16" t="s">
        <v>52</v>
      </c>
      <c r="AG17" s="16" t="s">
        <v>53</v>
      </c>
    </row>
    <row r="18" spans="1:33" x14ac:dyDescent="0.4">
      <c r="A18" s="15" t="s">
        <v>34</v>
      </c>
      <c r="B18" s="32">
        <v>13</v>
      </c>
      <c r="C18" s="18">
        <v>16</v>
      </c>
      <c r="D18" s="42"/>
      <c r="E18" s="32">
        <v>746053</v>
      </c>
      <c r="F18" s="32"/>
      <c r="G18" s="24" t="s">
        <v>36</v>
      </c>
      <c r="H18" s="20" t="s">
        <v>36</v>
      </c>
      <c r="I18" s="33" t="s">
        <v>144</v>
      </c>
      <c r="J18" s="16" t="s">
        <v>145</v>
      </c>
      <c r="K18" s="32" t="s">
        <v>146</v>
      </c>
      <c r="L18" s="22" t="s">
        <v>147</v>
      </c>
      <c r="M18" s="16" t="s">
        <v>41</v>
      </c>
      <c r="N18" s="16" t="s">
        <v>42</v>
      </c>
      <c r="O18" s="23">
        <v>240697696</v>
      </c>
      <c r="P18" s="16" t="s">
        <v>43</v>
      </c>
      <c r="Q18" s="24" t="s">
        <v>116</v>
      </c>
      <c r="R18" s="25" t="s">
        <v>44</v>
      </c>
      <c r="S18" s="16" t="s">
        <v>45</v>
      </c>
      <c r="T18" s="26" t="s">
        <v>148</v>
      </c>
      <c r="U18" s="27">
        <v>-78505760</v>
      </c>
      <c r="V18" s="34" t="s">
        <v>47</v>
      </c>
      <c r="W18" s="28" t="s">
        <v>48</v>
      </c>
      <c r="X18" s="28"/>
      <c r="Y18" s="29">
        <v>1</v>
      </c>
      <c r="Z18" s="18" t="s">
        <v>49</v>
      </c>
      <c r="AA18" s="18" t="s">
        <v>50</v>
      </c>
      <c r="AB18" s="17">
        <v>2019</v>
      </c>
      <c r="AC18" s="16" t="s">
        <v>51</v>
      </c>
      <c r="AD18" s="30"/>
      <c r="AE18" s="24"/>
      <c r="AF18" s="35" t="s">
        <v>53</v>
      </c>
      <c r="AG18" s="34" t="s">
        <v>87</v>
      </c>
    </row>
    <row r="19" spans="1:33" x14ac:dyDescent="0.4">
      <c r="A19" s="15" t="s">
        <v>34</v>
      </c>
      <c r="B19" s="36">
        <v>13</v>
      </c>
      <c r="C19" s="18">
        <v>17</v>
      </c>
      <c r="D19" s="42"/>
      <c r="E19" s="32">
        <v>746053</v>
      </c>
      <c r="F19" s="36"/>
      <c r="G19" s="24" t="s">
        <v>36</v>
      </c>
      <c r="H19" s="20" t="s">
        <v>36</v>
      </c>
      <c r="I19" s="33" t="s">
        <v>144</v>
      </c>
      <c r="J19" s="16" t="s">
        <v>145</v>
      </c>
      <c r="K19" s="32" t="s">
        <v>146</v>
      </c>
      <c r="L19" s="22" t="s">
        <v>149</v>
      </c>
      <c r="M19" s="16" t="s">
        <v>41</v>
      </c>
      <c r="N19" s="16" t="s">
        <v>66</v>
      </c>
      <c r="O19" s="23" t="s">
        <v>150</v>
      </c>
      <c r="P19" s="16" t="s">
        <v>43</v>
      </c>
      <c r="Q19" s="24" t="s">
        <v>116</v>
      </c>
      <c r="R19" s="25" t="s">
        <v>44</v>
      </c>
      <c r="S19" s="16" t="s">
        <v>68</v>
      </c>
      <c r="T19" s="26" t="s">
        <v>148</v>
      </c>
      <c r="U19" s="27">
        <v>-78505760</v>
      </c>
      <c r="V19" s="34" t="s">
        <v>47</v>
      </c>
      <c r="W19" s="28" t="s">
        <v>48</v>
      </c>
      <c r="X19" s="28"/>
      <c r="Y19" s="29">
        <v>1</v>
      </c>
      <c r="Z19" s="18" t="s">
        <v>49</v>
      </c>
      <c r="AA19" s="18" t="s">
        <v>50</v>
      </c>
      <c r="AB19" s="17">
        <v>2019</v>
      </c>
      <c r="AC19" s="16" t="s">
        <v>51</v>
      </c>
      <c r="AD19" s="30"/>
      <c r="AE19" s="24"/>
      <c r="AF19" s="37"/>
      <c r="AG19" s="34"/>
    </row>
    <row r="20" spans="1:33" x14ac:dyDescent="0.4">
      <c r="A20" s="15" t="s">
        <v>34</v>
      </c>
      <c r="B20" s="16">
        <v>14</v>
      </c>
      <c r="C20" s="18">
        <v>18</v>
      </c>
      <c r="D20" s="43"/>
      <c r="E20" s="16">
        <v>248678</v>
      </c>
      <c r="F20" s="16"/>
      <c r="G20" s="44" t="s">
        <v>36</v>
      </c>
      <c r="H20" s="20" t="s">
        <v>36</v>
      </c>
      <c r="I20" s="21" t="s">
        <v>151</v>
      </c>
      <c r="J20" s="16" t="s">
        <v>152</v>
      </c>
      <c r="K20" s="16" t="s">
        <v>153</v>
      </c>
      <c r="L20" s="22" t="s">
        <v>154</v>
      </c>
      <c r="M20" s="16" t="s">
        <v>41</v>
      </c>
      <c r="N20" s="16" t="s">
        <v>42</v>
      </c>
      <c r="O20" s="23">
        <v>240959227</v>
      </c>
      <c r="P20" s="16" t="s">
        <v>43</v>
      </c>
      <c r="Q20" s="24" t="s">
        <v>116</v>
      </c>
      <c r="R20" s="25" t="s">
        <v>44</v>
      </c>
      <c r="S20" s="16" t="s">
        <v>45</v>
      </c>
      <c r="T20" s="26" t="s">
        <v>155</v>
      </c>
      <c r="U20" s="27">
        <v>-78507340</v>
      </c>
      <c r="V20" s="16" t="s">
        <v>47</v>
      </c>
      <c r="W20" s="28" t="s">
        <v>48</v>
      </c>
      <c r="X20" s="28"/>
      <c r="Y20" s="29">
        <v>1</v>
      </c>
      <c r="Z20" s="18" t="s">
        <v>49</v>
      </c>
      <c r="AA20" s="18" t="s">
        <v>50</v>
      </c>
      <c r="AB20" s="17">
        <v>2019</v>
      </c>
      <c r="AC20" s="16" t="s">
        <v>51</v>
      </c>
      <c r="AD20" s="30"/>
      <c r="AE20" s="16"/>
      <c r="AF20" s="16" t="s">
        <v>52</v>
      </c>
      <c r="AG20" s="16" t="s">
        <v>156</v>
      </c>
    </row>
    <row r="21" spans="1:33" x14ac:dyDescent="0.4">
      <c r="A21" s="15" t="s">
        <v>34</v>
      </c>
      <c r="B21" s="32">
        <v>15</v>
      </c>
      <c r="C21" s="17">
        <v>19</v>
      </c>
      <c r="D21" s="18" t="s">
        <v>157</v>
      </c>
      <c r="E21" s="32">
        <v>291653</v>
      </c>
      <c r="F21" s="32"/>
      <c r="G21" s="19" t="s">
        <v>36</v>
      </c>
      <c r="H21" s="20" t="s">
        <v>36</v>
      </c>
      <c r="I21" s="33" t="s">
        <v>158</v>
      </c>
      <c r="J21" s="16" t="s">
        <v>159</v>
      </c>
      <c r="K21" s="32" t="s">
        <v>160</v>
      </c>
      <c r="L21" s="22" t="s">
        <v>161</v>
      </c>
      <c r="M21" s="16" t="s">
        <v>41</v>
      </c>
      <c r="N21" s="16" t="s">
        <v>42</v>
      </c>
      <c r="O21" s="23">
        <v>240959215</v>
      </c>
      <c r="P21" s="16" t="s">
        <v>43</v>
      </c>
      <c r="Q21" s="24" t="s">
        <v>17</v>
      </c>
      <c r="R21" s="25" t="s">
        <v>44</v>
      </c>
      <c r="S21" s="16" t="s">
        <v>45</v>
      </c>
      <c r="T21" s="26" t="s">
        <v>162</v>
      </c>
      <c r="U21" s="26" t="s">
        <v>163</v>
      </c>
      <c r="V21" s="34" t="s">
        <v>47</v>
      </c>
      <c r="W21" s="28" t="s">
        <v>48</v>
      </c>
      <c r="X21" s="28"/>
      <c r="Y21" s="29">
        <v>1</v>
      </c>
      <c r="Z21" s="18" t="s">
        <v>49</v>
      </c>
      <c r="AA21" s="18" t="s">
        <v>50</v>
      </c>
      <c r="AB21" s="17">
        <v>2019</v>
      </c>
      <c r="AC21" s="16" t="s">
        <v>51</v>
      </c>
      <c r="AD21" s="30" t="s">
        <v>164</v>
      </c>
      <c r="AE21" s="24"/>
      <c r="AF21" s="35" t="s">
        <v>53</v>
      </c>
      <c r="AG21" s="34" t="s">
        <v>87</v>
      </c>
    </row>
    <row r="22" spans="1:33" x14ac:dyDescent="0.4">
      <c r="A22" s="15" t="s">
        <v>34</v>
      </c>
      <c r="B22" s="36">
        <v>15</v>
      </c>
      <c r="C22" s="17">
        <v>20</v>
      </c>
      <c r="D22" s="18" t="s">
        <v>165</v>
      </c>
      <c r="E22" s="32">
        <v>291653</v>
      </c>
      <c r="F22" s="36"/>
      <c r="G22" s="44" t="s">
        <v>36</v>
      </c>
      <c r="H22" s="20" t="s">
        <v>36</v>
      </c>
      <c r="I22" s="33" t="s">
        <v>158</v>
      </c>
      <c r="J22" s="16" t="s">
        <v>159</v>
      </c>
      <c r="K22" s="32" t="s">
        <v>160</v>
      </c>
      <c r="L22" s="22" t="s">
        <v>166</v>
      </c>
      <c r="M22" s="16" t="s">
        <v>41</v>
      </c>
      <c r="N22" s="16" t="s">
        <v>66</v>
      </c>
      <c r="O22" s="23" t="s">
        <v>167</v>
      </c>
      <c r="P22" s="16" t="s">
        <v>43</v>
      </c>
      <c r="Q22" s="24" t="s">
        <v>17</v>
      </c>
      <c r="R22" s="25" t="s">
        <v>44</v>
      </c>
      <c r="S22" s="16" t="s">
        <v>68</v>
      </c>
      <c r="T22" s="26" t="s">
        <v>162</v>
      </c>
      <c r="U22" s="26" t="s">
        <v>163</v>
      </c>
      <c r="V22" s="34" t="s">
        <v>47</v>
      </c>
      <c r="W22" s="28" t="s">
        <v>48</v>
      </c>
      <c r="X22" s="28"/>
      <c r="Y22" s="29">
        <v>1</v>
      </c>
      <c r="Z22" s="18" t="s">
        <v>49</v>
      </c>
      <c r="AA22" s="18" t="s">
        <v>50</v>
      </c>
      <c r="AB22" s="17">
        <v>2019</v>
      </c>
      <c r="AC22" s="16" t="s">
        <v>51</v>
      </c>
      <c r="AD22" s="30"/>
      <c r="AE22" s="24"/>
      <c r="AF22" s="37"/>
      <c r="AG22" s="34"/>
    </row>
    <row r="23" spans="1:33" x14ac:dyDescent="0.4">
      <c r="A23" s="15" t="s">
        <v>34</v>
      </c>
      <c r="B23" s="16">
        <v>16</v>
      </c>
      <c r="C23" s="17">
        <v>21</v>
      </c>
      <c r="D23" s="18" t="s">
        <v>168</v>
      </c>
      <c r="E23" s="16">
        <v>746007</v>
      </c>
      <c r="F23" s="16"/>
      <c r="G23" s="45" t="s">
        <v>36</v>
      </c>
      <c r="H23" s="20" t="s">
        <v>36</v>
      </c>
      <c r="I23" s="21" t="s">
        <v>169</v>
      </c>
      <c r="J23" s="16" t="s">
        <v>170</v>
      </c>
      <c r="K23" s="16" t="s">
        <v>171</v>
      </c>
      <c r="L23" s="22" t="s">
        <v>172</v>
      </c>
      <c r="M23" s="16" t="s">
        <v>41</v>
      </c>
      <c r="N23" s="16" t="s">
        <v>42</v>
      </c>
      <c r="O23" s="23">
        <v>240697697</v>
      </c>
      <c r="P23" s="16" t="s">
        <v>43</v>
      </c>
      <c r="Q23" s="24" t="s">
        <v>17</v>
      </c>
      <c r="R23" s="25" t="s">
        <v>44</v>
      </c>
      <c r="S23" s="16" t="s">
        <v>45</v>
      </c>
      <c r="T23" s="26" t="s">
        <v>173</v>
      </c>
      <c r="U23" s="27">
        <v>-78508550</v>
      </c>
      <c r="V23" s="16" t="s">
        <v>47</v>
      </c>
      <c r="W23" s="28" t="s">
        <v>48</v>
      </c>
      <c r="X23" s="28"/>
      <c r="Y23" s="29">
        <v>1</v>
      </c>
      <c r="Z23" s="18" t="s">
        <v>49</v>
      </c>
      <c r="AA23" s="18" t="s">
        <v>50</v>
      </c>
      <c r="AB23" s="17">
        <v>2019</v>
      </c>
      <c r="AC23" s="16" t="s">
        <v>51</v>
      </c>
      <c r="AD23" s="30"/>
      <c r="AE23" s="16"/>
      <c r="AF23" s="16" t="s">
        <v>52</v>
      </c>
      <c r="AG23" s="16" t="s">
        <v>53</v>
      </c>
    </row>
    <row r="24" spans="1:33" x14ac:dyDescent="0.4">
      <c r="A24" s="15" t="s">
        <v>34</v>
      </c>
      <c r="B24" s="46">
        <v>17</v>
      </c>
      <c r="C24" s="18">
        <v>22</v>
      </c>
      <c r="D24" s="42"/>
      <c r="E24" s="32">
        <v>793112</v>
      </c>
      <c r="F24" s="32"/>
      <c r="G24" s="44" t="s">
        <v>36</v>
      </c>
      <c r="H24" s="20" t="s">
        <v>36</v>
      </c>
      <c r="I24" s="33" t="s">
        <v>174</v>
      </c>
      <c r="J24" s="16" t="s">
        <v>175</v>
      </c>
      <c r="K24" s="32" t="s">
        <v>176</v>
      </c>
      <c r="L24" s="22" t="s">
        <v>177</v>
      </c>
      <c r="M24" s="16" t="s">
        <v>41</v>
      </c>
      <c r="N24" s="16" t="s">
        <v>42</v>
      </c>
      <c r="O24" s="23">
        <v>240959226</v>
      </c>
      <c r="P24" s="16" t="s">
        <v>43</v>
      </c>
      <c r="Q24" s="24" t="s">
        <v>116</v>
      </c>
      <c r="R24" s="25" t="s">
        <v>44</v>
      </c>
      <c r="S24" s="16" t="s">
        <v>45</v>
      </c>
      <c r="T24" s="26" t="s">
        <v>178</v>
      </c>
      <c r="U24" s="26" t="s">
        <v>179</v>
      </c>
      <c r="V24" s="47" t="s">
        <v>47</v>
      </c>
      <c r="W24" s="28" t="s">
        <v>48</v>
      </c>
      <c r="X24" s="28"/>
      <c r="Y24" s="29">
        <v>1</v>
      </c>
      <c r="Z24" s="18" t="s">
        <v>49</v>
      </c>
      <c r="AA24" s="18" t="s">
        <v>50</v>
      </c>
      <c r="AB24" s="17">
        <v>2019</v>
      </c>
      <c r="AC24" s="16" t="s">
        <v>51</v>
      </c>
      <c r="AD24" s="30"/>
      <c r="AE24" s="24"/>
      <c r="AF24" s="35" t="s">
        <v>53</v>
      </c>
      <c r="AG24" s="34" t="s">
        <v>87</v>
      </c>
    </row>
    <row r="25" spans="1:33" x14ac:dyDescent="0.4">
      <c r="A25" s="15" t="s">
        <v>34</v>
      </c>
      <c r="B25" s="48">
        <v>17</v>
      </c>
      <c r="C25" s="18">
        <v>23</v>
      </c>
      <c r="D25" s="43"/>
      <c r="E25" s="32">
        <v>793112</v>
      </c>
      <c r="F25" s="36"/>
      <c r="G25" s="44" t="s">
        <v>36</v>
      </c>
      <c r="H25" s="20" t="s">
        <v>36</v>
      </c>
      <c r="I25" s="33" t="s">
        <v>174</v>
      </c>
      <c r="J25" s="16" t="s">
        <v>175</v>
      </c>
      <c r="K25" s="32" t="s">
        <v>176</v>
      </c>
      <c r="L25" s="22" t="s">
        <v>180</v>
      </c>
      <c r="M25" s="16" t="s">
        <v>41</v>
      </c>
      <c r="N25" s="16" t="s">
        <v>66</v>
      </c>
      <c r="O25" s="23" t="s">
        <v>101</v>
      </c>
      <c r="P25" s="16" t="s">
        <v>43</v>
      </c>
      <c r="Q25" s="24" t="s">
        <v>116</v>
      </c>
      <c r="R25" s="25" t="s">
        <v>44</v>
      </c>
      <c r="S25" s="16" t="s">
        <v>68</v>
      </c>
      <c r="T25" s="26" t="s">
        <v>178</v>
      </c>
      <c r="U25" s="26" t="s">
        <v>179</v>
      </c>
      <c r="V25" s="47" t="s">
        <v>47</v>
      </c>
      <c r="W25" s="28" t="s">
        <v>48</v>
      </c>
      <c r="X25" s="28"/>
      <c r="Y25" s="29">
        <v>1</v>
      </c>
      <c r="Z25" s="18" t="s">
        <v>49</v>
      </c>
      <c r="AA25" s="18" t="s">
        <v>50</v>
      </c>
      <c r="AB25" s="17">
        <v>2019</v>
      </c>
      <c r="AC25" s="16" t="s">
        <v>51</v>
      </c>
      <c r="AD25" s="30"/>
      <c r="AE25" s="24"/>
      <c r="AF25" s="37"/>
      <c r="AG25" s="34"/>
    </row>
    <row r="26" spans="1:33" x14ac:dyDescent="0.4">
      <c r="A26" s="15" t="s">
        <v>34</v>
      </c>
      <c r="B26" s="32">
        <v>18</v>
      </c>
      <c r="C26" s="17">
        <v>24</v>
      </c>
      <c r="D26" s="18"/>
      <c r="E26" s="32">
        <v>793115</v>
      </c>
      <c r="F26" s="32"/>
      <c r="G26" s="44" t="s">
        <v>36</v>
      </c>
      <c r="H26" s="20" t="s">
        <v>36</v>
      </c>
      <c r="I26" s="33" t="s">
        <v>181</v>
      </c>
      <c r="J26" s="16" t="s">
        <v>182</v>
      </c>
      <c r="K26" s="32" t="s">
        <v>183</v>
      </c>
      <c r="L26" s="22" t="s">
        <v>184</v>
      </c>
      <c r="M26" s="16" t="s">
        <v>41</v>
      </c>
      <c r="N26" s="16" t="s">
        <v>42</v>
      </c>
      <c r="O26" s="23">
        <v>240697692</v>
      </c>
      <c r="P26" s="16" t="s">
        <v>43</v>
      </c>
      <c r="Q26" s="24" t="s">
        <v>17</v>
      </c>
      <c r="R26" s="25" t="s">
        <v>44</v>
      </c>
      <c r="S26" s="16" t="s">
        <v>45</v>
      </c>
      <c r="T26" s="26" t="s">
        <v>185</v>
      </c>
      <c r="U26" s="27">
        <v>-78508780</v>
      </c>
      <c r="V26" s="34" t="s">
        <v>47</v>
      </c>
      <c r="W26" s="28" t="s">
        <v>48</v>
      </c>
      <c r="X26" s="28"/>
      <c r="Y26" s="29">
        <v>1</v>
      </c>
      <c r="Z26" s="18" t="s">
        <v>49</v>
      </c>
      <c r="AA26" s="18" t="s">
        <v>50</v>
      </c>
      <c r="AB26" s="17">
        <v>2019</v>
      </c>
      <c r="AC26" s="16" t="s">
        <v>51</v>
      </c>
      <c r="AD26" s="30" t="s">
        <v>186</v>
      </c>
      <c r="AE26" s="24"/>
      <c r="AF26" s="35" t="s">
        <v>187</v>
      </c>
      <c r="AG26" s="34" t="s">
        <v>98</v>
      </c>
    </row>
    <row r="27" spans="1:33" x14ac:dyDescent="0.4">
      <c r="A27" s="15" t="s">
        <v>34</v>
      </c>
      <c r="B27" s="38">
        <v>18</v>
      </c>
      <c r="C27" s="17">
        <v>25</v>
      </c>
      <c r="D27" s="18" t="s">
        <v>188</v>
      </c>
      <c r="E27" s="32">
        <v>793115</v>
      </c>
      <c r="F27" s="38"/>
      <c r="G27" s="45" t="s">
        <v>36</v>
      </c>
      <c r="H27" s="20" t="s">
        <v>36</v>
      </c>
      <c r="I27" s="33" t="s">
        <v>181</v>
      </c>
      <c r="J27" s="16" t="s">
        <v>182</v>
      </c>
      <c r="K27" s="32" t="s">
        <v>183</v>
      </c>
      <c r="L27" s="22" t="s">
        <v>189</v>
      </c>
      <c r="M27" s="16" t="s">
        <v>41</v>
      </c>
      <c r="N27" s="16" t="s">
        <v>66</v>
      </c>
      <c r="O27" s="16" t="s">
        <v>190</v>
      </c>
      <c r="P27" s="16" t="s">
        <v>43</v>
      </c>
      <c r="Q27" s="24" t="s">
        <v>17</v>
      </c>
      <c r="R27" s="25" t="s">
        <v>44</v>
      </c>
      <c r="S27" s="16" t="s">
        <v>68</v>
      </c>
      <c r="T27" s="26" t="s">
        <v>185</v>
      </c>
      <c r="U27" s="27">
        <v>-78508780</v>
      </c>
      <c r="V27" s="34" t="s">
        <v>47</v>
      </c>
      <c r="W27" s="28" t="s">
        <v>48</v>
      </c>
      <c r="X27" s="28"/>
      <c r="Y27" s="29">
        <v>1</v>
      </c>
      <c r="Z27" s="18" t="s">
        <v>49</v>
      </c>
      <c r="AA27" s="18" t="s">
        <v>50</v>
      </c>
      <c r="AB27" s="17">
        <v>2019</v>
      </c>
      <c r="AC27" s="16" t="s">
        <v>51</v>
      </c>
      <c r="AD27" s="30"/>
      <c r="AE27" s="24"/>
      <c r="AF27" s="39"/>
      <c r="AG27" s="34"/>
    </row>
    <row r="28" spans="1:33" x14ac:dyDescent="0.4">
      <c r="A28" s="15" t="s">
        <v>34</v>
      </c>
      <c r="B28" s="36">
        <v>18</v>
      </c>
      <c r="C28" s="18">
        <v>26</v>
      </c>
      <c r="D28" s="41"/>
      <c r="E28" s="32">
        <v>793115</v>
      </c>
      <c r="F28" s="36"/>
      <c r="G28" s="44" t="s">
        <v>36</v>
      </c>
      <c r="H28" s="20" t="s">
        <v>36</v>
      </c>
      <c r="I28" s="33" t="s">
        <v>181</v>
      </c>
      <c r="J28" s="16" t="s">
        <v>182</v>
      </c>
      <c r="K28" s="32" t="s">
        <v>183</v>
      </c>
      <c r="L28" s="22" t="s">
        <v>191</v>
      </c>
      <c r="M28" s="16" t="s">
        <v>41</v>
      </c>
      <c r="N28" s="16" t="s">
        <v>66</v>
      </c>
      <c r="O28" s="16" t="s">
        <v>192</v>
      </c>
      <c r="P28" s="16" t="s">
        <v>43</v>
      </c>
      <c r="Q28" s="24" t="s">
        <v>116</v>
      </c>
      <c r="R28" s="25" t="s">
        <v>44</v>
      </c>
      <c r="S28" s="16" t="s">
        <v>68</v>
      </c>
      <c r="T28" s="26" t="s">
        <v>185</v>
      </c>
      <c r="U28" s="27">
        <v>-78508780</v>
      </c>
      <c r="V28" s="34" t="s">
        <v>47</v>
      </c>
      <c r="W28" s="28" t="s">
        <v>48</v>
      </c>
      <c r="X28" s="28"/>
      <c r="Y28" s="29">
        <v>1</v>
      </c>
      <c r="Z28" s="18" t="s">
        <v>49</v>
      </c>
      <c r="AA28" s="18" t="s">
        <v>50</v>
      </c>
      <c r="AB28" s="17">
        <v>2019</v>
      </c>
      <c r="AC28" s="16" t="s">
        <v>51</v>
      </c>
      <c r="AD28" s="30"/>
      <c r="AE28" s="24"/>
      <c r="AF28" s="37"/>
      <c r="AG28" s="34"/>
    </row>
    <row r="29" spans="1:33" x14ac:dyDescent="0.4">
      <c r="A29" s="15" t="s">
        <v>34</v>
      </c>
      <c r="B29" s="32">
        <v>19</v>
      </c>
      <c r="C29" s="17">
        <v>27</v>
      </c>
      <c r="D29" s="18" t="s">
        <v>193</v>
      </c>
      <c r="E29" s="32">
        <v>793118</v>
      </c>
      <c r="F29" s="32"/>
      <c r="G29" s="45" t="s">
        <v>36</v>
      </c>
      <c r="H29" s="20" t="s">
        <v>36</v>
      </c>
      <c r="I29" s="33" t="s">
        <v>194</v>
      </c>
      <c r="J29" s="16" t="s">
        <v>195</v>
      </c>
      <c r="K29" s="32" t="s">
        <v>196</v>
      </c>
      <c r="L29" s="22" t="s">
        <v>197</v>
      </c>
      <c r="M29" s="16" t="s">
        <v>41</v>
      </c>
      <c r="N29" s="16" t="s">
        <v>42</v>
      </c>
      <c r="O29" s="23">
        <v>240697706</v>
      </c>
      <c r="P29" s="16" t="s">
        <v>43</v>
      </c>
      <c r="Q29" s="24" t="s">
        <v>17</v>
      </c>
      <c r="R29" s="25" t="s">
        <v>44</v>
      </c>
      <c r="S29" s="16" t="s">
        <v>45</v>
      </c>
      <c r="T29" s="26" t="s">
        <v>198</v>
      </c>
      <c r="U29" s="26" t="s">
        <v>199</v>
      </c>
      <c r="V29" s="34" t="s">
        <v>47</v>
      </c>
      <c r="W29" s="28" t="s">
        <v>48</v>
      </c>
      <c r="X29" s="16">
        <v>1</v>
      </c>
      <c r="Y29" s="29">
        <v>1</v>
      </c>
      <c r="Z29" s="18" t="s">
        <v>49</v>
      </c>
      <c r="AA29" s="18" t="s">
        <v>50</v>
      </c>
      <c r="AB29" s="17">
        <v>2019</v>
      </c>
      <c r="AC29" s="16" t="s">
        <v>51</v>
      </c>
      <c r="AD29" s="30"/>
      <c r="AE29" s="24"/>
      <c r="AF29" s="35" t="s">
        <v>53</v>
      </c>
      <c r="AG29" s="34" t="s">
        <v>87</v>
      </c>
    </row>
    <row r="30" spans="1:33" x14ac:dyDescent="0.4">
      <c r="A30" s="15" t="s">
        <v>34</v>
      </c>
      <c r="B30" s="36">
        <v>19</v>
      </c>
      <c r="C30" s="17">
        <v>28</v>
      </c>
      <c r="D30" s="18" t="s">
        <v>200</v>
      </c>
      <c r="E30" s="32">
        <v>793118</v>
      </c>
      <c r="F30" s="36"/>
      <c r="G30" s="45" t="s">
        <v>36</v>
      </c>
      <c r="H30" s="20" t="s">
        <v>36</v>
      </c>
      <c r="I30" s="33" t="s">
        <v>194</v>
      </c>
      <c r="J30" s="16" t="s">
        <v>195</v>
      </c>
      <c r="K30" s="32" t="s">
        <v>196</v>
      </c>
      <c r="L30" s="22" t="s">
        <v>201</v>
      </c>
      <c r="M30" s="16" t="s">
        <v>41</v>
      </c>
      <c r="N30" s="16" t="s">
        <v>66</v>
      </c>
      <c r="O30" s="23" t="s">
        <v>202</v>
      </c>
      <c r="P30" s="16" t="s">
        <v>43</v>
      </c>
      <c r="Q30" s="24" t="s">
        <v>17</v>
      </c>
      <c r="R30" s="25" t="s">
        <v>44</v>
      </c>
      <c r="S30" s="16" t="s">
        <v>68</v>
      </c>
      <c r="T30" s="26" t="s">
        <v>198</v>
      </c>
      <c r="U30" s="26" t="s">
        <v>199</v>
      </c>
      <c r="V30" s="34" t="s">
        <v>47</v>
      </c>
      <c r="W30" s="28" t="s">
        <v>48</v>
      </c>
      <c r="X30" s="16">
        <v>1</v>
      </c>
      <c r="Y30" s="29">
        <v>1</v>
      </c>
      <c r="Z30" s="18" t="s">
        <v>49</v>
      </c>
      <c r="AA30" s="18" t="s">
        <v>50</v>
      </c>
      <c r="AB30" s="17">
        <v>2019</v>
      </c>
      <c r="AC30" s="16" t="s">
        <v>51</v>
      </c>
      <c r="AD30" s="30"/>
      <c r="AE30" s="24"/>
      <c r="AF30" s="37"/>
      <c r="AG30" s="34"/>
    </row>
    <row r="31" spans="1:33" x14ac:dyDescent="0.4">
      <c r="A31" s="15" t="s">
        <v>34</v>
      </c>
      <c r="B31" s="16">
        <v>20</v>
      </c>
      <c r="C31" s="17">
        <v>29</v>
      </c>
      <c r="D31" s="18" t="s">
        <v>203</v>
      </c>
      <c r="E31" s="16">
        <v>793121</v>
      </c>
      <c r="F31" s="16"/>
      <c r="G31" s="19" t="s">
        <v>36</v>
      </c>
      <c r="H31" s="20" t="s">
        <v>36</v>
      </c>
      <c r="I31" s="21" t="s">
        <v>204</v>
      </c>
      <c r="J31" s="16" t="s">
        <v>205</v>
      </c>
      <c r="K31" s="16" t="s">
        <v>206</v>
      </c>
      <c r="L31" s="22" t="s">
        <v>207</v>
      </c>
      <c r="M31" s="16" t="s">
        <v>41</v>
      </c>
      <c r="N31" s="16" t="s">
        <v>66</v>
      </c>
      <c r="O31" s="23">
        <v>82790739</v>
      </c>
      <c r="P31" s="16" t="s">
        <v>43</v>
      </c>
      <c r="Q31" s="24" t="s">
        <v>17</v>
      </c>
      <c r="R31" s="25" t="s">
        <v>44</v>
      </c>
      <c r="S31" s="16" t="s">
        <v>68</v>
      </c>
      <c r="T31" s="26" t="s">
        <v>208</v>
      </c>
      <c r="U31" s="26" t="s">
        <v>209</v>
      </c>
      <c r="V31" s="16" t="s">
        <v>47</v>
      </c>
      <c r="W31" s="28" t="s">
        <v>48</v>
      </c>
      <c r="X31" s="28"/>
      <c r="Y31" s="29">
        <v>1</v>
      </c>
      <c r="Z31" s="18" t="s">
        <v>49</v>
      </c>
      <c r="AA31" s="18" t="s">
        <v>50</v>
      </c>
      <c r="AB31" s="17">
        <v>2019</v>
      </c>
      <c r="AC31" s="16" t="s">
        <v>51</v>
      </c>
      <c r="AD31" s="30"/>
      <c r="AE31" s="16"/>
      <c r="AF31" s="16" t="s">
        <v>52</v>
      </c>
      <c r="AG31" s="16" t="s">
        <v>53</v>
      </c>
    </row>
    <row r="32" spans="1:33" x14ac:dyDescent="0.4">
      <c r="A32" s="15" t="s">
        <v>34</v>
      </c>
      <c r="B32" s="32">
        <v>21</v>
      </c>
      <c r="C32" s="17">
        <v>30</v>
      </c>
      <c r="D32" s="18" t="s">
        <v>210</v>
      </c>
      <c r="E32" s="32">
        <v>793120</v>
      </c>
      <c r="F32" s="32"/>
      <c r="G32" s="19" t="s">
        <v>36</v>
      </c>
      <c r="H32" s="20" t="s">
        <v>36</v>
      </c>
      <c r="I32" s="33" t="s">
        <v>211</v>
      </c>
      <c r="J32" s="16" t="s">
        <v>212</v>
      </c>
      <c r="K32" s="32" t="s">
        <v>213</v>
      </c>
      <c r="L32" s="22" t="s">
        <v>214</v>
      </c>
      <c r="M32" s="16" t="s">
        <v>41</v>
      </c>
      <c r="N32" s="16" t="s">
        <v>42</v>
      </c>
      <c r="O32" s="23">
        <v>240697694</v>
      </c>
      <c r="P32" s="16" t="s">
        <v>43</v>
      </c>
      <c r="Q32" s="24" t="s">
        <v>17</v>
      </c>
      <c r="R32" s="25" t="s">
        <v>44</v>
      </c>
      <c r="S32" s="16" t="s">
        <v>45</v>
      </c>
      <c r="T32" s="26" t="s">
        <v>215</v>
      </c>
      <c r="U32" s="27">
        <v>-78507990</v>
      </c>
      <c r="V32" s="34" t="s">
        <v>47</v>
      </c>
      <c r="W32" s="28" t="s">
        <v>48</v>
      </c>
      <c r="X32" s="28"/>
      <c r="Y32" s="29">
        <v>1</v>
      </c>
      <c r="Z32" s="18" t="s">
        <v>49</v>
      </c>
      <c r="AA32" s="18" t="s">
        <v>50</v>
      </c>
      <c r="AB32" s="17">
        <v>2019</v>
      </c>
      <c r="AC32" s="16" t="s">
        <v>51</v>
      </c>
      <c r="AD32" s="30"/>
      <c r="AE32" s="24"/>
      <c r="AF32" s="35" t="s">
        <v>53</v>
      </c>
      <c r="AG32" s="34" t="s">
        <v>87</v>
      </c>
    </row>
    <row r="33" spans="1:33" x14ac:dyDescent="0.4">
      <c r="A33" s="15" t="s">
        <v>34</v>
      </c>
      <c r="B33" s="32">
        <v>21</v>
      </c>
      <c r="C33" s="17">
        <v>31</v>
      </c>
      <c r="D33" s="18" t="s">
        <v>216</v>
      </c>
      <c r="E33" s="32">
        <v>793120</v>
      </c>
      <c r="F33" s="36"/>
      <c r="G33" s="19" t="s">
        <v>36</v>
      </c>
      <c r="H33" s="20" t="s">
        <v>36</v>
      </c>
      <c r="I33" s="33" t="s">
        <v>211</v>
      </c>
      <c r="J33" s="16" t="s">
        <v>212</v>
      </c>
      <c r="K33" s="32" t="s">
        <v>213</v>
      </c>
      <c r="L33" s="22" t="s">
        <v>217</v>
      </c>
      <c r="M33" s="16" t="s">
        <v>41</v>
      </c>
      <c r="N33" s="16" t="s">
        <v>66</v>
      </c>
      <c r="O33" s="23" t="s">
        <v>218</v>
      </c>
      <c r="P33" s="16" t="s">
        <v>43</v>
      </c>
      <c r="Q33" s="24" t="s">
        <v>17</v>
      </c>
      <c r="R33" s="25" t="s">
        <v>44</v>
      </c>
      <c r="S33" s="16" t="s">
        <v>68</v>
      </c>
      <c r="T33" s="26" t="s">
        <v>215</v>
      </c>
      <c r="U33" s="27">
        <v>-78507990</v>
      </c>
      <c r="V33" s="34" t="s">
        <v>47</v>
      </c>
      <c r="W33" s="28" t="s">
        <v>48</v>
      </c>
      <c r="X33" s="28"/>
      <c r="Y33" s="29">
        <v>1</v>
      </c>
      <c r="Z33" s="18" t="s">
        <v>49</v>
      </c>
      <c r="AA33" s="18" t="s">
        <v>50</v>
      </c>
      <c r="AB33" s="17">
        <v>2019</v>
      </c>
      <c r="AC33" s="16" t="s">
        <v>51</v>
      </c>
      <c r="AD33" s="30"/>
      <c r="AE33" s="24"/>
      <c r="AF33" s="37"/>
      <c r="AG33" s="34"/>
    </row>
    <row r="34" spans="1:33" ht="26" x14ac:dyDescent="0.4">
      <c r="A34" s="15" t="s">
        <v>34</v>
      </c>
      <c r="B34" s="16">
        <v>22</v>
      </c>
      <c r="C34" s="17">
        <v>32</v>
      </c>
      <c r="D34" s="18" t="s">
        <v>219</v>
      </c>
      <c r="E34" s="16">
        <v>793123</v>
      </c>
      <c r="F34" s="16"/>
      <c r="G34" s="19" t="s">
        <v>36</v>
      </c>
      <c r="H34" s="20" t="s">
        <v>36</v>
      </c>
      <c r="I34" s="21" t="s">
        <v>220</v>
      </c>
      <c r="J34" s="16" t="s">
        <v>221</v>
      </c>
      <c r="K34" s="16" t="s">
        <v>222</v>
      </c>
      <c r="L34" s="22" t="s">
        <v>223</v>
      </c>
      <c r="M34" s="16" t="s">
        <v>41</v>
      </c>
      <c r="N34" s="16" t="s">
        <v>42</v>
      </c>
      <c r="O34" s="23">
        <v>240697702</v>
      </c>
      <c r="P34" s="16" t="s">
        <v>43</v>
      </c>
      <c r="Q34" s="24" t="s">
        <v>17</v>
      </c>
      <c r="R34" s="25" t="s">
        <v>44</v>
      </c>
      <c r="S34" s="16" t="s">
        <v>45</v>
      </c>
      <c r="T34" s="26" t="s">
        <v>224</v>
      </c>
      <c r="U34" s="27">
        <v>-78506900</v>
      </c>
      <c r="V34" s="16" t="s">
        <v>47</v>
      </c>
      <c r="W34" s="28" t="s">
        <v>48</v>
      </c>
      <c r="X34" s="16">
        <v>1</v>
      </c>
      <c r="Y34" s="29">
        <v>1</v>
      </c>
      <c r="Z34" s="18" t="s">
        <v>49</v>
      </c>
      <c r="AA34" s="18" t="s">
        <v>50</v>
      </c>
      <c r="AB34" s="17">
        <v>2019</v>
      </c>
      <c r="AC34" s="16" t="s">
        <v>51</v>
      </c>
      <c r="AD34" s="30"/>
      <c r="AE34" s="16"/>
      <c r="AF34" s="16" t="s">
        <v>52</v>
      </c>
      <c r="AG34" s="16" t="s">
        <v>53</v>
      </c>
    </row>
    <row r="35" spans="1:33" x14ac:dyDescent="0.4">
      <c r="A35" s="15" t="s">
        <v>34</v>
      </c>
      <c r="B35" s="49">
        <v>23</v>
      </c>
      <c r="C35" s="17">
        <v>33</v>
      </c>
      <c r="D35" s="18" t="s">
        <v>225</v>
      </c>
      <c r="E35" s="16">
        <v>259464</v>
      </c>
      <c r="F35" s="16"/>
      <c r="G35" s="19" t="s">
        <v>36</v>
      </c>
      <c r="H35" s="20" t="s">
        <v>36</v>
      </c>
      <c r="I35" s="21" t="s">
        <v>226</v>
      </c>
      <c r="J35" s="16" t="s">
        <v>227</v>
      </c>
      <c r="K35" s="16" t="s">
        <v>228</v>
      </c>
      <c r="L35" s="22" t="s">
        <v>229</v>
      </c>
      <c r="M35" s="16" t="s">
        <v>41</v>
      </c>
      <c r="N35" s="16" t="s">
        <v>42</v>
      </c>
      <c r="O35" s="23">
        <v>240697704</v>
      </c>
      <c r="P35" s="16" t="s">
        <v>43</v>
      </c>
      <c r="Q35" s="24" t="s">
        <v>17</v>
      </c>
      <c r="R35" s="25" t="s">
        <v>44</v>
      </c>
      <c r="S35" s="16" t="s">
        <v>45</v>
      </c>
      <c r="T35" s="26" t="s">
        <v>230</v>
      </c>
      <c r="U35" s="26" t="s">
        <v>231</v>
      </c>
      <c r="V35" s="49" t="s">
        <v>47</v>
      </c>
      <c r="W35" s="28" t="s">
        <v>48</v>
      </c>
      <c r="X35" s="28"/>
      <c r="Y35" s="29">
        <v>1</v>
      </c>
      <c r="Z35" s="18" t="s">
        <v>49</v>
      </c>
      <c r="AA35" s="18" t="s">
        <v>50</v>
      </c>
      <c r="AB35" s="17">
        <v>2019</v>
      </c>
      <c r="AC35" s="16" t="s">
        <v>51</v>
      </c>
      <c r="AD35" s="30"/>
      <c r="AE35" s="16"/>
      <c r="AF35" s="16" t="s">
        <v>52</v>
      </c>
      <c r="AG35" s="16" t="s">
        <v>53</v>
      </c>
    </row>
    <row r="36" spans="1:33" ht="25.5" customHeight="1" x14ac:dyDescent="0.4">
      <c r="A36" s="15" t="s">
        <v>34</v>
      </c>
      <c r="B36" s="46">
        <v>24</v>
      </c>
      <c r="C36" s="17">
        <v>34</v>
      </c>
      <c r="D36" s="17" t="s">
        <v>232</v>
      </c>
      <c r="E36" s="32">
        <v>2127874</v>
      </c>
      <c r="F36" s="32"/>
      <c r="G36" s="19" t="s">
        <v>36</v>
      </c>
      <c r="H36" s="20" t="s">
        <v>36</v>
      </c>
      <c r="I36" s="33" t="s">
        <v>233</v>
      </c>
      <c r="J36" s="16" t="s">
        <v>234</v>
      </c>
      <c r="K36" s="32" t="s">
        <v>235</v>
      </c>
      <c r="L36" s="22" t="s">
        <v>236</v>
      </c>
      <c r="M36" s="16" t="s">
        <v>41</v>
      </c>
      <c r="N36" s="16" t="s">
        <v>42</v>
      </c>
      <c r="O36" s="23">
        <v>240959221</v>
      </c>
      <c r="P36" s="16" t="s">
        <v>43</v>
      </c>
      <c r="Q36" s="24" t="s">
        <v>17</v>
      </c>
      <c r="R36" s="25" t="s">
        <v>44</v>
      </c>
      <c r="S36" s="16" t="s">
        <v>45</v>
      </c>
      <c r="T36" s="26" t="s">
        <v>237</v>
      </c>
      <c r="U36" s="27">
        <v>-78512224</v>
      </c>
      <c r="V36" s="47" t="s">
        <v>47</v>
      </c>
      <c r="W36" s="28" t="s">
        <v>48</v>
      </c>
      <c r="X36" s="28"/>
      <c r="Y36" s="29">
        <v>1</v>
      </c>
      <c r="Z36" s="18" t="s">
        <v>49</v>
      </c>
      <c r="AA36" s="18" t="s">
        <v>50</v>
      </c>
      <c r="AB36" s="17">
        <v>2019</v>
      </c>
      <c r="AC36" s="16" t="s">
        <v>51</v>
      </c>
      <c r="AD36" s="30" t="s">
        <v>238</v>
      </c>
      <c r="AE36" s="24"/>
      <c r="AF36" s="35" t="s">
        <v>53</v>
      </c>
      <c r="AG36" s="34" t="s">
        <v>87</v>
      </c>
    </row>
    <row r="37" spans="1:33" x14ac:dyDescent="0.4">
      <c r="A37" s="15" t="s">
        <v>34</v>
      </c>
      <c r="B37" s="46">
        <v>24</v>
      </c>
      <c r="C37" s="17">
        <v>35</v>
      </c>
      <c r="D37" s="18" t="s">
        <v>239</v>
      </c>
      <c r="E37" s="32">
        <v>2127874</v>
      </c>
      <c r="F37" s="36"/>
      <c r="G37" s="19" t="s">
        <v>36</v>
      </c>
      <c r="H37" s="20" t="s">
        <v>36</v>
      </c>
      <c r="I37" s="50" t="s">
        <v>233</v>
      </c>
      <c r="J37" s="16" t="s">
        <v>234</v>
      </c>
      <c r="K37" s="32" t="s">
        <v>235</v>
      </c>
      <c r="L37" s="22" t="s">
        <v>240</v>
      </c>
      <c r="M37" s="16" t="s">
        <v>41</v>
      </c>
      <c r="N37" s="16" t="s">
        <v>66</v>
      </c>
      <c r="O37" s="16" t="s">
        <v>241</v>
      </c>
      <c r="P37" s="16" t="s">
        <v>43</v>
      </c>
      <c r="Q37" s="24" t="s">
        <v>17</v>
      </c>
      <c r="R37" s="25" t="s">
        <v>44</v>
      </c>
      <c r="S37" s="16" t="s">
        <v>68</v>
      </c>
      <c r="T37" s="26" t="s">
        <v>237</v>
      </c>
      <c r="U37" s="27">
        <v>-78512224</v>
      </c>
      <c r="V37" s="47" t="s">
        <v>47</v>
      </c>
      <c r="W37" s="28" t="s">
        <v>48</v>
      </c>
      <c r="X37" s="28"/>
      <c r="Y37" s="29">
        <v>1</v>
      </c>
      <c r="Z37" s="18" t="s">
        <v>49</v>
      </c>
      <c r="AA37" s="18" t="s">
        <v>50</v>
      </c>
      <c r="AB37" s="17">
        <v>2019</v>
      </c>
      <c r="AC37" s="16" t="s">
        <v>51</v>
      </c>
      <c r="AD37" s="30"/>
      <c r="AE37" s="24"/>
      <c r="AF37" s="37"/>
      <c r="AG37" s="34"/>
    </row>
    <row r="38" spans="1:33" x14ac:dyDescent="0.4">
      <c r="A38" s="15" t="s">
        <v>34</v>
      </c>
      <c r="B38" s="49">
        <v>25</v>
      </c>
      <c r="C38" s="17">
        <v>36</v>
      </c>
      <c r="D38" s="18" t="s">
        <v>242</v>
      </c>
      <c r="E38" s="16">
        <v>2357651</v>
      </c>
      <c r="F38" s="16"/>
      <c r="G38" s="19" t="s">
        <v>36</v>
      </c>
      <c r="H38" s="20" t="s">
        <v>36</v>
      </c>
      <c r="I38" s="21" t="s">
        <v>243</v>
      </c>
      <c r="J38" s="16" t="s">
        <v>244</v>
      </c>
      <c r="K38" s="16" t="s">
        <v>245</v>
      </c>
      <c r="L38" s="22" t="s">
        <v>246</v>
      </c>
      <c r="M38" s="16" t="s">
        <v>41</v>
      </c>
      <c r="N38" s="16" t="s">
        <v>42</v>
      </c>
      <c r="O38" s="23">
        <v>240959223</v>
      </c>
      <c r="P38" s="16" t="s">
        <v>43</v>
      </c>
      <c r="Q38" s="24" t="s">
        <v>17</v>
      </c>
      <c r="R38" s="25" t="s">
        <v>44</v>
      </c>
      <c r="S38" s="16" t="s">
        <v>45</v>
      </c>
      <c r="T38" s="26" t="s">
        <v>247</v>
      </c>
      <c r="U38" s="27">
        <v>-78512750</v>
      </c>
      <c r="V38" s="49" t="s">
        <v>47</v>
      </c>
      <c r="W38" s="28" t="s">
        <v>48</v>
      </c>
      <c r="X38" s="28"/>
      <c r="Y38" s="29">
        <v>1</v>
      </c>
      <c r="Z38" s="18" t="s">
        <v>49</v>
      </c>
      <c r="AA38" s="18" t="s">
        <v>50</v>
      </c>
      <c r="AB38" s="17">
        <v>2019</v>
      </c>
      <c r="AC38" s="16" t="s">
        <v>51</v>
      </c>
      <c r="AD38" s="30"/>
      <c r="AE38" s="16"/>
      <c r="AF38" s="16" t="s">
        <v>52</v>
      </c>
      <c r="AG38" s="16" t="s">
        <v>53</v>
      </c>
    </row>
    <row r="39" spans="1:33" x14ac:dyDescent="0.4">
      <c r="A39" s="15" t="s">
        <v>34</v>
      </c>
      <c r="B39" s="49">
        <v>26</v>
      </c>
      <c r="C39" s="17">
        <v>37</v>
      </c>
      <c r="D39" s="18" t="s">
        <v>248</v>
      </c>
      <c r="E39" s="16">
        <v>215436</v>
      </c>
      <c r="F39" s="16"/>
      <c r="G39" s="19" t="s">
        <v>36</v>
      </c>
      <c r="H39" s="20" t="s">
        <v>36</v>
      </c>
      <c r="I39" s="21" t="s">
        <v>249</v>
      </c>
      <c r="J39" s="16" t="s">
        <v>250</v>
      </c>
      <c r="K39" s="16" t="s">
        <v>251</v>
      </c>
      <c r="L39" s="22" t="s">
        <v>252</v>
      </c>
      <c r="M39" s="16" t="s">
        <v>41</v>
      </c>
      <c r="N39" s="16" t="s">
        <v>42</v>
      </c>
      <c r="O39" s="23">
        <v>240959210</v>
      </c>
      <c r="P39" s="16" t="s">
        <v>43</v>
      </c>
      <c r="Q39" s="24" t="s">
        <v>17</v>
      </c>
      <c r="R39" s="25" t="s">
        <v>44</v>
      </c>
      <c r="S39" s="16" t="s">
        <v>45</v>
      </c>
      <c r="T39" s="26" t="s">
        <v>253</v>
      </c>
      <c r="U39" s="27">
        <v>-78511960</v>
      </c>
      <c r="V39" s="49" t="s">
        <v>47</v>
      </c>
      <c r="W39" s="28" t="s">
        <v>48</v>
      </c>
      <c r="X39" s="28"/>
      <c r="Y39" s="29">
        <v>1</v>
      </c>
      <c r="Z39" s="18" t="s">
        <v>49</v>
      </c>
      <c r="AA39" s="18" t="s">
        <v>50</v>
      </c>
      <c r="AB39" s="17">
        <v>2019</v>
      </c>
      <c r="AC39" s="16" t="s">
        <v>51</v>
      </c>
      <c r="AD39" s="30"/>
      <c r="AE39" s="16"/>
      <c r="AF39" s="16" t="s">
        <v>52</v>
      </c>
      <c r="AG39" s="16" t="s">
        <v>53</v>
      </c>
    </row>
    <row r="40" spans="1:33" x14ac:dyDescent="0.4">
      <c r="A40" s="15" t="s">
        <v>34</v>
      </c>
      <c r="B40" s="46">
        <v>27</v>
      </c>
      <c r="C40" s="17">
        <v>38</v>
      </c>
      <c r="D40" s="18" t="s">
        <v>254</v>
      </c>
      <c r="E40" s="32">
        <v>215443</v>
      </c>
      <c r="F40" s="32"/>
      <c r="G40" s="19" t="s">
        <v>36</v>
      </c>
      <c r="H40" s="20" t="s">
        <v>36</v>
      </c>
      <c r="I40" s="20" t="s">
        <v>255</v>
      </c>
      <c r="J40" s="16" t="s">
        <v>256</v>
      </c>
      <c r="K40" s="32" t="s">
        <v>257</v>
      </c>
      <c r="L40" s="22" t="s">
        <v>258</v>
      </c>
      <c r="M40" s="16" t="s">
        <v>41</v>
      </c>
      <c r="N40" s="16" t="s">
        <v>42</v>
      </c>
      <c r="O40" s="16">
        <v>240697712</v>
      </c>
      <c r="P40" s="16" t="s">
        <v>43</v>
      </c>
      <c r="Q40" s="24" t="s">
        <v>17</v>
      </c>
      <c r="R40" s="25" t="s">
        <v>44</v>
      </c>
      <c r="S40" s="16" t="s">
        <v>45</v>
      </c>
      <c r="T40" s="26" t="s">
        <v>259</v>
      </c>
      <c r="U40" s="27">
        <v>-78511510</v>
      </c>
      <c r="V40" s="47" t="s">
        <v>47</v>
      </c>
      <c r="W40" s="28" t="s">
        <v>48</v>
      </c>
      <c r="X40" s="28"/>
      <c r="Y40" s="29">
        <v>1</v>
      </c>
      <c r="Z40" s="18" t="s">
        <v>49</v>
      </c>
      <c r="AA40" s="18" t="s">
        <v>50</v>
      </c>
      <c r="AB40" s="17">
        <v>2019</v>
      </c>
      <c r="AC40" s="16" t="s">
        <v>51</v>
      </c>
      <c r="AD40" s="30"/>
      <c r="AE40" s="24"/>
      <c r="AF40" s="35" t="s">
        <v>53</v>
      </c>
      <c r="AG40" s="34" t="s">
        <v>87</v>
      </c>
    </row>
    <row r="41" spans="1:33" x14ac:dyDescent="0.4">
      <c r="A41" s="15" t="s">
        <v>34</v>
      </c>
      <c r="B41" s="46">
        <v>27</v>
      </c>
      <c r="C41" s="17">
        <v>39</v>
      </c>
      <c r="D41" s="18" t="s">
        <v>260</v>
      </c>
      <c r="E41" s="32">
        <v>215443</v>
      </c>
      <c r="F41" s="36"/>
      <c r="G41" s="19" t="s">
        <v>36</v>
      </c>
      <c r="H41" s="20" t="s">
        <v>36</v>
      </c>
      <c r="I41" s="20" t="s">
        <v>255</v>
      </c>
      <c r="J41" s="16" t="s">
        <v>256</v>
      </c>
      <c r="K41" s="32" t="s">
        <v>257</v>
      </c>
      <c r="L41" s="22" t="s">
        <v>261</v>
      </c>
      <c r="M41" s="16" t="s">
        <v>41</v>
      </c>
      <c r="N41" s="16" t="s">
        <v>66</v>
      </c>
      <c r="O41" s="16" t="s">
        <v>262</v>
      </c>
      <c r="P41" s="16" t="s">
        <v>43</v>
      </c>
      <c r="Q41" s="24" t="s">
        <v>17</v>
      </c>
      <c r="R41" s="25" t="s">
        <v>44</v>
      </c>
      <c r="S41" s="16" t="s">
        <v>68</v>
      </c>
      <c r="T41" s="26" t="s">
        <v>259</v>
      </c>
      <c r="U41" s="27">
        <v>-78511510</v>
      </c>
      <c r="V41" s="47" t="s">
        <v>47</v>
      </c>
      <c r="W41" s="28" t="s">
        <v>48</v>
      </c>
      <c r="X41" s="28"/>
      <c r="Y41" s="29">
        <v>1</v>
      </c>
      <c r="Z41" s="18" t="s">
        <v>49</v>
      </c>
      <c r="AA41" s="18" t="s">
        <v>50</v>
      </c>
      <c r="AB41" s="17">
        <v>2019</v>
      </c>
      <c r="AC41" s="16" t="s">
        <v>51</v>
      </c>
      <c r="AD41" s="30"/>
      <c r="AE41" s="24"/>
      <c r="AF41" s="37"/>
      <c r="AG41" s="34"/>
    </row>
    <row r="42" spans="1:33" x14ac:dyDescent="0.4">
      <c r="A42" s="15" t="s">
        <v>34</v>
      </c>
      <c r="B42" s="49">
        <v>28</v>
      </c>
      <c r="C42" s="17">
        <v>40</v>
      </c>
      <c r="D42" s="18" t="s">
        <v>263</v>
      </c>
      <c r="E42" s="16">
        <v>215445</v>
      </c>
      <c r="F42" s="16"/>
      <c r="G42" s="19" t="s">
        <v>36</v>
      </c>
      <c r="H42" s="20" t="s">
        <v>36</v>
      </c>
      <c r="I42" s="21" t="s">
        <v>264</v>
      </c>
      <c r="J42" s="16" t="s">
        <v>265</v>
      </c>
      <c r="K42" s="16" t="s">
        <v>266</v>
      </c>
      <c r="L42" s="22" t="s">
        <v>267</v>
      </c>
      <c r="M42" s="16" t="s">
        <v>41</v>
      </c>
      <c r="N42" s="16" t="s">
        <v>42</v>
      </c>
      <c r="O42" s="23">
        <v>240959211</v>
      </c>
      <c r="P42" s="16" t="s">
        <v>43</v>
      </c>
      <c r="Q42" s="24" t="s">
        <v>17</v>
      </c>
      <c r="R42" s="25" t="s">
        <v>44</v>
      </c>
      <c r="S42" s="16" t="s">
        <v>45</v>
      </c>
      <c r="T42" s="26" t="s">
        <v>215</v>
      </c>
      <c r="U42" s="27">
        <v>-78511310</v>
      </c>
      <c r="V42" s="49" t="s">
        <v>47</v>
      </c>
      <c r="W42" s="28" t="s">
        <v>48</v>
      </c>
      <c r="X42" s="28"/>
      <c r="Y42" s="29">
        <v>1</v>
      </c>
      <c r="Z42" s="18" t="s">
        <v>49</v>
      </c>
      <c r="AA42" s="18" t="s">
        <v>50</v>
      </c>
      <c r="AB42" s="17">
        <v>2019</v>
      </c>
      <c r="AC42" s="16" t="s">
        <v>51</v>
      </c>
      <c r="AD42" s="30"/>
      <c r="AE42" s="16"/>
      <c r="AF42" s="16" t="s">
        <v>52</v>
      </c>
      <c r="AG42" s="16" t="s">
        <v>53</v>
      </c>
    </row>
    <row r="43" spans="1:33" x14ac:dyDescent="0.4">
      <c r="A43" s="15" t="s">
        <v>34</v>
      </c>
      <c r="B43" s="49">
        <v>29</v>
      </c>
      <c r="C43" s="17">
        <v>41</v>
      </c>
      <c r="D43" s="18" t="s">
        <v>268</v>
      </c>
      <c r="E43" s="16">
        <v>215449</v>
      </c>
      <c r="F43" s="16"/>
      <c r="G43" s="19" t="s">
        <v>36</v>
      </c>
      <c r="H43" s="20" t="s">
        <v>36</v>
      </c>
      <c r="I43" s="21" t="s">
        <v>269</v>
      </c>
      <c r="J43" s="16" t="s">
        <v>270</v>
      </c>
      <c r="K43" s="16" t="s">
        <v>271</v>
      </c>
      <c r="L43" s="22" t="s">
        <v>272</v>
      </c>
      <c r="M43" s="16" t="s">
        <v>41</v>
      </c>
      <c r="N43" s="16" t="s">
        <v>42</v>
      </c>
      <c r="O43" s="23">
        <v>240697698</v>
      </c>
      <c r="P43" s="16" t="s">
        <v>43</v>
      </c>
      <c r="Q43" s="24" t="s">
        <v>17</v>
      </c>
      <c r="R43" s="25" t="s">
        <v>44</v>
      </c>
      <c r="S43" s="16" t="s">
        <v>45</v>
      </c>
      <c r="T43" s="26" t="s">
        <v>273</v>
      </c>
      <c r="U43" s="27">
        <v>-78512750</v>
      </c>
      <c r="V43" s="49" t="s">
        <v>47</v>
      </c>
      <c r="W43" s="28" t="s">
        <v>48</v>
      </c>
      <c r="X43" s="28"/>
      <c r="Y43" s="29">
        <v>1</v>
      </c>
      <c r="Z43" s="18" t="s">
        <v>49</v>
      </c>
      <c r="AA43" s="18" t="s">
        <v>50</v>
      </c>
      <c r="AB43" s="17">
        <v>2019</v>
      </c>
      <c r="AC43" s="16" t="s">
        <v>51</v>
      </c>
      <c r="AD43" s="30"/>
      <c r="AE43" s="16"/>
      <c r="AF43" s="16" t="s">
        <v>52</v>
      </c>
      <c r="AG43" s="16" t="s">
        <v>53</v>
      </c>
    </row>
    <row r="44" spans="1:33" x14ac:dyDescent="0.4">
      <c r="A44" s="15" t="s">
        <v>34</v>
      </c>
      <c r="B44" s="49">
        <v>30</v>
      </c>
      <c r="C44" s="17">
        <v>42</v>
      </c>
      <c r="D44" s="18" t="s">
        <v>274</v>
      </c>
      <c r="E44" s="16">
        <v>215450</v>
      </c>
      <c r="F44" s="16"/>
      <c r="G44" s="19" t="s">
        <v>36</v>
      </c>
      <c r="H44" s="20" t="s">
        <v>36</v>
      </c>
      <c r="I44" s="21" t="s">
        <v>275</v>
      </c>
      <c r="J44" s="16" t="s">
        <v>276</v>
      </c>
      <c r="K44" s="16" t="s">
        <v>277</v>
      </c>
      <c r="L44" s="22" t="s">
        <v>278</v>
      </c>
      <c r="M44" s="16" t="s">
        <v>41</v>
      </c>
      <c r="N44" s="16" t="s">
        <v>42</v>
      </c>
      <c r="O44" s="23">
        <v>240959222</v>
      </c>
      <c r="P44" s="16" t="s">
        <v>43</v>
      </c>
      <c r="Q44" s="24" t="s">
        <v>17</v>
      </c>
      <c r="R44" s="25" t="s">
        <v>44</v>
      </c>
      <c r="S44" s="16" t="s">
        <v>45</v>
      </c>
      <c r="T44" s="26" t="s">
        <v>279</v>
      </c>
      <c r="U44" s="27">
        <v>-78512350</v>
      </c>
      <c r="V44" s="49" t="s">
        <v>47</v>
      </c>
      <c r="W44" s="28" t="s">
        <v>48</v>
      </c>
      <c r="X44" s="28"/>
      <c r="Y44" s="29">
        <v>1</v>
      </c>
      <c r="Z44" s="18" t="s">
        <v>49</v>
      </c>
      <c r="AA44" s="18" t="s">
        <v>50</v>
      </c>
      <c r="AB44" s="17">
        <v>2019</v>
      </c>
      <c r="AC44" s="16" t="s">
        <v>51</v>
      </c>
      <c r="AD44" s="30"/>
      <c r="AE44" s="16"/>
      <c r="AF44" s="16" t="s">
        <v>52</v>
      </c>
      <c r="AG44" s="16" t="s">
        <v>53</v>
      </c>
    </row>
    <row r="45" spans="1:33" x14ac:dyDescent="0.4">
      <c r="A45" s="15" t="s">
        <v>34</v>
      </c>
      <c r="B45" s="46">
        <v>31</v>
      </c>
      <c r="C45" s="17">
        <v>43</v>
      </c>
      <c r="D45" s="18" t="s">
        <v>280</v>
      </c>
      <c r="E45" s="32">
        <v>215462</v>
      </c>
      <c r="F45" s="32"/>
      <c r="G45" s="19" t="s">
        <v>36</v>
      </c>
      <c r="H45" s="20" t="s">
        <v>36</v>
      </c>
      <c r="I45" s="33" t="s">
        <v>281</v>
      </c>
      <c r="J45" s="16" t="s">
        <v>282</v>
      </c>
      <c r="K45" s="32" t="s">
        <v>283</v>
      </c>
      <c r="L45" s="22" t="s">
        <v>284</v>
      </c>
      <c r="M45" s="16" t="s">
        <v>41</v>
      </c>
      <c r="N45" s="16" t="s">
        <v>42</v>
      </c>
      <c r="O45" s="16">
        <v>240697693</v>
      </c>
      <c r="P45" s="16" t="s">
        <v>43</v>
      </c>
      <c r="Q45" s="24" t="s">
        <v>17</v>
      </c>
      <c r="R45" s="25" t="s">
        <v>44</v>
      </c>
      <c r="S45" s="16" t="s">
        <v>45</v>
      </c>
      <c r="T45" s="26" t="s">
        <v>285</v>
      </c>
      <c r="U45" s="26" t="s">
        <v>286</v>
      </c>
      <c r="V45" s="47" t="s">
        <v>47</v>
      </c>
      <c r="W45" s="28" t="s">
        <v>48</v>
      </c>
      <c r="X45" s="28"/>
      <c r="Y45" s="29">
        <v>1</v>
      </c>
      <c r="Z45" s="18" t="s">
        <v>49</v>
      </c>
      <c r="AA45" s="18" t="s">
        <v>50</v>
      </c>
      <c r="AB45" s="17">
        <v>2019</v>
      </c>
      <c r="AC45" s="16" t="s">
        <v>51</v>
      </c>
      <c r="AD45" s="30"/>
      <c r="AE45" s="24"/>
      <c r="AF45" s="35" t="s">
        <v>53</v>
      </c>
      <c r="AG45" s="34" t="s">
        <v>87</v>
      </c>
    </row>
    <row r="46" spans="1:33" x14ac:dyDescent="0.4">
      <c r="A46" s="15" t="s">
        <v>34</v>
      </c>
      <c r="B46" s="46">
        <v>31</v>
      </c>
      <c r="C46" s="18">
        <v>44</v>
      </c>
      <c r="D46" s="41"/>
      <c r="E46" s="32">
        <v>215462</v>
      </c>
      <c r="F46" s="36"/>
      <c r="G46" s="24" t="s">
        <v>36</v>
      </c>
      <c r="H46" s="20" t="s">
        <v>36</v>
      </c>
      <c r="I46" s="33" t="s">
        <v>281</v>
      </c>
      <c r="J46" s="16" t="s">
        <v>282</v>
      </c>
      <c r="K46" s="32" t="s">
        <v>283</v>
      </c>
      <c r="L46" s="22" t="s">
        <v>287</v>
      </c>
      <c r="M46" s="16" t="s">
        <v>41</v>
      </c>
      <c r="N46" s="16" t="s">
        <v>66</v>
      </c>
      <c r="O46" s="16" t="s">
        <v>288</v>
      </c>
      <c r="P46" s="16" t="s">
        <v>43</v>
      </c>
      <c r="Q46" s="24" t="s">
        <v>116</v>
      </c>
      <c r="R46" s="25" t="s">
        <v>44</v>
      </c>
      <c r="S46" s="16" t="s">
        <v>68</v>
      </c>
      <c r="T46" s="26" t="s">
        <v>285</v>
      </c>
      <c r="U46" s="26" t="s">
        <v>286</v>
      </c>
      <c r="V46" s="47" t="s">
        <v>47</v>
      </c>
      <c r="W46" s="28" t="s">
        <v>48</v>
      </c>
      <c r="X46" s="28"/>
      <c r="Y46" s="29">
        <v>1</v>
      </c>
      <c r="Z46" s="18" t="s">
        <v>49</v>
      </c>
      <c r="AA46" s="18" t="s">
        <v>50</v>
      </c>
      <c r="AB46" s="17">
        <v>2019</v>
      </c>
      <c r="AC46" s="16" t="s">
        <v>51</v>
      </c>
      <c r="AD46" s="30"/>
      <c r="AE46" s="24"/>
      <c r="AF46" s="37"/>
      <c r="AG46" s="34"/>
    </row>
    <row r="47" spans="1:33" x14ac:dyDescent="0.4">
      <c r="A47" s="15" t="s">
        <v>34</v>
      </c>
      <c r="B47" s="46">
        <v>32</v>
      </c>
      <c r="C47" s="17">
        <v>45</v>
      </c>
      <c r="D47" s="18" t="s">
        <v>289</v>
      </c>
      <c r="E47" s="32">
        <v>746009</v>
      </c>
      <c r="F47" s="32"/>
      <c r="G47" s="19" t="s">
        <v>36</v>
      </c>
      <c r="H47" s="20" t="s">
        <v>36</v>
      </c>
      <c r="I47" s="33" t="s">
        <v>290</v>
      </c>
      <c r="J47" s="16" t="s">
        <v>291</v>
      </c>
      <c r="K47" s="32" t="s">
        <v>292</v>
      </c>
      <c r="L47" s="22" t="s">
        <v>293</v>
      </c>
      <c r="M47" s="16" t="s">
        <v>41</v>
      </c>
      <c r="N47" s="16" t="s">
        <v>42</v>
      </c>
      <c r="O47" s="16">
        <v>240959207</v>
      </c>
      <c r="P47" s="16" t="s">
        <v>43</v>
      </c>
      <c r="Q47" s="24" t="s">
        <v>17</v>
      </c>
      <c r="R47" s="25" t="s">
        <v>44</v>
      </c>
      <c r="S47" s="16" t="s">
        <v>45</v>
      </c>
      <c r="T47" s="26" t="s">
        <v>294</v>
      </c>
      <c r="U47" s="26" t="s">
        <v>295</v>
      </c>
      <c r="V47" s="47" t="s">
        <v>47</v>
      </c>
      <c r="W47" s="28" t="s">
        <v>48</v>
      </c>
      <c r="X47" s="28"/>
      <c r="Y47" s="29">
        <v>1</v>
      </c>
      <c r="Z47" s="18" t="s">
        <v>49</v>
      </c>
      <c r="AA47" s="18" t="s">
        <v>50</v>
      </c>
      <c r="AB47" s="17">
        <v>2019</v>
      </c>
      <c r="AC47" s="16" t="s">
        <v>51</v>
      </c>
      <c r="AD47" s="30"/>
      <c r="AE47" s="24"/>
      <c r="AF47" s="35" t="s">
        <v>53</v>
      </c>
      <c r="AG47" s="34" t="s">
        <v>87</v>
      </c>
    </row>
    <row r="48" spans="1:33" x14ac:dyDescent="0.4">
      <c r="A48" s="15" t="s">
        <v>34</v>
      </c>
      <c r="B48" s="46">
        <v>32</v>
      </c>
      <c r="C48" s="17">
        <v>46</v>
      </c>
      <c r="D48" s="18" t="s">
        <v>296</v>
      </c>
      <c r="E48" s="32">
        <v>746009</v>
      </c>
      <c r="F48" s="36"/>
      <c r="G48" s="19" t="s">
        <v>36</v>
      </c>
      <c r="H48" s="20" t="s">
        <v>36</v>
      </c>
      <c r="I48" s="33" t="s">
        <v>290</v>
      </c>
      <c r="J48" s="16" t="s">
        <v>291</v>
      </c>
      <c r="K48" s="32" t="s">
        <v>292</v>
      </c>
      <c r="L48" s="22" t="s">
        <v>297</v>
      </c>
      <c r="M48" s="16" t="s">
        <v>41</v>
      </c>
      <c r="N48" s="16" t="s">
        <v>66</v>
      </c>
      <c r="O48" s="16" t="s">
        <v>298</v>
      </c>
      <c r="P48" s="16" t="s">
        <v>43</v>
      </c>
      <c r="Q48" s="24" t="s">
        <v>17</v>
      </c>
      <c r="R48" s="25" t="s">
        <v>44</v>
      </c>
      <c r="S48" s="16" t="s">
        <v>68</v>
      </c>
      <c r="T48" s="26" t="s">
        <v>294</v>
      </c>
      <c r="U48" s="26" t="s">
        <v>295</v>
      </c>
      <c r="V48" s="47" t="s">
        <v>47</v>
      </c>
      <c r="W48" s="28" t="s">
        <v>48</v>
      </c>
      <c r="X48" s="28"/>
      <c r="Y48" s="29">
        <v>1</v>
      </c>
      <c r="Z48" s="18" t="s">
        <v>49</v>
      </c>
      <c r="AA48" s="18" t="s">
        <v>50</v>
      </c>
      <c r="AB48" s="17">
        <v>2019</v>
      </c>
      <c r="AC48" s="16" t="s">
        <v>51</v>
      </c>
      <c r="AD48" s="30"/>
      <c r="AE48" s="24"/>
      <c r="AF48" s="37"/>
      <c r="AG48" s="34"/>
    </row>
    <row r="49" spans="1:33" ht="23.25" customHeight="1" x14ac:dyDescent="0.4">
      <c r="A49" s="15" t="s">
        <v>34</v>
      </c>
      <c r="B49" s="49">
        <v>33</v>
      </c>
      <c r="C49" s="17">
        <v>47</v>
      </c>
      <c r="D49" s="18" t="s">
        <v>299</v>
      </c>
      <c r="E49" s="16">
        <v>746011</v>
      </c>
      <c r="F49" s="16"/>
      <c r="G49" s="19" t="s">
        <v>36</v>
      </c>
      <c r="H49" s="20" t="s">
        <v>36</v>
      </c>
      <c r="I49" s="21" t="s">
        <v>300</v>
      </c>
      <c r="J49" s="16" t="s">
        <v>301</v>
      </c>
      <c r="K49" s="16" t="s">
        <v>302</v>
      </c>
      <c r="L49" s="22" t="s">
        <v>303</v>
      </c>
      <c r="M49" s="16" t="s">
        <v>41</v>
      </c>
      <c r="N49" s="16" t="s">
        <v>42</v>
      </c>
      <c r="O49" s="16">
        <v>244523567</v>
      </c>
      <c r="P49" s="16" t="s">
        <v>43</v>
      </c>
      <c r="Q49" s="24" t="s">
        <v>17</v>
      </c>
      <c r="R49" s="25" t="s">
        <v>44</v>
      </c>
      <c r="S49" s="16" t="s">
        <v>45</v>
      </c>
      <c r="T49" s="26" t="s">
        <v>304</v>
      </c>
      <c r="U49" s="26" t="s">
        <v>305</v>
      </c>
      <c r="V49" s="49" t="s">
        <v>47</v>
      </c>
      <c r="W49" s="28" t="s">
        <v>48</v>
      </c>
      <c r="X49" s="28"/>
      <c r="Y49" s="29">
        <v>1</v>
      </c>
      <c r="Z49" s="18" t="s">
        <v>49</v>
      </c>
      <c r="AA49" s="18" t="s">
        <v>50</v>
      </c>
      <c r="AB49" s="17">
        <v>2019</v>
      </c>
      <c r="AC49" s="16" t="s">
        <v>131</v>
      </c>
      <c r="AD49" s="30"/>
      <c r="AE49" s="16"/>
      <c r="AF49" s="16" t="s">
        <v>52</v>
      </c>
      <c r="AG49" s="16" t="s">
        <v>53</v>
      </c>
    </row>
    <row r="50" spans="1:33" x14ac:dyDescent="0.4">
      <c r="A50" s="15" t="s">
        <v>34</v>
      </c>
      <c r="B50" s="49">
        <v>34</v>
      </c>
      <c r="C50" s="18">
        <v>48</v>
      </c>
      <c r="D50" s="42"/>
      <c r="E50" s="16">
        <v>746014</v>
      </c>
      <c r="F50" s="16"/>
      <c r="G50" s="24" t="s">
        <v>36</v>
      </c>
      <c r="H50" s="20" t="s">
        <v>36</v>
      </c>
      <c r="I50" s="21" t="s">
        <v>306</v>
      </c>
      <c r="J50" s="16" t="s">
        <v>307</v>
      </c>
      <c r="K50" s="16" t="s">
        <v>308</v>
      </c>
      <c r="L50" s="22" t="s">
        <v>309</v>
      </c>
      <c r="M50" s="16" t="s">
        <v>41</v>
      </c>
      <c r="N50" s="16" t="s">
        <v>42</v>
      </c>
      <c r="O50" s="23">
        <v>240959209</v>
      </c>
      <c r="P50" s="16" t="s">
        <v>43</v>
      </c>
      <c r="Q50" s="24" t="s">
        <v>116</v>
      </c>
      <c r="R50" s="25" t="s">
        <v>44</v>
      </c>
      <c r="S50" s="16" t="s">
        <v>45</v>
      </c>
      <c r="T50" s="26" t="s">
        <v>310</v>
      </c>
      <c r="U50" s="26" t="s">
        <v>311</v>
      </c>
      <c r="V50" s="49" t="s">
        <v>47</v>
      </c>
      <c r="W50" s="28" t="s">
        <v>48</v>
      </c>
      <c r="X50" s="28"/>
      <c r="Y50" s="29">
        <v>1</v>
      </c>
      <c r="Z50" s="18" t="s">
        <v>49</v>
      </c>
      <c r="AA50" s="18" t="s">
        <v>50</v>
      </c>
      <c r="AB50" s="17">
        <v>2019</v>
      </c>
      <c r="AC50" s="16" t="s">
        <v>51</v>
      </c>
      <c r="AD50" s="30"/>
      <c r="AE50" s="16"/>
      <c r="AF50" s="16" t="s">
        <v>52</v>
      </c>
      <c r="AG50" s="16" t="s">
        <v>53</v>
      </c>
    </row>
    <row r="51" spans="1:33" x14ac:dyDescent="0.4">
      <c r="A51" s="15" t="s">
        <v>34</v>
      </c>
      <c r="B51" s="49">
        <v>35</v>
      </c>
      <c r="C51" s="18">
        <v>49</v>
      </c>
      <c r="D51" s="43" t="s">
        <v>312</v>
      </c>
      <c r="E51" s="16">
        <v>746015</v>
      </c>
      <c r="F51" s="16"/>
      <c r="G51" s="24" t="s">
        <v>36</v>
      </c>
      <c r="H51" s="20" t="s">
        <v>36</v>
      </c>
      <c r="I51" s="21" t="s">
        <v>313</v>
      </c>
      <c r="J51" s="16" t="s">
        <v>314</v>
      </c>
      <c r="K51" s="16" t="s">
        <v>315</v>
      </c>
      <c r="L51" s="22" t="s">
        <v>316</v>
      </c>
      <c r="M51" s="16" t="s">
        <v>41</v>
      </c>
      <c r="N51" s="16" t="s">
        <v>42</v>
      </c>
      <c r="O51" s="23">
        <v>240959220</v>
      </c>
      <c r="P51" s="16" t="s">
        <v>43</v>
      </c>
      <c r="Q51" s="24" t="s">
        <v>17</v>
      </c>
      <c r="R51" s="25" t="s">
        <v>44</v>
      </c>
      <c r="S51" s="16" t="s">
        <v>45</v>
      </c>
      <c r="T51" s="26" t="s">
        <v>317</v>
      </c>
      <c r="U51" s="27">
        <v>-78516710</v>
      </c>
      <c r="V51" s="49" t="s">
        <v>47</v>
      </c>
      <c r="W51" s="28" t="s">
        <v>48</v>
      </c>
      <c r="X51" s="28"/>
      <c r="Y51" s="29">
        <v>1</v>
      </c>
      <c r="Z51" s="18" t="s">
        <v>49</v>
      </c>
      <c r="AA51" s="18" t="s">
        <v>50</v>
      </c>
      <c r="AB51" s="17">
        <v>2019</v>
      </c>
      <c r="AC51" s="16" t="s">
        <v>51</v>
      </c>
      <c r="AD51" s="30"/>
      <c r="AE51" s="16"/>
      <c r="AF51" s="16" t="s">
        <v>52</v>
      </c>
      <c r="AG51" s="16" t="s">
        <v>53</v>
      </c>
    </row>
    <row r="52" spans="1:33" x14ac:dyDescent="0.4">
      <c r="A52" s="15" t="s">
        <v>34</v>
      </c>
      <c r="B52" s="49">
        <v>36</v>
      </c>
      <c r="C52" s="17">
        <v>50</v>
      </c>
      <c r="D52" s="18" t="s">
        <v>318</v>
      </c>
      <c r="E52" s="16">
        <v>746016</v>
      </c>
      <c r="F52" s="16"/>
      <c r="G52" s="19" t="s">
        <v>36</v>
      </c>
      <c r="H52" s="20" t="s">
        <v>36</v>
      </c>
      <c r="I52" s="21" t="s">
        <v>319</v>
      </c>
      <c r="J52" s="16" t="s">
        <v>320</v>
      </c>
      <c r="K52" s="16" t="s">
        <v>321</v>
      </c>
      <c r="L52" s="22" t="s">
        <v>322</v>
      </c>
      <c r="M52" s="16" t="s">
        <v>41</v>
      </c>
      <c r="N52" s="16" t="s">
        <v>42</v>
      </c>
      <c r="O52" s="23">
        <v>240697703</v>
      </c>
      <c r="P52" s="16" t="s">
        <v>43</v>
      </c>
      <c r="Q52" s="24" t="s">
        <v>17</v>
      </c>
      <c r="R52" s="25" t="s">
        <v>44</v>
      </c>
      <c r="S52" s="16" t="s">
        <v>45</v>
      </c>
      <c r="T52" s="26" t="s">
        <v>323</v>
      </c>
      <c r="U52" s="27">
        <v>-78514980</v>
      </c>
      <c r="V52" s="49" t="s">
        <v>47</v>
      </c>
      <c r="W52" s="28" t="s">
        <v>48</v>
      </c>
      <c r="X52" s="28"/>
      <c r="Y52" s="29">
        <v>1</v>
      </c>
      <c r="Z52" s="18" t="s">
        <v>49</v>
      </c>
      <c r="AA52" s="18" t="s">
        <v>50</v>
      </c>
      <c r="AB52" s="17">
        <v>2019</v>
      </c>
      <c r="AC52" s="16" t="s">
        <v>51</v>
      </c>
      <c r="AD52" s="30"/>
      <c r="AE52" s="16"/>
      <c r="AF52" s="16" t="s">
        <v>52</v>
      </c>
      <c r="AG52" s="16" t="s">
        <v>53</v>
      </c>
    </row>
    <row r="53" spans="1:33" x14ac:dyDescent="0.4">
      <c r="A53" s="15" t="s">
        <v>34</v>
      </c>
      <c r="B53" s="49">
        <v>37</v>
      </c>
      <c r="C53" s="17">
        <v>51</v>
      </c>
      <c r="D53" s="18" t="s">
        <v>324</v>
      </c>
      <c r="E53" s="16">
        <v>11649</v>
      </c>
      <c r="F53" s="16"/>
      <c r="G53" s="19" t="s">
        <v>36</v>
      </c>
      <c r="H53" s="20" t="s">
        <v>36</v>
      </c>
      <c r="I53" s="21" t="s">
        <v>325</v>
      </c>
      <c r="J53" s="16" t="s">
        <v>326</v>
      </c>
      <c r="K53" s="16" t="s">
        <v>327</v>
      </c>
      <c r="L53" s="22" t="s">
        <v>328</v>
      </c>
      <c r="M53" s="16" t="s">
        <v>41</v>
      </c>
      <c r="N53" s="16" t="s">
        <v>42</v>
      </c>
      <c r="O53" s="23">
        <v>240697690</v>
      </c>
      <c r="P53" s="16" t="s">
        <v>43</v>
      </c>
      <c r="Q53" s="24" t="s">
        <v>17</v>
      </c>
      <c r="R53" s="25" t="s">
        <v>44</v>
      </c>
      <c r="S53" s="16" t="s">
        <v>45</v>
      </c>
      <c r="T53" s="26" t="s">
        <v>329</v>
      </c>
      <c r="U53" s="26" t="s">
        <v>330</v>
      </c>
      <c r="V53" s="49" t="s">
        <v>47</v>
      </c>
      <c r="W53" s="28" t="s">
        <v>48</v>
      </c>
      <c r="X53" s="28"/>
      <c r="Y53" s="29">
        <v>1</v>
      </c>
      <c r="Z53" s="18" t="s">
        <v>49</v>
      </c>
      <c r="AA53" s="18" t="s">
        <v>50</v>
      </c>
      <c r="AB53" s="17">
        <v>2019</v>
      </c>
      <c r="AC53" s="16" t="s">
        <v>51</v>
      </c>
      <c r="AD53" s="30"/>
      <c r="AE53" s="16"/>
      <c r="AF53" s="16" t="s">
        <v>52</v>
      </c>
      <c r="AG53" s="16" t="s">
        <v>53</v>
      </c>
    </row>
    <row r="54" spans="1:33" x14ac:dyDescent="0.4">
      <c r="A54" s="15" t="s">
        <v>34</v>
      </c>
      <c r="B54" s="46">
        <v>38</v>
      </c>
      <c r="C54" s="17">
        <v>52</v>
      </c>
      <c r="D54" s="18" t="s">
        <v>331</v>
      </c>
      <c r="E54" s="32">
        <v>11886</v>
      </c>
      <c r="F54" s="32"/>
      <c r="G54" s="24" t="s">
        <v>36</v>
      </c>
      <c r="H54" s="20" t="s">
        <v>36</v>
      </c>
      <c r="I54" s="33" t="s">
        <v>332</v>
      </c>
      <c r="J54" s="16" t="s">
        <v>333</v>
      </c>
      <c r="K54" s="32" t="s">
        <v>334</v>
      </c>
      <c r="L54" s="22" t="s">
        <v>335</v>
      </c>
      <c r="M54" s="16" t="s">
        <v>41</v>
      </c>
      <c r="N54" s="16" t="s">
        <v>42</v>
      </c>
      <c r="O54" s="16">
        <v>240697695</v>
      </c>
      <c r="P54" s="16" t="s">
        <v>43</v>
      </c>
      <c r="Q54" s="24" t="s">
        <v>17</v>
      </c>
      <c r="R54" s="25" t="s">
        <v>44</v>
      </c>
      <c r="S54" s="16" t="s">
        <v>45</v>
      </c>
      <c r="T54" s="26" t="s">
        <v>336</v>
      </c>
      <c r="U54" s="27">
        <v>-78517240</v>
      </c>
      <c r="V54" s="47" t="s">
        <v>47</v>
      </c>
      <c r="W54" s="28" t="s">
        <v>48</v>
      </c>
      <c r="X54" s="28"/>
      <c r="Y54" s="29">
        <v>1</v>
      </c>
      <c r="Z54" s="18" t="s">
        <v>49</v>
      </c>
      <c r="AA54" s="18" t="s">
        <v>50</v>
      </c>
      <c r="AB54" s="17">
        <v>2019</v>
      </c>
      <c r="AC54" s="16" t="s">
        <v>51</v>
      </c>
      <c r="AD54" s="30"/>
      <c r="AE54" s="24"/>
      <c r="AF54" s="35" t="s">
        <v>53</v>
      </c>
      <c r="AG54" s="34" t="s">
        <v>87</v>
      </c>
    </row>
    <row r="55" spans="1:33" x14ac:dyDescent="0.4">
      <c r="A55" s="15" t="s">
        <v>34</v>
      </c>
      <c r="B55" s="46">
        <v>38</v>
      </c>
      <c r="C55" s="17">
        <v>53</v>
      </c>
      <c r="D55" s="18" t="s">
        <v>337</v>
      </c>
      <c r="E55" s="32">
        <v>11886</v>
      </c>
      <c r="F55" s="36"/>
      <c r="G55" s="24" t="s">
        <v>36</v>
      </c>
      <c r="H55" s="20" t="s">
        <v>36</v>
      </c>
      <c r="I55" s="33" t="s">
        <v>332</v>
      </c>
      <c r="J55" s="16" t="s">
        <v>333</v>
      </c>
      <c r="K55" s="32" t="s">
        <v>334</v>
      </c>
      <c r="L55" s="22" t="s">
        <v>338</v>
      </c>
      <c r="M55" s="16" t="s">
        <v>41</v>
      </c>
      <c r="N55" s="16" t="s">
        <v>66</v>
      </c>
      <c r="O55" s="16" t="s">
        <v>339</v>
      </c>
      <c r="P55" s="16" t="s">
        <v>43</v>
      </c>
      <c r="Q55" s="24" t="s">
        <v>17</v>
      </c>
      <c r="R55" s="25" t="s">
        <v>44</v>
      </c>
      <c r="S55" s="16" t="s">
        <v>68</v>
      </c>
      <c r="T55" s="26" t="s">
        <v>336</v>
      </c>
      <c r="U55" s="27">
        <v>-78517240</v>
      </c>
      <c r="V55" s="47" t="s">
        <v>47</v>
      </c>
      <c r="W55" s="28" t="s">
        <v>48</v>
      </c>
      <c r="X55" s="28"/>
      <c r="Y55" s="29">
        <v>1</v>
      </c>
      <c r="Z55" s="18" t="s">
        <v>49</v>
      </c>
      <c r="AA55" s="18" t="s">
        <v>50</v>
      </c>
      <c r="AB55" s="17">
        <v>2019</v>
      </c>
      <c r="AC55" s="16" t="s">
        <v>51</v>
      </c>
      <c r="AD55" s="30"/>
      <c r="AE55" s="24"/>
      <c r="AF55" s="37"/>
      <c r="AG55" s="34"/>
    </row>
    <row r="56" spans="1:33" x14ac:dyDescent="0.4">
      <c r="A56" s="15" t="s">
        <v>34</v>
      </c>
      <c r="B56" s="49">
        <v>39</v>
      </c>
      <c r="C56" s="18">
        <v>54</v>
      </c>
      <c r="D56" s="41"/>
      <c r="E56" s="16">
        <v>746017</v>
      </c>
      <c r="F56" s="16"/>
      <c r="G56" s="24" t="s">
        <v>36</v>
      </c>
      <c r="H56" s="20" t="s">
        <v>36</v>
      </c>
      <c r="I56" s="21" t="s">
        <v>340</v>
      </c>
      <c r="J56" s="16" t="s">
        <v>341</v>
      </c>
      <c r="K56" s="16" t="s">
        <v>342</v>
      </c>
      <c r="L56" s="22" t="s">
        <v>343</v>
      </c>
      <c r="M56" s="16" t="s">
        <v>41</v>
      </c>
      <c r="N56" s="16" t="s">
        <v>42</v>
      </c>
      <c r="O56" s="16">
        <v>240697713</v>
      </c>
      <c r="P56" s="16" t="s">
        <v>43</v>
      </c>
      <c r="Q56" s="24" t="s">
        <v>116</v>
      </c>
      <c r="R56" s="25" t="s">
        <v>44</v>
      </c>
      <c r="S56" s="16" t="s">
        <v>45</v>
      </c>
      <c r="T56" s="26" t="s">
        <v>344</v>
      </c>
      <c r="U56" s="26" t="s">
        <v>345</v>
      </c>
      <c r="V56" s="49" t="s">
        <v>47</v>
      </c>
      <c r="W56" s="28" t="s">
        <v>48</v>
      </c>
      <c r="X56" s="28"/>
      <c r="Y56" s="29">
        <v>1</v>
      </c>
      <c r="Z56" s="18" t="s">
        <v>49</v>
      </c>
      <c r="AA56" s="18" t="s">
        <v>50</v>
      </c>
      <c r="AB56" s="17">
        <v>2019</v>
      </c>
      <c r="AC56" s="16" t="s">
        <v>51</v>
      </c>
      <c r="AD56" s="30"/>
      <c r="AE56" s="16"/>
      <c r="AF56" s="16" t="s">
        <v>52</v>
      </c>
      <c r="AG56" s="16" t="s">
        <v>53</v>
      </c>
    </row>
    <row r="57" spans="1:33" x14ac:dyDescent="0.4">
      <c r="A57" s="15" t="s">
        <v>34</v>
      </c>
      <c r="B57" s="46">
        <v>40</v>
      </c>
      <c r="C57" s="17">
        <v>55</v>
      </c>
      <c r="D57" s="18" t="s">
        <v>346</v>
      </c>
      <c r="E57" s="32">
        <v>746018</v>
      </c>
      <c r="F57" s="32"/>
      <c r="G57" s="20" t="s">
        <v>36</v>
      </c>
      <c r="H57" s="20" t="s">
        <v>36</v>
      </c>
      <c r="I57" s="33" t="s">
        <v>347</v>
      </c>
      <c r="J57" s="16" t="s">
        <v>348</v>
      </c>
      <c r="K57" s="32" t="s">
        <v>349</v>
      </c>
      <c r="L57" s="22" t="s">
        <v>350</v>
      </c>
      <c r="M57" s="16" t="s">
        <v>41</v>
      </c>
      <c r="N57" s="16" t="s">
        <v>42</v>
      </c>
      <c r="O57" s="16" t="s">
        <v>351</v>
      </c>
      <c r="P57" s="16" t="s">
        <v>43</v>
      </c>
      <c r="Q57" s="24" t="s">
        <v>17</v>
      </c>
      <c r="R57" s="25" t="s">
        <v>44</v>
      </c>
      <c r="S57" s="16" t="s">
        <v>45</v>
      </c>
      <c r="T57" s="26" t="s">
        <v>352</v>
      </c>
      <c r="U57" s="27">
        <v>-78520796</v>
      </c>
      <c r="V57" s="47" t="s">
        <v>47</v>
      </c>
      <c r="W57" s="28" t="s">
        <v>48</v>
      </c>
      <c r="X57" s="28"/>
      <c r="Y57" s="29">
        <v>1</v>
      </c>
      <c r="Z57" s="18" t="s">
        <v>49</v>
      </c>
      <c r="AA57" s="18" t="s">
        <v>50</v>
      </c>
      <c r="AB57" s="17">
        <v>2019</v>
      </c>
      <c r="AC57" s="16" t="s">
        <v>51</v>
      </c>
      <c r="AD57" s="30"/>
      <c r="AE57" s="24"/>
      <c r="AF57" s="35" t="s">
        <v>97</v>
      </c>
      <c r="AG57" s="34" t="s">
        <v>98</v>
      </c>
    </row>
    <row r="58" spans="1:33" x14ac:dyDescent="0.4">
      <c r="A58" s="15" t="s">
        <v>34</v>
      </c>
      <c r="B58" s="46">
        <v>40</v>
      </c>
      <c r="C58" s="17">
        <v>56</v>
      </c>
      <c r="D58" s="18" t="s">
        <v>353</v>
      </c>
      <c r="E58" s="32">
        <v>746018</v>
      </c>
      <c r="F58" s="38"/>
      <c r="G58" s="20" t="s">
        <v>36</v>
      </c>
      <c r="H58" s="20" t="s">
        <v>36</v>
      </c>
      <c r="I58" s="33" t="s">
        <v>347</v>
      </c>
      <c r="J58" s="16" t="s">
        <v>348</v>
      </c>
      <c r="K58" s="32" t="s">
        <v>349</v>
      </c>
      <c r="L58" s="22" t="s">
        <v>354</v>
      </c>
      <c r="M58" s="16" t="s">
        <v>41</v>
      </c>
      <c r="N58" s="16" t="s">
        <v>66</v>
      </c>
      <c r="O58" s="16" t="s">
        <v>355</v>
      </c>
      <c r="P58" s="16" t="s">
        <v>43</v>
      </c>
      <c r="Q58" s="24" t="s">
        <v>17</v>
      </c>
      <c r="R58" s="25" t="s">
        <v>44</v>
      </c>
      <c r="S58" s="16" t="s">
        <v>68</v>
      </c>
      <c r="T58" s="26" t="s">
        <v>352</v>
      </c>
      <c r="U58" s="27">
        <v>-78520796</v>
      </c>
      <c r="V58" s="47" t="s">
        <v>47</v>
      </c>
      <c r="W58" s="28" t="s">
        <v>48</v>
      </c>
      <c r="X58" s="28"/>
      <c r="Y58" s="29">
        <v>1</v>
      </c>
      <c r="Z58" s="18" t="s">
        <v>49</v>
      </c>
      <c r="AA58" s="18" t="s">
        <v>50</v>
      </c>
      <c r="AB58" s="17">
        <v>2019</v>
      </c>
      <c r="AC58" s="16" t="s">
        <v>51</v>
      </c>
      <c r="AD58" s="30"/>
      <c r="AE58" s="24"/>
      <c r="AF58" s="39"/>
      <c r="AG58" s="34"/>
    </row>
    <row r="59" spans="1:33" x14ac:dyDescent="0.4">
      <c r="A59" s="15" t="s">
        <v>34</v>
      </c>
      <c r="B59" s="46">
        <v>40</v>
      </c>
      <c r="C59" s="17">
        <v>57</v>
      </c>
      <c r="D59" s="18" t="s">
        <v>356</v>
      </c>
      <c r="E59" s="32">
        <v>746018</v>
      </c>
      <c r="F59" s="38"/>
      <c r="G59" s="20" t="s">
        <v>36</v>
      </c>
      <c r="H59" s="20" t="s">
        <v>36</v>
      </c>
      <c r="I59" s="33" t="s">
        <v>347</v>
      </c>
      <c r="J59" s="16" t="s">
        <v>348</v>
      </c>
      <c r="K59" s="32" t="s">
        <v>349</v>
      </c>
      <c r="L59" s="22" t="s">
        <v>357</v>
      </c>
      <c r="M59" s="16" t="s">
        <v>41</v>
      </c>
      <c r="N59" s="16" t="s">
        <v>66</v>
      </c>
      <c r="O59" s="16" t="s">
        <v>358</v>
      </c>
      <c r="P59" s="16" t="s">
        <v>43</v>
      </c>
      <c r="Q59" s="24" t="s">
        <v>17</v>
      </c>
      <c r="R59" s="25" t="s">
        <v>44</v>
      </c>
      <c r="S59" s="16" t="s">
        <v>68</v>
      </c>
      <c r="T59" s="26" t="s">
        <v>352</v>
      </c>
      <c r="U59" s="27">
        <v>-78520796</v>
      </c>
      <c r="V59" s="47" t="s">
        <v>47</v>
      </c>
      <c r="W59" s="28" t="s">
        <v>48</v>
      </c>
      <c r="X59" s="28"/>
      <c r="Y59" s="29">
        <v>1</v>
      </c>
      <c r="Z59" s="18" t="s">
        <v>49</v>
      </c>
      <c r="AA59" s="18" t="s">
        <v>50</v>
      </c>
      <c r="AB59" s="17">
        <v>2019</v>
      </c>
      <c r="AC59" s="16" t="s">
        <v>51</v>
      </c>
      <c r="AD59" s="30"/>
      <c r="AE59" s="24"/>
      <c r="AF59" s="37"/>
      <c r="AG59" s="34"/>
    </row>
    <row r="60" spans="1:33" x14ac:dyDescent="0.4">
      <c r="A60" s="15" t="s">
        <v>34</v>
      </c>
      <c r="B60" s="46">
        <v>41</v>
      </c>
      <c r="C60" s="17">
        <v>58</v>
      </c>
      <c r="D60" s="18" t="s">
        <v>359</v>
      </c>
      <c r="E60" s="51">
        <v>746019</v>
      </c>
      <c r="F60" s="51"/>
      <c r="G60" s="52" t="s">
        <v>36</v>
      </c>
      <c r="H60" s="20" t="s">
        <v>36</v>
      </c>
      <c r="I60" s="53" t="s">
        <v>360</v>
      </c>
      <c r="J60" s="54" t="s">
        <v>361</v>
      </c>
      <c r="K60" s="51" t="s">
        <v>362</v>
      </c>
      <c r="L60" s="22" t="s">
        <v>363</v>
      </c>
      <c r="M60" s="16" t="s">
        <v>41</v>
      </c>
      <c r="N60" s="16" t="s">
        <v>42</v>
      </c>
      <c r="O60" s="16">
        <v>240697701</v>
      </c>
      <c r="P60" s="16" t="s">
        <v>43</v>
      </c>
      <c r="Q60" s="24" t="s">
        <v>17</v>
      </c>
      <c r="R60" s="25" t="s">
        <v>44</v>
      </c>
      <c r="S60" s="16" t="s">
        <v>45</v>
      </c>
      <c r="T60" s="26" t="s">
        <v>230</v>
      </c>
      <c r="U60" s="26" t="s">
        <v>364</v>
      </c>
      <c r="V60" s="47" t="s">
        <v>47</v>
      </c>
      <c r="W60" s="28" t="s">
        <v>48</v>
      </c>
      <c r="X60" s="28"/>
      <c r="Y60" s="29">
        <v>1</v>
      </c>
      <c r="Z60" s="18" t="s">
        <v>49</v>
      </c>
      <c r="AA60" s="18" t="s">
        <v>50</v>
      </c>
      <c r="AB60" s="17">
        <v>2019</v>
      </c>
      <c r="AC60" s="16" t="s">
        <v>51</v>
      </c>
      <c r="AD60" s="30"/>
      <c r="AE60" s="55"/>
      <c r="AF60" s="35" t="s">
        <v>53</v>
      </c>
      <c r="AG60" s="34" t="s">
        <v>87</v>
      </c>
    </row>
    <row r="61" spans="1:33" x14ac:dyDescent="0.4">
      <c r="A61" s="15" t="s">
        <v>34</v>
      </c>
      <c r="B61" s="46">
        <v>41</v>
      </c>
      <c r="C61" s="17">
        <v>59</v>
      </c>
      <c r="D61" s="18" t="s">
        <v>365</v>
      </c>
      <c r="E61" s="51">
        <v>746019</v>
      </c>
      <c r="F61" s="56"/>
      <c r="G61" s="52" t="s">
        <v>36</v>
      </c>
      <c r="H61" s="20" t="s">
        <v>36</v>
      </c>
      <c r="I61" s="53" t="s">
        <v>360</v>
      </c>
      <c r="J61" s="54" t="s">
        <v>361</v>
      </c>
      <c r="K61" s="51" t="s">
        <v>362</v>
      </c>
      <c r="L61" s="22" t="s">
        <v>366</v>
      </c>
      <c r="M61" s="16" t="s">
        <v>41</v>
      </c>
      <c r="N61" s="16" t="s">
        <v>66</v>
      </c>
      <c r="O61" s="16" t="s">
        <v>367</v>
      </c>
      <c r="P61" s="16" t="s">
        <v>43</v>
      </c>
      <c r="Q61" s="24" t="s">
        <v>17</v>
      </c>
      <c r="R61" s="25" t="s">
        <v>44</v>
      </c>
      <c r="S61" s="16" t="s">
        <v>68</v>
      </c>
      <c r="T61" s="26" t="s">
        <v>230</v>
      </c>
      <c r="U61" s="26" t="s">
        <v>364</v>
      </c>
      <c r="V61" s="47" t="s">
        <v>47</v>
      </c>
      <c r="W61" s="28" t="s">
        <v>48</v>
      </c>
      <c r="X61" s="28"/>
      <c r="Y61" s="29">
        <v>1</v>
      </c>
      <c r="Z61" s="18" t="s">
        <v>49</v>
      </c>
      <c r="AA61" s="18" t="s">
        <v>50</v>
      </c>
      <c r="AB61" s="17">
        <v>2019</v>
      </c>
      <c r="AC61" s="16" t="s">
        <v>51</v>
      </c>
      <c r="AD61" s="30"/>
      <c r="AE61" s="55"/>
      <c r="AF61" s="37"/>
      <c r="AG61" s="34"/>
    </row>
    <row r="62" spans="1:33" x14ac:dyDescent="0.4">
      <c r="A62" s="15" t="s">
        <v>34</v>
      </c>
      <c r="B62" s="46">
        <v>42</v>
      </c>
      <c r="C62" s="17">
        <v>60</v>
      </c>
      <c r="D62" s="18" t="s">
        <v>368</v>
      </c>
      <c r="E62" s="32">
        <v>746051</v>
      </c>
      <c r="F62" s="32"/>
      <c r="G62" s="20" t="s">
        <v>36</v>
      </c>
      <c r="H62" s="20" t="s">
        <v>36</v>
      </c>
      <c r="I62" s="33" t="s">
        <v>369</v>
      </c>
      <c r="J62" s="16" t="s">
        <v>370</v>
      </c>
      <c r="K62" s="32" t="s">
        <v>371</v>
      </c>
      <c r="L62" s="22" t="s">
        <v>372</v>
      </c>
      <c r="M62" s="16" t="s">
        <v>41</v>
      </c>
      <c r="N62" s="16" t="s">
        <v>42</v>
      </c>
      <c r="O62" s="16">
        <v>240959212</v>
      </c>
      <c r="P62" s="16" t="s">
        <v>43</v>
      </c>
      <c r="Q62" s="24" t="s">
        <v>17</v>
      </c>
      <c r="R62" s="25" t="s">
        <v>44</v>
      </c>
      <c r="S62" s="16" t="s">
        <v>45</v>
      </c>
      <c r="T62" s="26" t="s">
        <v>373</v>
      </c>
      <c r="U62" s="26" t="s">
        <v>374</v>
      </c>
      <c r="V62" s="47" t="s">
        <v>47</v>
      </c>
      <c r="W62" s="28" t="s">
        <v>48</v>
      </c>
      <c r="X62" s="28"/>
      <c r="Y62" s="29">
        <v>1</v>
      </c>
      <c r="Z62" s="18" t="s">
        <v>49</v>
      </c>
      <c r="AA62" s="18" t="s">
        <v>50</v>
      </c>
      <c r="AB62" s="17">
        <v>2019</v>
      </c>
      <c r="AC62" s="16" t="s">
        <v>51</v>
      </c>
      <c r="AD62" s="30"/>
      <c r="AE62" s="24"/>
      <c r="AF62" s="35" t="s">
        <v>53</v>
      </c>
      <c r="AG62" s="34" t="s">
        <v>87</v>
      </c>
    </row>
    <row r="63" spans="1:33" x14ac:dyDescent="0.4">
      <c r="A63" s="15" t="s">
        <v>34</v>
      </c>
      <c r="B63" s="46">
        <v>42</v>
      </c>
      <c r="C63" s="17">
        <v>61</v>
      </c>
      <c r="D63" s="18" t="s">
        <v>375</v>
      </c>
      <c r="E63" s="32">
        <v>746051</v>
      </c>
      <c r="F63" s="36"/>
      <c r="G63" s="24" t="s">
        <v>36</v>
      </c>
      <c r="H63" s="20" t="s">
        <v>36</v>
      </c>
      <c r="I63" s="33" t="s">
        <v>369</v>
      </c>
      <c r="J63" s="16" t="s">
        <v>370</v>
      </c>
      <c r="K63" s="32" t="s">
        <v>371</v>
      </c>
      <c r="L63" s="22" t="s">
        <v>376</v>
      </c>
      <c r="M63" s="16" t="s">
        <v>41</v>
      </c>
      <c r="N63" s="16" t="s">
        <v>66</v>
      </c>
      <c r="O63" s="16" t="s">
        <v>377</v>
      </c>
      <c r="P63" s="16" t="s">
        <v>43</v>
      </c>
      <c r="Q63" s="24" t="s">
        <v>17</v>
      </c>
      <c r="R63" s="25" t="s">
        <v>44</v>
      </c>
      <c r="S63" s="16" t="s">
        <v>68</v>
      </c>
      <c r="T63" s="26" t="s">
        <v>373</v>
      </c>
      <c r="U63" s="26" t="s">
        <v>374</v>
      </c>
      <c r="V63" s="47" t="s">
        <v>47</v>
      </c>
      <c r="W63" s="28" t="s">
        <v>48</v>
      </c>
      <c r="X63" s="28"/>
      <c r="Y63" s="29">
        <v>1</v>
      </c>
      <c r="Z63" s="18" t="s">
        <v>49</v>
      </c>
      <c r="AA63" s="18" t="s">
        <v>50</v>
      </c>
      <c r="AB63" s="17">
        <v>2019</v>
      </c>
      <c r="AC63" s="16" t="s">
        <v>51</v>
      </c>
      <c r="AD63" s="30"/>
      <c r="AE63" s="24"/>
      <c r="AF63" s="37"/>
      <c r="AG63" s="34"/>
    </row>
    <row r="64" spans="1:33" x14ac:dyDescent="0.4">
      <c r="A64" s="15" t="s">
        <v>34</v>
      </c>
      <c r="B64" s="46">
        <v>43</v>
      </c>
      <c r="C64" s="18">
        <v>62</v>
      </c>
      <c r="D64" s="41" t="s">
        <v>378</v>
      </c>
      <c r="E64" s="32">
        <v>746037</v>
      </c>
      <c r="F64" s="32"/>
      <c r="G64" s="20" t="s">
        <v>36</v>
      </c>
      <c r="H64" s="20" t="s">
        <v>36</v>
      </c>
      <c r="I64" s="33" t="s">
        <v>379</v>
      </c>
      <c r="J64" s="16" t="s">
        <v>380</v>
      </c>
      <c r="K64" s="32" t="s">
        <v>381</v>
      </c>
      <c r="L64" s="22" t="s">
        <v>382</v>
      </c>
      <c r="M64" s="16" t="s">
        <v>41</v>
      </c>
      <c r="N64" s="16" t="s">
        <v>42</v>
      </c>
      <c r="O64" s="16">
        <v>240959218</v>
      </c>
      <c r="P64" s="16" t="s">
        <v>43</v>
      </c>
      <c r="Q64" s="24" t="s">
        <v>17</v>
      </c>
      <c r="R64" s="25" t="s">
        <v>44</v>
      </c>
      <c r="S64" s="16" t="s">
        <v>45</v>
      </c>
      <c r="T64" s="26" t="s">
        <v>383</v>
      </c>
      <c r="U64" s="26" t="s">
        <v>384</v>
      </c>
      <c r="V64" s="47" t="s">
        <v>47</v>
      </c>
      <c r="W64" s="28" t="s">
        <v>48</v>
      </c>
      <c r="X64" s="16">
        <v>1</v>
      </c>
      <c r="Y64" s="29">
        <v>1</v>
      </c>
      <c r="Z64" s="18" t="s">
        <v>49</v>
      </c>
      <c r="AA64" s="18" t="s">
        <v>50</v>
      </c>
      <c r="AB64" s="17">
        <v>2019</v>
      </c>
      <c r="AC64" s="16" t="s">
        <v>51</v>
      </c>
      <c r="AD64" s="30"/>
      <c r="AE64" s="24"/>
      <c r="AF64" s="35" t="s">
        <v>97</v>
      </c>
      <c r="AG64" s="34" t="s">
        <v>98</v>
      </c>
    </row>
    <row r="65" spans="1:33" x14ac:dyDescent="0.4">
      <c r="A65" s="15" t="s">
        <v>34</v>
      </c>
      <c r="B65" s="46">
        <v>43</v>
      </c>
      <c r="C65" s="17">
        <v>63</v>
      </c>
      <c r="D65" s="18" t="s">
        <v>385</v>
      </c>
      <c r="E65" s="32">
        <v>746037</v>
      </c>
      <c r="F65" s="38"/>
      <c r="G65" s="20" t="s">
        <v>36</v>
      </c>
      <c r="H65" s="20" t="s">
        <v>36</v>
      </c>
      <c r="I65" s="33" t="s">
        <v>379</v>
      </c>
      <c r="J65" s="16" t="s">
        <v>380</v>
      </c>
      <c r="K65" s="32" t="s">
        <v>381</v>
      </c>
      <c r="L65" s="22" t="s">
        <v>386</v>
      </c>
      <c r="M65" s="16" t="s">
        <v>41</v>
      </c>
      <c r="N65" s="16" t="s">
        <v>66</v>
      </c>
      <c r="O65" s="16" t="s">
        <v>387</v>
      </c>
      <c r="P65" s="16" t="s">
        <v>43</v>
      </c>
      <c r="Q65" s="24" t="s">
        <v>17</v>
      </c>
      <c r="R65" s="25" t="s">
        <v>44</v>
      </c>
      <c r="S65" s="16" t="s">
        <v>68</v>
      </c>
      <c r="T65" s="26" t="s">
        <v>383</v>
      </c>
      <c r="U65" s="26" t="s">
        <v>384</v>
      </c>
      <c r="V65" s="47" t="s">
        <v>47</v>
      </c>
      <c r="W65" s="28" t="s">
        <v>48</v>
      </c>
      <c r="X65" s="16">
        <v>1</v>
      </c>
      <c r="Y65" s="29">
        <v>1</v>
      </c>
      <c r="Z65" s="18" t="s">
        <v>49</v>
      </c>
      <c r="AA65" s="18" t="s">
        <v>50</v>
      </c>
      <c r="AB65" s="17">
        <v>2019</v>
      </c>
      <c r="AC65" s="16" t="s">
        <v>51</v>
      </c>
      <c r="AD65" s="30"/>
      <c r="AE65" s="24"/>
      <c r="AF65" s="39"/>
      <c r="AG65" s="34"/>
    </row>
    <row r="66" spans="1:33" x14ac:dyDescent="0.4">
      <c r="A66" s="15" t="s">
        <v>34</v>
      </c>
      <c r="B66" s="46">
        <v>43</v>
      </c>
      <c r="C66" s="17">
        <v>64</v>
      </c>
      <c r="D66" s="18" t="s">
        <v>388</v>
      </c>
      <c r="E66" s="32">
        <v>746037</v>
      </c>
      <c r="F66" s="38"/>
      <c r="G66" s="20" t="s">
        <v>36</v>
      </c>
      <c r="H66" s="20" t="s">
        <v>36</v>
      </c>
      <c r="I66" s="33" t="s">
        <v>379</v>
      </c>
      <c r="J66" s="16" t="s">
        <v>380</v>
      </c>
      <c r="K66" s="32" t="s">
        <v>381</v>
      </c>
      <c r="L66" s="22" t="s">
        <v>389</v>
      </c>
      <c r="M66" s="16" t="s">
        <v>41</v>
      </c>
      <c r="N66" s="16" t="s">
        <v>66</v>
      </c>
      <c r="O66" s="16" t="s">
        <v>390</v>
      </c>
      <c r="P66" s="16" t="s">
        <v>43</v>
      </c>
      <c r="Q66" s="24" t="s">
        <v>17</v>
      </c>
      <c r="R66" s="25" t="s">
        <v>44</v>
      </c>
      <c r="S66" s="16" t="s">
        <v>68</v>
      </c>
      <c r="T66" s="26" t="s">
        <v>383</v>
      </c>
      <c r="U66" s="26" t="s">
        <v>384</v>
      </c>
      <c r="V66" s="47" t="s">
        <v>47</v>
      </c>
      <c r="W66" s="28" t="s">
        <v>48</v>
      </c>
      <c r="X66" s="16">
        <v>1</v>
      </c>
      <c r="Y66" s="29">
        <v>1</v>
      </c>
      <c r="Z66" s="18" t="s">
        <v>49</v>
      </c>
      <c r="AA66" s="18" t="s">
        <v>50</v>
      </c>
      <c r="AB66" s="17">
        <v>2019</v>
      </c>
      <c r="AC66" s="16" t="s">
        <v>51</v>
      </c>
      <c r="AD66" s="30"/>
      <c r="AE66" s="24"/>
      <c r="AF66" s="37"/>
      <c r="AG66" s="34"/>
    </row>
    <row r="67" spans="1:33" x14ac:dyDescent="0.4">
      <c r="A67" s="15" t="s">
        <v>34</v>
      </c>
      <c r="B67" s="46">
        <v>44</v>
      </c>
      <c r="C67" s="17">
        <v>65</v>
      </c>
      <c r="D67" s="18" t="s">
        <v>391</v>
      </c>
      <c r="E67" s="32">
        <v>746041</v>
      </c>
      <c r="F67" s="32"/>
      <c r="G67" s="20" t="s">
        <v>36</v>
      </c>
      <c r="H67" s="20" t="s">
        <v>36</v>
      </c>
      <c r="I67" s="33" t="s">
        <v>392</v>
      </c>
      <c r="J67" s="16" t="s">
        <v>393</v>
      </c>
      <c r="K67" s="32" t="s">
        <v>394</v>
      </c>
      <c r="L67" s="22" t="s">
        <v>395</v>
      </c>
      <c r="M67" s="16" t="s">
        <v>41</v>
      </c>
      <c r="N67" s="16" t="s">
        <v>42</v>
      </c>
      <c r="O67" s="16">
        <v>240959205</v>
      </c>
      <c r="P67" s="16" t="s">
        <v>43</v>
      </c>
      <c r="Q67" s="24" t="s">
        <v>17</v>
      </c>
      <c r="R67" s="25" t="s">
        <v>44</v>
      </c>
      <c r="S67" s="16" t="s">
        <v>45</v>
      </c>
      <c r="T67" s="26" t="s">
        <v>396</v>
      </c>
      <c r="U67" s="26" t="s">
        <v>397</v>
      </c>
      <c r="V67" s="47" t="s">
        <v>47</v>
      </c>
      <c r="W67" s="28" t="s">
        <v>48</v>
      </c>
      <c r="X67" s="28"/>
      <c r="Y67" s="29">
        <v>1</v>
      </c>
      <c r="Z67" s="18" t="s">
        <v>49</v>
      </c>
      <c r="AA67" s="18" t="s">
        <v>50</v>
      </c>
      <c r="AB67" s="17">
        <v>2019</v>
      </c>
      <c r="AC67" s="16" t="s">
        <v>51</v>
      </c>
      <c r="AD67" s="30"/>
      <c r="AE67" s="24"/>
      <c r="AF67" s="35" t="s">
        <v>97</v>
      </c>
      <c r="AG67" s="34" t="s">
        <v>98</v>
      </c>
    </row>
    <row r="68" spans="1:33" x14ac:dyDescent="0.4">
      <c r="A68" s="15" t="s">
        <v>34</v>
      </c>
      <c r="B68" s="46">
        <v>44</v>
      </c>
      <c r="C68" s="17">
        <v>66</v>
      </c>
      <c r="D68" s="18" t="s">
        <v>398</v>
      </c>
      <c r="E68" s="32">
        <v>746041</v>
      </c>
      <c r="F68" s="38"/>
      <c r="G68" s="20" t="s">
        <v>36</v>
      </c>
      <c r="H68" s="20" t="s">
        <v>36</v>
      </c>
      <c r="I68" s="33" t="s">
        <v>392</v>
      </c>
      <c r="J68" s="16" t="s">
        <v>393</v>
      </c>
      <c r="K68" s="32" t="s">
        <v>394</v>
      </c>
      <c r="L68" s="22" t="s">
        <v>399</v>
      </c>
      <c r="M68" s="16" t="s">
        <v>41</v>
      </c>
      <c r="N68" s="16" t="s">
        <v>66</v>
      </c>
      <c r="O68" s="16" t="s">
        <v>400</v>
      </c>
      <c r="P68" s="16" t="s">
        <v>43</v>
      </c>
      <c r="Q68" s="24" t="s">
        <v>17</v>
      </c>
      <c r="R68" s="25" t="s">
        <v>44</v>
      </c>
      <c r="S68" s="16" t="s">
        <v>68</v>
      </c>
      <c r="T68" s="26" t="s">
        <v>396</v>
      </c>
      <c r="U68" s="26" t="s">
        <v>397</v>
      </c>
      <c r="V68" s="47" t="s">
        <v>47</v>
      </c>
      <c r="W68" s="28" t="s">
        <v>48</v>
      </c>
      <c r="X68" s="28"/>
      <c r="Y68" s="29">
        <v>1</v>
      </c>
      <c r="Z68" s="18" t="s">
        <v>49</v>
      </c>
      <c r="AA68" s="18" t="s">
        <v>50</v>
      </c>
      <c r="AB68" s="17">
        <v>2019</v>
      </c>
      <c r="AC68" s="16" t="s">
        <v>51</v>
      </c>
      <c r="AD68" s="30"/>
      <c r="AE68" s="24"/>
      <c r="AF68" s="39"/>
      <c r="AG68" s="34"/>
    </row>
    <row r="69" spans="1:33" x14ac:dyDescent="0.4">
      <c r="A69" s="15" t="s">
        <v>34</v>
      </c>
      <c r="B69" s="46">
        <v>44</v>
      </c>
      <c r="C69" s="18">
        <v>67</v>
      </c>
      <c r="D69" s="18" t="s">
        <v>401</v>
      </c>
      <c r="E69" s="32">
        <v>746041</v>
      </c>
      <c r="F69" s="38"/>
      <c r="G69" s="20" t="s">
        <v>36</v>
      </c>
      <c r="H69" s="20" t="s">
        <v>36</v>
      </c>
      <c r="I69" s="33" t="s">
        <v>392</v>
      </c>
      <c r="J69" s="16" t="s">
        <v>393</v>
      </c>
      <c r="K69" s="32" t="s">
        <v>394</v>
      </c>
      <c r="L69" s="22" t="s">
        <v>402</v>
      </c>
      <c r="M69" s="16" t="s">
        <v>41</v>
      </c>
      <c r="N69" s="16" t="s">
        <v>66</v>
      </c>
      <c r="O69" s="16" t="s">
        <v>403</v>
      </c>
      <c r="P69" s="16" t="s">
        <v>43</v>
      </c>
      <c r="Q69" s="24" t="s">
        <v>17</v>
      </c>
      <c r="R69" s="25" t="s">
        <v>44</v>
      </c>
      <c r="S69" s="16" t="s">
        <v>68</v>
      </c>
      <c r="T69" s="26" t="s">
        <v>396</v>
      </c>
      <c r="U69" s="26" t="s">
        <v>397</v>
      </c>
      <c r="V69" s="47" t="s">
        <v>47</v>
      </c>
      <c r="W69" s="28" t="s">
        <v>48</v>
      </c>
      <c r="X69" s="28"/>
      <c r="Y69" s="29">
        <v>1</v>
      </c>
      <c r="Z69" s="18" t="s">
        <v>49</v>
      </c>
      <c r="AA69" s="18" t="s">
        <v>50</v>
      </c>
      <c r="AB69" s="17">
        <v>2019</v>
      </c>
      <c r="AC69" s="16" t="s">
        <v>51</v>
      </c>
      <c r="AD69" s="30"/>
      <c r="AE69" s="24"/>
      <c r="AF69" s="37"/>
      <c r="AG69" s="34"/>
    </row>
    <row r="70" spans="1:33" x14ac:dyDescent="0.4">
      <c r="A70" s="15" t="s">
        <v>34</v>
      </c>
      <c r="B70" s="46">
        <v>45</v>
      </c>
      <c r="C70" s="18">
        <v>68</v>
      </c>
      <c r="D70" s="43"/>
      <c r="E70" s="32">
        <v>746044</v>
      </c>
      <c r="F70" s="32"/>
      <c r="G70" s="20" t="s">
        <v>36</v>
      </c>
      <c r="H70" s="20" t="s">
        <v>36</v>
      </c>
      <c r="I70" s="33" t="s">
        <v>404</v>
      </c>
      <c r="J70" s="16" t="s">
        <v>405</v>
      </c>
      <c r="K70" s="32" t="s">
        <v>406</v>
      </c>
      <c r="L70" s="22" t="s">
        <v>407</v>
      </c>
      <c r="M70" s="16" t="s">
        <v>41</v>
      </c>
      <c r="N70" s="16" t="s">
        <v>42</v>
      </c>
      <c r="O70" s="16">
        <v>240959205</v>
      </c>
      <c r="P70" s="16" t="s">
        <v>43</v>
      </c>
      <c r="Q70" s="24" t="s">
        <v>116</v>
      </c>
      <c r="R70" s="25" t="s">
        <v>44</v>
      </c>
      <c r="S70" s="16" t="s">
        <v>45</v>
      </c>
      <c r="T70" s="26" t="s">
        <v>408</v>
      </c>
      <c r="U70" s="26" t="s">
        <v>409</v>
      </c>
      <c r="V70" s="47" t="s">
        <v>47</v>
      </c>
      <c r="W70" s="28" t="s">
        <v>48</v>
      </c>
      <c r="X70" s="28"/>
      <c r="Y70" s="29">
        <v>1</v>
      </c>
      <c r="Z70" s="18" t="s">
        <v>49</v>
      </c>
      <c r="AA70" s="18" t="s">
        <v>50</v>
      </c>
      <c r="AB70" s="17">
        <v>2019</v>
      </c>
      <c r="AC70" s="16" t="s">
        <v>51</v>
      </c>
      <c r="AD70" s="30"/>
      <c r="AE70" s="24"/>
      <c r="AF70" s="35" t="s">
        <v>97</v>
      </c>
      <c r="AG70" s="34" t="s">
        <v>98</v>
      </c>
    </row>
    <row r="71" spans="1:33" x14ac:dyDescent="0.4">
      <c r="A71" s="15" t="s">
        <v>34</v>
      </c>
      <c r="B71" s="46">
        <v>45</v>
      </c>
      <c r="C71" s="18">
        <v>69</v>
      </c>
      <c r="D71" s="41"/>
      <c r="E71" s="32">
        <v>746044</v>
      </c>
      <c r="F71" s="38"/>
      <c r="G71" s="20" t="s">
        <v>36</v>
      </c>
      <c r="H71" s="20" t="s">
        <v>36</v>
      </c>
      <c r="I71" s="33" t="s">
        <v>404</v>
      </c>
      <c r="J71" s="16" t="s">
        <v>405</v>
      </c>
      <c r="K71" s="32" t="s">
        <v>406</v>
      </c>
      <c r="L71" s="22" t="s">
        <v>410</v>
      </c>
      <c r="M71" s="16" t="s">
        <v>41</v>
      </c>
      <c r="N71" s="16" t="s">
        <v>66</v>
      </c>
      <c r="O71" s="16" t="s">
        <v>400</v>
      </c>
      <c r="P71" s="16" t="s">
        <v>43</v>
      </c>
      <c r="Q71" s="24" t="s">
        <v>116</v>
      </c>
      <c r="R71" s="25" t="s">
        <v>44</v>
      </c>
      <c r="S71" s="16" t="s">
        <v>68</v>
      </c>
      <c r="T71" s="26" t="s">
        <v>408</v>
      </c>
      <c r="U71" s="26" t="s">
        <v>409</v>
      </c>
      <c r="V71" s="47" t="s">
        <v>47</v>
      </c>
      <c r="W71" s="28" t="s">
        <v>48</v>
      </c>
      <c r="X71" s="28"/>
      <c r="Y71" s="29">
        <v>1</v>
      </c>
      <c r="Z71" s="18" t="s">
        <v>49</v>
      </c>
      <c r="AA71" s="18" t="s">
        <v>50</v>
      </c>
      <c r="AB71" s="17">
        <v>2019</v>
      </c>
      <c r="AC71" s="16" t="s">
        <v>51</v>
      </c>
      <c r="AD71" s="30"/>
      <c r="AE71" s="24"/>
      <c r="AF71" s="39"/>
      <c r="AG71" s="34"/>
    </row>
    <row r="72" spans="1:33" x14ac:dyDescent="0.4">
      <c r="A72" s="15" t="s">
        <v>34</v>
      </c>
      <c r="B72" s="46">
        <v>45</v>
      </c>
      <c r="C72" s="18">
        <v>70</v>
      </c>
      <c r="D72" s="41"/>
      <c r="E72" s="32">
        <v>746044</v>
      </c>
      <c r="F72" s="38"/>
      <c r="G72" s="20" t="s">
        <v>36</v>
      </c>
      <c r="H72" s="20" t="s">
        <v>36</v>
      </c>
      <c r="I72" s="33" t="s">
        <v>404</v>
      </c>
      <c r="J72" s="16" t="s">
        <v>405</v>
      </c>
      <c r="K72" s="32" t="s">
        <v>406</v>
      </c>
      <c r="L72" s="22" t="s">
        <v>411</v>
      </c>
      <c r="M72" s="16" t="s">
        <v>41</v>
      </c>
      <c r="N72" s="16" t="s">
        <v>66</v>
      </c>
      <c r="O72" s="16" t="s">
        <v>403</v>
      </c>
      <c r="P72" s="16" t="s">
        <v>43</v>
      </c>
      <c r="Q72" s="24" t="s">
        <v>116</v>
      </c>
      <c r="R72" s="25" t="s">
        <v>44</v>
      </c>
      <c r="S72" s="16" t="s">
        <v>68</v>
      </c>
      <c r="T72" s="26" t="s">
        <v>408</v>
      </c>
      <c r="U72" s="26" t="s">
        <v>409</v>
      </c>
      <c r="V72" s="47" t="s">
        <v>47</v>
      </c>
      <c r="W72" s="28" t="s">
        <v>48</v>
      </c>
      <c r="X72" s="28"/>
      <c r="Y72" s="29">
        <v>1</v>
      </c>
      <c r="Z72" s="18" t="s">
        <v>49</v>
      </c>
      <c r="AA72" s="18" t="s">
        <v>50</v>
      </c>
      <c r="AB72" s="17">
        <v>2019</v>
      </c>
      <c r="AC72" s="16" t="s">
        <v>51</v>
      </c>
      <c r="AD72" s="30"/>
      <c r="AE72" s="24"/>
      <c r="AF72" s="37"/>
      <c r="AG72" s="34"/>
    </row>
    <row r="73" spans="1:33" x14ac:dyDescent="0.4">
      <c r="A73" s="15" t="s">
        <v>34</v>
      </c>
      <c r="B73" s="46">
        <v>46</v>
      </c>
      <c r="C73" s="17">
        <v>71</v>
      </c>
      <c r="D73" s="18" t="s">
        <v>412</v>
      </c>
      <c r="E73" s="32">
        <v>11958</v>
      </c>
      <c r="F73" s="32"/>
      <c r="G73" s="20" t="s">
        <v>36</v>
      </c>
      <c r="H73" s="20" t="s">
        <v>36</v>
      </c>
      <c r="I73" s="33" t="s">
        <v>413</v>
      </c>
      <c r="J73" s="16" t="s">
        <v>414</v>
      </c>
      <c r="K73" s="32" t="s">
        <v>415</v>
      </c>
      <c r="L73" s="22" t="s">
        <v>416</v>
      </c>
      <c r="M73" s="16" t="s">
        <v>41</v>
      </c>
      <c r="N73" s="16" t="s">
        <v>42</v>
      </c>
      <c r="O73" s="16">
        <v>240697710</v>
      </c>
      <c r="P73" s="16" t="s">
        <v>43</v>
      </c>
      <c r="Q73" s="24" t="s">
        <v>17</v>
      </c>
      <c r="R73" s="25" t="s">
        <v>44</v>
      </c>
      <c r="S73" s="16" t="s">
        <v>45</v>
      </c>
      <c r="T73" s="26" t="s">
        <v>417</v>
      </c>
      <c r="U73" s="26" t="s">
        <v>418</v>
      </c>
      <c r="V73" s="47" t="s">
        <v>47</v>
      </c>
      <c r="W73" s="28" t="s">
        <v>48</v>
      </c>
      <c r="X73" s="28"/>
      <c r="Y73" s="29">
        <v>1</v>
      </c>
      <c r="Z73" s="18" t="s">
        <v>49</v>
      </c>
      <c r="AA73" s="18" t="s">
        <v>50</v>
      </c>
      <c r="AB73" s="17">
        <v>2019</v>
      </c>
      <c r="AC73" s="16" t="s">
        <v>51</v>
      </c>
      <c r="AD73" s="30"/>
      <c r="AE73" s="24"/>
      <c r="AF73" s="35" t="s">
        <v>53</v>
      </c>
      <c r="AG73" s="34" t="s">
        <v>87</v>
      </c>
    </row>
    <row r="74" spans="1:33" x14ac:dyDescent="0.4">
      <c r="A74" s="15" t="s">
        <v>34</v>
      </c>
      <c r="B74" s="46">
        <v>46</v>
      </c>
      <c r="C74" s="17">
        <v>72</v>
      </c>
      <c r="D74" s="18" t="s">
        <v>419</v>
      </c>
      <c r="E74" s="32">
        <v>11958</v>
      </c>
      <c r="F74" s="38"/>
      <c r="G74" s="20" t="s">
        <v>36</v>
      </c>
      <c r="H74" s="20" t="s">
        <v>36</v>
      </c>
      <c r="I74" s="33" t="s">
        <v>413</v>
      </c>
      <c r="J74" s="16" t="s">
        <v>414</v>
      </c>
      <c r="K74" s="32" t="s">
        <v>415</v>
      </c>
      <c r="L74" s="22" t="s">
        <v>420</v>
      </c>
      <c r="M74" s="16" t="s">
        <v>41</v>
      </c>
      <c r="N74" s="16" t="s">
        <v>66</v>
      </c>
      <c r="O74" s="16" t="s">
        <v>421</v>
      </c>
      <c r="P74" s="16" t="s">
        <v>43</v>
      </c>
      <c r="Q74" s="24" t="s">
        <v>17</v>
      </c>
      <c r="R74" s="25" t="s">
        <v>44</v>
      </c>
      <c r="S74" s="16" t="s">
        <v>68</v>
      </c>
      <c r="T74" s="26" t="s">
        <v>417</v>
      </c>
      <c r="U74" s="26" t="s">
        <v>418</v>
      </c>
      <c r="V74" s="47" t="s">
        <v>47</v>
      </c>
      <c r="W74" s="28" t="s">
        <v>48</v>
      </c>
      <c r="X74" s="28"/>
      <c r="Y74" s="29">
        <v>1</v>
      </c>
      <c r="Z74" s="18" t="s">
        <v>49</v>
      </c>
      <c r="AA74" s="18" t="s">
        <v>50</v>
      </c>
      <c r="AB74" s="17">
        <v>2019</v>
      </c>
      <c r="AC74" s="16" t="s">
        <v>51</v>
      </c>
      <c r="AD74" s="30"/>
      <c r="AE74" s="24"/>
      <c r="AF74" s="37"/>
      <c r="AG74" s="34"/>
    </row>
    <row r="75" spans="1:33" x14ac:dyDescent="0.4">
      <c r="A75" s="15" t="s">
        <v>34</v>
      </c>
      <c r="B75" s="46">
        <v>47</v>
      </c>
      <c r="C75" s="18">
        <v>73</v>
      </c>
      <c r="D75" s="41"/>
      <c r="E75" s="32">
        <v>12143</v>
      </c>
      <c r="F75" s="32"/>
      <c r="G75" s="20" t="s">
        <v>36</v>
      </c>
      <c r="H75" s="20" t="s">
        <v>36</v>
      </c>
      <c r="I75" s="33" t="s">
        <v>422</v>
      </c>
      <c r="J75" s="16" t="s">
        <v>423</v>
      </c>
      <c r="K75" s="32" t="s">
        <v>424</v>
      </c>
      <c r="L75" s="22" t="s">
        <v>425</v>
      </c>
      <c r="M75" s="16" t="s">
        <v>41</v>
      </c>
      <c r="N75" s="16" t="s">
        <v>42</v>
      </c>
      <c r="O75" s="16">
        <v>240959206</v>
      </c>
      <c r="P75" s="16" t="s">
        <v>43</v>
      </c>
      <c r="Q75" s="24" t="s">
        <v>17</v>
      </c>
      <c r="R75" s="25" t="s">
        <v>44</v>
      </c>
      <c r="S75" s="16" t="s">
        <v>45</v>
      </c>
      <c r="T75" s="26" t="s">
        <v>426</v>
      </c>
      <c r="U75" s="26" t="s">
        <v>427</v>
      </c>
      <c r="V75" s="47" t="s">
        <v>47</v>
      </c>
      <c r="W75" s="28" t="s">
        <v>48</v>
      </c>
      <c r="X75" s="28"/>
      <c r="Y75" s="29">
        <v>1</v>
      </c>
      <c r="Z75" s="18" t="s">
        <v>49</v>
      </c>
      <c r="AA75" s="18" t="s">
        <v>50</v>
      </c>
      <c r="AB75" s="17">
        <v>2019</v>
      </c>
      <c r="AC75" s="16" t="s">
        <v>51</v>
      </c>
      <c r="AD75" s="30"/>
      <c r="AE75" s="24"/>
      <c r="AF75" s="35" t="s">
        <v>53</v>
      </c>
      <c r="AG75" s="34" t="s">
        <v>87</v>
      </c>
    </row>
    <row r="76" spans="1:33" x14ac:dyDescent="0.4">
      <c r="A76" s="15" t="s">
        <v>34</v>
      </c>
      <c r="B76" s="46">
        <v>47</v>
      </c>
      <c r="C76" s="17">
        <v>74</v>
      </c>
      <c r="D76" s="18" t="s">
        <v>428</v>
      </c>
      <c r="E76" s="32">
        <v>12143</v>
      </c>
      <c r="F76" s="38"/>
      <c r="G76" s="20" t="s">
        <v>36</v>
      </c>
      <c r="H76" s="20" t="s">
        <v>36</v>
      </c>
      <c r="I76" s="33" t="s">
        <v>422</v>
      </c>
      <c r="J76" s="16" t="s">
        <v>423</v>
      </c>
      <c r="K76" s="32" t="s">
        <v>424</v>
      </c>
      <c r="L76" s="22" t="s">
        <v>429</v>
      </c>
      <c r="M76" s="16" t="s">
        <v>41</v>
      </c>
      <c r="N76" s="16" t="s">
        <v>66</v>
      </c>
      <c r="O76" s="16" t="s">
        <v>430</v>
      </c>
      <c r="P76" s="16" t="s">
        <v>43</v>
      </c>
      <c r="Q76" s="24" t="s">
        <v>17</v>
      </c>
      <c r="R76" s="25" t="s">
        <v>44</v>
      </c>
      <c r="S76" s="16" t="s">
        <v>68</v>
      </c>
      <c r="T76" s="26" t="s">
        <v>426</v>
      </c>
      <c r="U76" s="26" t="s">
        <v>427</v>
      </c>
      <c r="V76" s="47" t="s">
        <v>47</v>
      </c>
      <c r="W76" s="28" t="s">
        <v>48</v>
      </c>
      <c r="X76" s="28"/>
      <c r="Y76" s="29">
        <v>1</v>
      </c>
      <c r="Z76" s="18" t="s">
        <v>49</v>
      </c>
      <c r="AA76" s="18" t="s">
        <v>50</v>
      </c>
      <c r="AB76" s="17">
        <v>2019</v>
      </c>
      <c r="AC76" s="16" t="s">
        <v>51</v>
      </c>
      <c r="AD76" s="30"/>
      <c r="AE76" s="24"/>
      <c r="AF76" s="37"/>
      <c r="AG76" s="34"/>
    </row>
    <row r="77" spans="1:33" x14ac:dyDescent="0.4">
      <c r="A77" s="15" t="s">
        <v>34</v>
      </c>
      <c r="B77" s="46">
        <v>48</v>
      </c>
      <c r="C77" s="17">
        <v>75</v>
      </c>
      <c r="D77" s="18" t="s">
        <v>431</v>
      </c>
      <c r="E77" s="32">
        <v>12241</v>
      </c>
      <c r="F77" s="32"/>
      <c r="G77" s="20" t="s">
        <v>36</v>
      </c>
      <c r="H77" s="20" t="s">
        <v>36</v>
      </c>
      <c r="I77" s="33" t="s">
        <v>432</v>
      </c>
      <c r="J77" s="16" t="s">
        <v>433</v>
      </c>
      <c r="K77" s="32" t="s">
        <v>434</v>
      </c>
      <c r="L77" s="22" t="s">
        <v>435</v>
      </c>
      <c r="M77" s="16" t="s">
        <v>41</v>
      </c>
      <c r="N77" s="16" t="s">
        <v>42</v>
      </c>
      <c r="O77" s="16">
        <v>240959224</v>
      </c>
      <c r="P77" s="16" t="s">
        <v>43</v>
      </c>
      <c r="Q77" s="24" t="s">
        <v>17</v>
      </c>
      <c r="R77" s="25" t="s">
        <v>44</v>
      </c>
      <c r="S77" s="16" t="s">
        <v>45</v>
      </c>
      <c r="T77" s="26" t="s">
        <v>436</v>
      </c>
      <c r="U77" s="26" t="s">
        <v>437</v>
      </c>
      <c r="V77" s="47" t="s">
        <v>47</v>
      </c>
      <c r="W77" s="28" t="s">
        <v>48</v>
      </c>
      <c r="X77" s="28"/>
      <c r="Y77" s="29">
        <v>1</v>
      </c>
      <c r="Z77" s="18" t="s">
        <v>49</v>
      </c>
      <c r="AA77" s="18" t="s">
        <v>50</v>
      </c>
      <c r="AB77" s="17">
        <v>2019</v>
      </c>
      <c r="AC77" s="16" t="s">
        <v>51</v>
      </c>
      <c r="AD77" s="30"/>
      <c r="AE77" s="24"/>
      <c r="AF77" s="35" t="s">
        <v>53</v>
      </c>
      <c r="AG77" s="34" t="s">
        <v>87</v>
      </c>
    </row>
    <row r="78" spans="1:33" x14ac:dyDescent="0.4">
      <c r="A78" s="15" t="s">
        <v>34</v>
      </c>
      <c r="B78" s="46">
        <v>48</v>
      </c>
      <c r="C78" s="17">
        <v>76</v>
      </c>
      <c r="D78" s="18" t="s">
        <v>438</v>
      </c>
      <c r="E78" s="32">
        <v>12241</v>
      </c>
      <c r="F78" s="38"/>
      <c r="G78" s="20" t="s">
        <v>36</v>
      </c>
      <c r="H78" s="20" t="s">
        <v>36</v>
      </c>
      <c r="I78" s="33" t="s">
        <v>432</v>
      </c>
      <c r="J78" s="16" t="s">
        <v>433</v>
      </c>
      <c r="K78" s="32" t="s">
        <v>434</v>
      </c>
      <c r="L78" s="22" t="s">
        <v>439</v>
      </c>
      <c r="M78" s="16" t="s">
        <v>41</v>
      </c>
      <c r="N78" s="16" t="s">
        <v>66</v>
      </c>
      <c r="O78" s="16" t="s">
        <v>440</v>
      </c>
      <c r="P78" s="16" t="s">
        <v>43</v>
      </c>
      <c r="Q78" s="24" t="s">
        <v>17</v>
      </c>
      <c r="R78" s="25" t="s">
        <v>44</v>
      </c>
      <c r="S78" s="16" t="s">
        <v>68</v>
      </c>
      <c r="T78" s="26" t="s">
        <v>436</v>
      </c>
      <c r="U78" s="26" t="s">
        <v>437</v>
      </c>
      <c r="V78" s="47" t="s">
        <v>47</v>
      </c>
      <c r="W78" s="28" t="s">
        <v>48</v>
      </c>
      <c r="X78" s="28"/>
      <c r="Y78" s="29">
        <v>1</v>
      </c>
      <c r="Z78" s="18" t="s">
        <v>49</v>
      </c>
      <c r="AA78" s="18" t="s">
        <v>50</v>
      </c>
      <c r="AB78" s="17">
        <v>2019</v>
      </c>
      <c r="AC78" s="16" t="s">
        <v>51</v>
      </c>
      <c r="AD78" s="30"/>
      <c r="AE78" s="24"/>
      <c r="AF78" s="37"/>
      <c r="AG78" s="34"/>
    </row>
    <row r="79" spans="1:33" x14ac:dyDescent="0.4">
      <c r="A79" s="15" t="s">
        <v>34</v>
      </c>
      <c r="B79" s="46">
        <v>49</v>
      </c>
      <c r="C79" s="17">
        <v>77</v>
      </c>
      <c r="D79" s="18" t="s">
        <v>441</v>
      </c>
      <c r="E79" s="32">
        <v>13958</v>
      </c>
      <c r="F79" s="32"/>
      <c r="G79" s="20" t="s">
        <v>36</v>
      </c>
      <c r="H79" s="20" t="s">
        <v>36</v>
      </c>
      <c r="I79" s="33" t="s">
        <v>442</v>
      </c>
      <c r="J79" s="16" t="s">
        <v>443</v>
      </c>
      <c r="K79" s="32" t="s">
        <v>444</v>
      </c>
      <c r="L79" s="22" t="s">
        <v>445</v>
      </c>
      <c r="M79" s="16" t="s">
        <v>41</v>
      </c>
      <c r="N79" s="16" t="s">
        <v>42</v>
      </c>
      <c r="O79" s="16">
        <v>240959208</v>
      </c>
      <c r="P79" s="16" t="s">
        <v>43</v>
      </c>
      <c r="Q79" s="24" t="s">
        <v>17</v>
      </c>
      <c r="R79" s="25" t="s">
        <v>44</v>
      </c>
      <c r="S79" s="16" t="s">
        <v>45</v>
      </c>
      <c r="T79" s="26" t="s">
        <v>446</v>
      </c>
      <c r="U79" s="26" t="s">
        <v>447</v>
      </c>
      <c r="V79" s="47" t="s">
        <v>47</v>
      </c>
      <c r="W79" s="28" t="s">
        <v>48</v>
      </c>
      <c r="X79" s="28"/>
      <c r="Y79" s="29">
        <v>1</v>
      </c>
      <c r="Z79" s="18" t="s">
        <v>49</v>
      </c>
      <c r="AA79" s="18" t="s">
        <v>50</v>
      </c>
      <c r="AB79" s="17">
        <v>2019</v>
      </c>
      <c r="AC79" s="16" t="s">
        <v>51</v>
      </c>
      <c r="AD79" s="30"/>
      <c r="AE79" s="24"/>
      <c r="AF79" s="35" t="s">
        <v>53</v>
      </c>
      <c r="AG79" s="34" t="s">
        <v>87</v>
      </c>
    </row>
    <row r="80" spans="1:33" x14ac:dyDescent="0.4">
      <c r="A80" s="15" t="s">
        <v>34</v>
      </c>
      <c r="B80" s="46">
        <v>49</v>
      </c>
      <c r="C80" s="17">
        <v>78</v>
      </c>
      <c r="D80" s="18" t="s">
        <v>448</v>
      </c>
      <c r="E80" s="32">
        <v>13958</v>
      </c>
      <c r="F80" s="38"/>
      <c r="G80" s="20" t="s">
        <v>36</v>
      </c>
      <c r="H80" s="20" t="s">
        <v>36</v>
      </c>
      <c r="I80" s="33" t="s">
        <v>442</v>
      </c>
      <c r="J80" s="16" t="s">
        <v>443</v>
      </c>
      <c r="K80" s="32" t="s">
        <v>444</v>
      </c>
      <c r="L80" s="22" t="s">
        <v>449</v>
      </c>
      <c r="M80" s="16" t="s">
        <v>41</v>
      </c>
      <c r="N80" s="16" t="s">
        <v>66</v>
      </c>
      <c r="O80" s="16" t="s">
        <v>450</v>
      </c>
      <c r="P80" s="16" t="s">
        <v>43</v>
      </c>
      <c r="Q80" s="24" t="s">
        <v>17</v>
      </c>
      <c r="R80" s="25" t="s">
        <v>44</v>
      </c>
      <c r="S80" s="16" t="s">
        <v>68</v>
      </c>
      <c r="T80" s="26" t="s">
        <v>446</v>
      </c>
      <c r="U80" s="26" t="s">
        <v>447</v>
      </c>
      <c r="V80" s="47" t="s">
        <v>47</v>
      </c>
      <c r="W80" s="28" t="s">
        <v>48</v>
      </c>
      <c r="X80" s="28"/>
      <c r="Y80" s="29">
        <v>1</v>
      </c>
      <c r="Z80" s="18" t="s">
        <v>49</v>
      </c>
      <c r="AA80" s="18" t="s">
        <v>50</v>
      </c>
      <c r="AB80" s="17">
        <v>2019</v>
      </c>
      <c r="AC80" s="16" t="s">
        <v>51</v>
      </c>
      <c r="AD80" s="30"/>
      <c r="AE80" s="24"/>
      <c r="AF80" s="37"/>
      <c r="AG80" s="34"/>
    </row>
    <row r="81" spans="1:33" ht="30.75" customHeight="1" x14ac:dyDescent="0.4">
      <c r="A81" s="15" t="s">
        <v>451</v>
      </c>
      <c r="B81" s="49">
        <v>1</v>
      </c>
      <c r="C81" s="17">
        <v>79</v>
      </c>
      <c r="D81" s="18" t="s">
        <v>452</v>
      </c>
      <c r="E81" s="32">
        <v>805820</v>
      </c>
      <c r="F81" s="32"/>
      <c r="G81" s="20" t="s">
        <v>36</v>
      </c>
      <c r="H81" s="20" t="s">
        <v>453</v>
      </c>
      <c r="I81" s="33" t="s">
        <v>454</v>
      </c>
      <c r="J81" s="16" t="s">
        <v>455</v>
      </c>
      <c r="K81" s="46" t="s">
        <v>456</v>
      </c>
      <c r="L81" s="29" t="s">
        <v>457</v>
      </c>
      <c r="M81" s="16" t="s">
        <v>41</v>
      </c>
      <c r="N81" s="16" t="s">
        <v>458</v>
      </c>
      <c r="O81" s="16"/>
      <c r="P81" s="16" t="s">
        <v>43</v>
      </c>
      <c r="Q81" s="24" t="s">
        <v>17</v>
      </c>
      <c r="R81" s="22" t="s">
        <v>44</v>
      </c>
      <c r="S81" s="49" t="s">
        <v>68</v>
      </c>
      <c r="T81" s="57" t="s">
        <v>459</v>
      </c>
      <c r="U81" s="58" t="s">
        <v>460</v>
      </c>
      <c r="V81" s="47" t="s">
        <v>47</v>
      </c>
      <c r="W81" s="24" t="s">
        <v>461</v>
      </c>
      <c r="X81" s="16">
        <v>1</v>
      </c>
      <c r="Y81" s="29">
        <v>1</v>
      </c>
      <c r="Z81" s="18" t="s">
        <v>49</v>
      </c>
      <c r="AA81" s="18" t="s">
        <v>50</v>
      </c>
      <c r="AB81" s="17">
        <v>2020</v>
      </c>
      <c r="AC81" s="16" t="s">
        <v>51</v>
      </c>
      <c r="AD81" s="30"/>
      <c r="AE81" s="24"/>
      <c r="AF81" s="35" t="s">
        <v>53</v>
      </c>
      <c r="AG81" s="34" t="s">
        <v>87</v>
      </c>
    </row>
    <row r="82" spans="1:33" ht="34.5" customHeight="1" x14ac:dyDescent="0.4">
      <c r="A82" s="15" t="s">
        <v>451</v>
      </c>
      <c r="B82" s="49">
        <v>1</v>
      </c>
      <c r="C82" s="17">
        <v>80</v>
      </c>
      <c r="D82" s="18" t="s">
        <v>462</v>
      </c>
      <c r="E82" s="32">
        <v>805820</v>
      </c>
      <c r="F82" s="38"/>
      <c r="G82" s="20" t="s">
        <v>36</v>
      </c>
      <c r="H82" s="20" t="s">
        <v>453</v>
      </c>
      <c r="I82" s="33" t="s">
        <v>454</v>
      </c>
      <c r="J82" s="16" t="s">
        <v>455</v>
      </c>
      <c r="K82" s="46" t="s">
        <v>456</v>
      </c>
      <c r="L82" s="29" t="s">
        <v>463</v>
      </c>
      <c r="M82" s="16" t="s">
        <v>41</v>
      </c>
      <c r="N82" s="16" t="s">
        <v>458</v>
      </c>
      <c r="O82" s="16"/>
      <c r="P82" s="16" t="s">
        <v>43</v>
      </c>
      <c r="Q82" s="24" t="s">
        <v>17</v>
      </c>
      <c r="R82" s="22" t="s">
        <v>44</v>
      </c>
      <c r="S82" s="49" t="s">
        <v>68</v>
      </c>
      <c r="T82" s="57" t="s">
        <v>459</v>
      </c>
      <c r="U82" s="57" t="s">
        <v>460</v>
      </c>
      <c r="V82" s="47" t="s">
        <v>47</v>
      </c>
      <c r="W82" s="24" t="s">
        <v>461</v>
      </c>
      <c r="X82" s="16">
        <v>1</v>
      </c>
      <c r="Y82" s="29">
        <v>1</v>
      </c>
      <c r="Z82" s="18" t="s">
        <v>49</v>
      </c>
      <c r="AA82" s="18" t="s">
        <v>50</v>
      </c>
      <c r="AB82" s="17">
        <v>2020</v>
      </c>
      <c r="AC82" s="16" t="s">
        <v>51</v>
      </c>
      <c r="AD82" s="30"/>
      <c r="AE82" s="24"/>
      <c r="AF82" s="37"/>
      <c r="AG82" s="34"/>
    </row>
    <row r="83" spans="1:33" ht="26.25" customHeight="1" x14ac:dyDescent="0.4">
      <c r="A83" s="15" t="s">
        <v>451</v>
      </c>
      <c r="B83" s="49">
        <v>2</v>
      </c>
      <c r="C83" s="17">
        <v>81</v>
      </c>
      <c r="D83" s="18" t="s">
        <v>464</v>
      </c>
      <c r="E83" s="46">
        <v>805821</v>
      </c>
      <c r="F83" s="46"/>
      <c r="G83" s="20" t="s">
        <v>36</v>
      </c>
      <c r="H83" s="20" t="s">
        <v>465</v>
      </c>
      <c r="I83" s="33" t="s">
        <v>466</v>
      </c>
      <c r="J83" s="49" t="s">
        <v>467</v>
      </c>
      <c r="K83" s="46" t="s">
        <v>468</v>
      </c>
      <c r="L83" s="29" t="s">
        <v>469</v>
      </c>
      <c r="M83" s="16" t="s">
        <v>41</v>
      </c>
      <c r="N83" s="16" t="s">
        <v>458</v>
      </c>
      <c r="O83" s="16"/>
      <c r="P83" s="16" t="s">
        <v>43</v>
      </c>
      <c r="Q83" s="24" t="s">
        <v>17</v>
      </c>
      <c r="R83" s="22" t="s">
        <v>44</v>
      </c>
      <c r="S83" s="49" t="s">
        <v>68</v>
      </c>
      <c r="T83" s="57" t="s">
        <v>470</v>
      </c>
      <c r="U83" s="57" t="s">
        <v>471</v>
      </c>
      <c r="V83" s="47" t="s">
        <v>47</v>
      </c>
      <c r="W83" s="28" t="s">
        <v>461</v>
      </c>
      <c r="X83" s="16">
        <v>1</v>
      </c>
      <c r="Y83" s="29">
        <v>1</v>
      </c>
      <c r="Z83" s="18" t="s">
        <v>49</v>
      </c>
      <c r="AA83" s="18" t="s">
        <v>50</v>
      </c>
      <c r="AB83" s="17">
        <v>2020</v>
      </c>
      <c r="AC83" s="16" t="s">
        <v>51</v>
      </c>
      <c r="AD83" s="30"/>
      <c r="AE83" s="44"/>
      <c r="AF83" s="35" t="s">
        <v>53</v>
      </c>
      <c r="AG83" s="34" t="s">
        <v>87</v>
      </c>
    </row>
    <row r="84" spans="1:33" ht="27.75" customHeight="1" x14ac:dyDescent="0.4">
      <c r="A84" s="15" t="s">
        <v>451</v>
      </c>
      <c r="B84" s="49">
        <v>2</v>
      </c>
      <c r="C84" s="17">
        <v>82</v>
      </c>
      <c r="D84" s="18" t="s">
        <v>472</v>
      </c>
      <c r="E84" s="46">
        <v>805821</v>
      </c>
      <c r="F84" s="59"/>
      <c r="G84" s="20" t="s">
        <v>36</v>
      </c>
      <c r="H84" s="20" t="s">
        <v>465</v>
      </c>
      <c r="I84" s="33" t="s">
        <v>466</v>
      </c>
      <c r="J84" s="49" t="s">
        <v>467</v>
      </c>
      <c r="K84" s="46" t="s">
        <v>468</v>
      </c>
      <c r="L84" s="29" t="s">
        <v>473</v>
      </c>
      <c r="M84" s="16" t="s">
        <v>41</v>
      </c>
      <c r="N84" s="16" t="s">
        <v>458</v>
      </c>
      <c r="O84" s="16"/>
      <c r="P84" s="16" t="s">
        <v>43</v>
      </c>
      <c r="Q84" s="24" t="s">
        <v>17</v>
      </c>
      <c r="R84" s="22" t="s">
        <v>44</v>
      </c>
      <c r="S84" s="49" t="s">
        <v>68</v>
      </c>
      <c r="T84" s="57" t="s">
        <v>470</v>
      </c>
      <c r="U84" s="57" t="s">
        <v>471</v>
      </c>
      <c r="V84" s="47" t="s">
        <v>47</v>
      </c>
      <c r="W84" s="28" t="s">
        <v>461</v>
      </c>
      <c r="X84" s="16">
        <v>1</v>
      </c>
      <c r="Y84" s="29">
        <v>1</v>
      </c>
      <c r="Z84" s="18" t="s">
        <v>49</v>
      </c>
      <c r="AA84" s="18" t="s">
        <v>50</v>
      </c>
      <c r="AB84" s="17">
        <v>2020</v>
      </c>
      <c r="AC84" s="16" t="s">
        <v>51</v>
      </c>
      <c r="AD84" s="30"/>
      <c r="AE84" s="44"/>
      <c r="AF84" s="37"/>
      <c r="AG84" s="34"/>
    </row>
    <row r="85" spans="1:33" x14ac:dyDescent="0.4">
      <c r="A85" s="15" t="s">
        <v>451</v>
      </c>
      <c r="B85" s="49">
        <v>3</v>
      </c>
      <c r="C85" s="18">
        <v>83</v>
      </c>
      <c r="D85" s="41"/>
      <c r="E85" s="49">
        <v>805822</v>
      </c>
      <c r="F85" s="60"/>
      <c r="G85" s="20" t="s">
        <v>36</v>
      </c>
      <c r="H85" s="61" t="s">
        <v>474</v>
      </c>
      <c r="I85" s="61" t="s">
        <v>475</v>
      </c>
      <c r="J85" s="49" t="s">
        <v>476</v>
      </c>
      <c r="K85" s="49" t="s">
        <v>477</v>
      </c>
      <c r="L85" s="29" t="s">
        <v>478</v>
      </c>
      <c r="M85" s="16" t="s">
        <v>41</v>
      </c>
      <c r="N85" s="16" t="s">
        <v>479</v>
      </c>
      <c r="O85" s="16"/>
      <c r="P85" s="16" t="s">
        <v>43</v>
      </c>
      <c r="Q85" s="24" t="s">
        <v>116</v>
      </c>
      <c r="R85" s="22" t="s">
        <v>44</v>
      </c>
      <c r="S85" s="49" t="s">
        <v>45</v>
      </c>
      <c r="T85" s="26" t="s">
        <v>480</v>
      </c>
      <c r="U85" s="26" t="s">
        <v>481</v>
      </c>
      <c r="V85" s="49" t="s">
        <v>47</v>
      </c>
      <c r="W85" s="28" t="s">
        <v>461</v>
      </c>
      <c r="X85" s="16">
        <v>1</v>
      </c>
      <c r="Y85" s="29">
        <v>1</v>
      </c>
      <c r="Z85" s="18" t="s">
        <v>49</v>
      </c>
      <c r="AA85" s="18" t="s">
        <v>50</v>
      </c>
      <c r="AB85" s="17">
        <v>2020</v>
      </c>
      <c r="AC85" s="16" t="s">
        <v>51</v>
      </c>
      <c r="AD85" s="30"/>
      <c r="AE85" s="29"/>
      <c r="AF85" s="16" t="s">
        <v>52</v>
      </c>
      <c r="AG85" s="16" t="s">
        <v>53</v>
      </c>
    </row>
    <row r="86" spans="1:33" x14ac:dyDescent="0.4">
      <c r="A86" s="15" t="s">
        <v>451</v>
      </c>
      <c r="B86" s="49">
        <v>4</v>
      </c>
      <c r="C86" s="17">
        <v>84</v>
      </c>
      <c r="D86" s="18" t="s">
        <v>482</v>
      </c>
      <c r="E86" s="46">
        <v>805824</v>
      </c>
      <c r="F86" s="46"/>
      <c r="G86" s="20" t="s">
        <v>36</v>
      </c>
      <c r="H86" s="20" t="s">
        <v>474</v>
      </c>
      <c r="I86" s="62" t="s">
        <v>483</v>
      </c>
      <c r="J86" s="49" t="s">
        <v>484</v>
      </c>
      <c r="K86" s="46" t="s">
        <v>485</v>
      </c>
      <c r="L86" s="29" t="s">
        <v>486</v>
      </c>
      <c r="M86" s="16" t="s">
        <v>41</v>
      </c>
      <c r="N86" s="16" t="s">
        <v>458</v>
      </c>
      <c r="O86" s="16"/>
      <c r="P86" s="16" t="s">
        <v>43</v>
      </c>
      <c r="Q86" s="24" t="s">
        <v>17</v>
      </c>
      <c r="R86" s="22" t="s">
        <v>44</v>
      </c>
      <c r="S86" s="49" t="s">
        <v>68</v>
      </c>
      <c r="T86" s="57" t="s">
        <v>487</v>
      </c>
      <c r="U86" s="57" t="s">
        <v>488</v>
      </c>
      <c r="V86" s="47" t="s">
        <v>47</v>
      </c>
      <c r="W86" s="28" t="s">
        <v>461</v>
      </c>
      <c r="X86" s="16">
        <v>1</v>
      </c>
      <c r="Y86" s="29">
        <v>1</v>
      </c>
      <c r="Z86" s="18" t="s">
        <v>49</v>
      </c>
      <c r="AA86" s="18" t="s">
        <v>50</v>
      </c>
      <c r="AB86" s="17">
        <v>2020</v>
      </c>
      <c r="AC86" s="16" t="s">
        <v>51</v>
      </c>
      <c r="AD86" s="30"/>
      <c r="AE86" s="44"/>
      <c r="AF86" s="35" t="s">
        <v>53</v>
      </c>
      <c r="AG86" s="34" t="s">
        <v>87</v>
      </c>
    </row>
    <row r="87" spans="1:33" ht="27.75" customHeight="1" x14ac:dyDescent="0.4">
      <c r="A87" s="15" t="s">
        <v>451</v>
      </c>
      <c r="B87" s="49">
        <v>4</v>
      </c>
      <c r="C87" s="17">
        <v>85</v>
      </c>
      <c r="D87" s="18" t="s">
        <v>489</v>
      </c>
      <c r="E87" s="46">
        <v>805824</v>
      </c>
      <c r="F87" s="59"/>
      <c r="G87" s="20" t="s">
        <v>36</v>
      </c>
      <c r="H87" s="20" t="s">
        <v>474</v>
      </c>
      <c r="I87" s="33" t="s">
        <v>483</v>
      </c>
      <c r="J87" s="49" t="s">
        <v>484</v>
      </c>
      <c r="K87" s="46" t="s">
        <v>485</v>
      </c>
      <c r="L87" s="29" t="s">
        <v>490</v>
      </c>
      <c r="M87" s="16" t="s">
        <v>41</v>
      </c>
      <c r="N87" s="16" t="s">
        <v>458</v>
      </c>
      <c r="O87" s="16"/>
      <c r="P87" s="16" t="s">
        <v>43</v>
      </c>
      <c r="Q87" s="24" t="s">
        <v>17</v>
      </c>
      <c r="R87" s="22" t="s">
        <v>44</v>
      </c>
      <c r="S87" s="49" t="s">
        <v>68</v>
      </c>
      <c r="T87" s="57" t="s">
        <v>487</v>
      </c>
      <c r="U87" s="57" t="s">
        <v>488</v>
      </c>
      <c r="V87" s="47" t="s">
        <v>47</v>
      </c>
      <c r="W87" s="28" t="s">
        <v>461</v>
      </c>
      <c r="X87" s="16">
        <v>1</v>
      </c>
      <c r="Y87" s="29">
        <v>1</v>
      </c>
      <c r="Z87" s="18" t="s">
        <v>49</v>
      </c>
      <c r="AA87" s="18" t="s">
        <v>50</v>
      </c>
      <c r="AB87" s="17">
        <v>2020</v>
      </c>
      <c r="AC87" s="16" t="s">
        <v>51</v>
      </c>
      <c r="AD87" s="30"/>
      <c r="AE87" s="44"/>
      <c r="AF87" s="37"/>
      <c r="AG87" s="34"/>
    </row>
    <row r="88" spans="1:33" ht="33" customHeight="1" x14ac:dyDescent="0.4">
      <c r="A88" s="15" t="s">
        <v>451</v>
      </c>
      <c r="B88" s="49">
        <v>5</v>
      </c>
      <c r="C88" s="17">
        <v>86</v>
      </c>
      <c r="D88" s="18" t="s">
        <v>491</v>
      </c>
      <c r="E88" s="46">
        <v>805825</v>
      </c>
      <c r="F88" s="46"/>
      <c r="G88" s="20" t="s">
        <v>36</v>
      </c>
      <c r="H88" s="20" t="s">
        <v>492</v>
      </c>
      <c r="I88" s="33" t="s">
        <v>493</v>
      </c>
      <c r="J88" s="49" t="s">
        <v>494</v>
      </c>
      <c r="K88" s="46" t="s">
        <v>495</v>
      </c>
      <c r="L88" s="29" t="s">
        <v>496</v>
      </c>
      <c r="M88" s="16" t="s">
        <v>41</v>
      </c>
      <c r="N88" s="16" t="s">
        <v>458</v>
      </c>
      <c r="O88" s="16"/>
      <c r="P88" s="16" t="s">
        <v>43</v>
      </c>
      <c r="Q88" s="24" t="s">
        <v>17</v>
      </c>
      <c r="R88" s="22" t="s">
        <v>44</v>
      </c>
      <c r="S88" s="49" t="s">
        <v>68</v>
      </c>
      <c r="T88" s="57" t="s">
        <v>470</v>
      </c>
      <c r="U88" s="57" t="s">
        <v>497</v>
      </c>
      <c r="V88" s="47" t="s">
        <v>47</v>
      </c>
      <c r="W88" s="28" t="s">
        <v>461</v>
      </c>
      <c r="X88" s="16">
        <v>1</v>
      </c>
      <c r="Y88" s="29">
        <v>1</v>
      </c>
      <c r="Z88" s="18" t="s">
        <v>49</v>
      </c>
      <c r="AA88" s="18" t="s">
        <v>50</v>
      </c>
      <c r="AB88" s="17">
        <v>2020</v>
      </c>
      <c r="AC88" s="16" t="s">
        <v>51</v>
      </c>
      <c r="AD88" s="30"/>
      <c r="AE88" s="44"/>
      <c r="AF88" s="35" t="s">
        <v>498</v>
      </c>
      <c r="AG88" s="34" t="s">
        <v>87</v>
      </c>
    </row>
    <row r="89" spans="1:33" ht="25.5" customHeight="1" x14ac:dyDescent="0.4">
      <c r="A89" s="15" t="s">
        <v>451</v>
      </c>
      <c r="B89" s="49">
        <v>5</v>
      </c>
      <c r="C89" s="17">
        <v>87</v>
      </c>
      <c r="D89" s="18" t="s">
        <v>499</v>
      </c>
      <c r="E89" s="46">
        <v>805825</v>
      </c>
      <c r="F89" s="59"/>
      <c r="G89" s="20" t="s">
        <v>36</v>
      </c>
      <c r="H89" s="20" t="s">
        <v>492</v>
      </c>
      <c r="I89" s="33" t="s">
        <v>493</v>
      </c>
      <c r="J89" s="49" t="s">
        <v>494</v>
      </c>
      <c r="K89" s="46" t="s">
        <v>495</v>
      </c>
      <c r="L89" s="29" t="s">
        <v>500</v>
      </c>
      <c r="M89" s="16" t="s">
        <v>41</v>
      </c>
      <c r="N89" s="16" t="s">
        <v>458</v>
      </c>
      <c r="O89" s="16"/>
      <c r="P89" s="16" t="s">
        <v>43</v>
      </c>
      <c r="Q89" s="24" t="s">
        <v>17</v>
      </c>
      <c r="R89" s="22" t="s">
        <v>44</v>
      </c>
      <c r="S89" s="49" t="s">
        <v>68</v>
      </c>
      <c r="T89" s="57" t="s">
        <v>470</v>
      </c>
      <c r="U89" s="57" t="s">
        <v>497</v>
      </c>
      <c r="V89" s="47" t="s">
        <v>47</v>
      </c>
      <c r="W89" s="28" t="s">
        <v>461</v>
      </c>
      <c r="X89" s="16">
        <v>1</v>
      </c>
      <c r="Y89" s="29">
        <v>1</v>
      </c>
      <c r="Z89" s="18" t="s">
        <v>49</v>
      </c>
      <c r="AA89" s="18" t="s">
        <v>50</v>
      </c>
      <c r="AB89" s="17">
        <v>2020</v>
      </c>
      <c r="AC89" s="16" t="s">
        <v>51</v>
      </c>
      <c r="AD89" s="30"/>
      <c r="AE89" s="44"/>
      <c r="AF89" s="37"/>
      <c r="AG89" s="34"/>
    </row>
    <row r="90" spans="1:33" x14ac:dyDescent="0.4">
      <c r="A90" s="15" t="s">
        <v>451</v>
      </c>
      <c r="B90" s="46">
        <v>6</v>
      </c>
      <c r="C90" s="17">
        <v>88</v>
      </c>
      <c r="D90" s="18" t="s">
        <v>501</v>
      </c>
      <c r="E90" s="46">
        <v>805826</v>
      </c>
      <c r="F90" s="60"/>
      <c r="G90" s="20" t="s">
        <v>36</v>
      </c>
      <c r="H90" s="63" t="s">
        <v>502</v>
      </c>
      <c r="I90" s="64" t="s">
        <v>503</v>
      </c>
      <c r="J90" s="47" t="s">
        <v>504</v>
      </c>
      <c r="K90" s="65" t="s">
        <v>505</v>
      </c>
      <c r="L90" s="29" t="s">
        <v>506</v>
      </c>
      <c r="M90" s="16" t="s">
        <v>41</v>
      </c>
      <c r="N90" s="16" t="s">
        <v>458</v>
      </c>
      <c r="O90" s="16"/>
      <c r="P90" s="16" t="s">
        <v>43</v>
      </c>
      <c r="Q90" s="24" t="s">
        <v>17</v>
      </c>
      <c r="R90" s="22" t="s">
        <v>44</v>
      </c>
      <c r="S90" s="49" t="s">
        <v>68</v>
      </c>
      <c r="T90" s="57" t="s">
        <v>507</v>
      </c>
      <c r="U90" s="57" t="s">
        <v>508</v>
      </c>
      <c r="V90" s="47" t="s">
        <v>47</v>
      </c>
      <c r="W90" s="28" t="s">
        <v>461</v>
      </c>
      <c r="X90" s="16">
        <v>1</v>
      </c>
      <c r="Y90" s="29">
        <v>1</v>
      </c>
      <c r="Z90" s="18" t="s">
        <v>49</v>
      </c>
      <c r="AA90" s="18" t="s">
        <v>50</v>
      </c>
      <c r="AB90" s="17">
        <v>2020</v>
      </c>
      <c r="AC90" s="16" t="s">
        <v>51</v>
      </c>
      <c r="AD90" s="30"/>
      <c r="AE90" s="66"/>
      <c r="AF90" s="35" t="s">
        <v>498</v>
      </c>
      <c r="AG90" s="34" t="s">
        <v>87</v>
      </c>
    </row>
    <row r="91" spans="1:33" x14ac:dyDescent="0.4">
      <c r="A91" s="15" t="s">
        <v>451</v>
      </c>
      <c r="B91" s="46">
        <v>6</v>
      </c>
      <c r="C91" s="17">
        <v>89</v>
      </c>
      <c r="D91" s="18" t="s">
        <v>509</v>
      </c>
      <c r="E91" s="46">
        <v>805826</v>
      </c>
      <c r="F91" s="67"/>
      <c r="G91" s="20" t="s">
        <v>36</v>
      </c>
      <c r="H91" s="63" t="s">
        <v>502</v>
      </c>
      <c r="I91" s="64" t="s">
        <v>503</v>
      </c>
      <c r="J91" s="47"/>
      <c r="K91" s="68"/>
      <c r="L91" s="29" t="s">
        <v>510</v>
      </c>
      <c r="M91" s="16" t="s">
        <v>41</v>
      </c>
      <c r="N91" s="16" t="s">
        <v>458</v>
      </c>
      <c r="O91" s="16"/>
      <c r="P91" s="16" t="s">
        <v>43</v>
      </c>
      <c r="Q91" s="24" t="s">
        <v>17</v>
      </c>
      <c r="R91" s="22" t="s">
        <v>44</v>
      </c>
      <c r="S91" s="49" t="s">
        <v>68</v>
      </c>
      <c r="T91" s="57" t="s">
        <v>507</v>
      </c>
      <c r="U91" s="57" t="s">
        <v>508</v>
      </c>
      <c r="V91" s="47" t="s">
        <v>47</v>
      </c>
      <c r="W91" s="28" t="s">
        <v>461</v>
      </c>
      <c r="X91" s="16">
        <v>1</v>
      </c>
      <c r="Y91" s="29">
        <v>1</v>
      </c>
      <c r="Z91" s="18" t="s">
        <v>49</v>
      </c>
      <c r="AA91" s="18" t="s">
        <v>50</v>
      </c>
      <c r="AB91" s="17">
        <v>2020</v>
      </c>
      <c r="AC91" s="16" t="s">
        <v>51</v>
      </c>
      <c r="AD91" s="30"/>
      <c r="AE91" s="66"/>
      <c r="AF91" s="37"/>
      <c r="AG91" s="34"/>
    </row>
    <row r="92" spans="1:33" ht="31.5" customHeight="1" x14ac:dyDescent="0.4">
      <c r="A92" s="15" t="s">
        <v>451</v>
      </c>
      <c r="B92" s="69">
        <v>7</v>
      </c>
      <c r="C92" s="18">
        <v>90</v>
      </c>
      <c r="D92" s="41"/>
      <c r="E92" s="46">
        <v>839059</v>
      </c>
      <c r="F92" s="46"/>
      <c r="G92" s="20" t="s">
        <v>36</v>
      </c>
      <c r="H92" s="20" t="s">
        <v>492</v>
      </c>
      <c r="I92" s="33" t="s">
        <v>511</v>
      </c>
      <c r="J92" s="49" t="s">
        <v>512</v>
      </c>
      <c r="K92" s="46" t="s">
        <v>513</v>
      </c>
      <c r="L92" s="29" t="s">
        <v>514</v>
      </c>
      <c r="M92" s="16" t="s">
        <v>41</v>
      </c>
      <c r="N92" s="16" t="s">
        <v>515</v>
      </c>
      <c r="O92" s="16"/>
      <c r="P92" s="16" t="s">
        <v>43</v>
      </c>
      <c r="Q92" s="24" t="s">
        <v>116</v>
      </c>
      <c r="R92" s="22" t="s">
        <v>44</v>
      </c>
      <c r="S92" s="49" t="s">
        <v>45</v>
      </c>
      <c r="T92" s="57" t="s">
        <v>516</v>
      </c>
      <c r="U92" s="57" t="s">
        <v>517</v>
      </c>
      <c r="V92" s="47" t="s">
        <v>47</v>
      </c>
      <c r="W92" s="28" t="s">
        <v>461</v>
      </c>
      <c r="X92" s="16">
        <v>1</v>
      </c>
      <c r="Y92" s="29">
        <v>1</v>
      </c>
      <c r="Z92" s="18" t="s">
        <v>49</v>
      </c>
      <c r="AA92" s="18" t="s">
        <v>50</v>
      </c>
      <c r="AB92" s="17">
        <v>2020</v>
      </c>
      <c r="AC92" s="16" t="s">
        <v>51</v>
      </c>
      <c r="AD92" s="30"/>
      <c r="AE92" s="44"/>
      <c r="AF92" s="35" t="s">
        <v>53</v>
      </c>
      <c r="AG92" s="34" t="s">
        <v>87</v>
      </c>
    </row>
    <row r="93" spans="1:33" ht="28.5" customHeight="1" x14ac:dyDescent="0.4">
      <c r="A93" s="15" t="s">
        <v>451</v>
      </c>
      <c r="B93" s="69">
        <v>7</v>
      </c>
      <c r="C93" s="17">
        <v>91</v>
      </c>
      <c r="D93" s="18" t="s">
        <v>518</v>
      </c>
      <c r="E93" s="46">
        <v>839059</v>
      </c>
      <c r="F93" s="59"/>
      <c r="G93" s="20" t="s">
        <v>36</v>
      </c>
      <c r="H93" s="20" t="s">
        <v>492</v>
      </c>
      <c r="I93" s="33" t="s">
        <v>511</v>
      </c>
      <c r="J93" s="49" t="s">
        <v>512</v>
      </c>
      <c r="K93" s="46" t="s">
        <v>513</v>
      </c>
      <c r="L93" s="29" t="s">
        <v>519</v>
      </c>
      <c r="M93" s="16" t="s">
        <v>41</v>
      </c>
      <c r="N93" s="16" t="s">
        <v>458</v>
      </c>
      <c r="O93" s="16"/>
      <c r="P93" s="16" t="s">
        <v>43</v>
      </c>
      <c r="Q93" s="24" t="s">
        <v>17</v>
      </c>
      <c r="R93" s="22" t="s">
        <v>44</v>
      </c>
      <c r="S93" s="49" t="s">
        <v>68</v>
      </c>
      <c r="T93" s="57" t="s">
        <v>516</v>
      </c>
      <c r="U93" s="57" t="s">
        <v>517</v>
      </c>
      <c r="V93" s="47" t="s">
        <v>47</v>
      </c>
      <c r="W93" s="28" t="s">
        <v>461</v>
      </c>
      <c r="X93" s="16">
        <v>1</v>
      </c>
      <c r="Y93" s="29">
        <v>1</v>
      </c>
      <c r="Z93" s="18" t="s">
        <v>49</v>
      </c>
      <c r="AA93" s="18" t="s">
        <v>50</v>
      </c>
      <c r="AB93" s="17">
        <v>2020</v>
      </c>
      <c r="AC93" s="16" t="s">
        <v>51</v>
      </c>
      <c r="AD93" s="30"/>
      <c r="AE93" s="44"/>
      <c r="AF93" s="37"/>
      <c r="AG93" s="34"/>
    </row>
    <row r="94" spans="1:33" ht="26.25" customHeight="1" x14ac:dyDescent="0.4">
      <c r="A94" s="15" t="s">
        <v>451</v>
      </c>
      <c r="B94" s="69">
        <v>8</v>
      </c>
      <c r="C94" s="18">
        <v>92</v>
      </c>
      <c r="D94" s="18"/>
      <c r="E94" s="46">
        <v>805827</v>
      </c>
      <c r="F94" s="46"/>
      <c r="G94" s="20" t="s">
        <v>36</v>
      </c>
      <c r="H94" s="20" t="s">
        <v>520</v>
      </c>
      <c r="I94" s="33" t="s">
        <v>521</v>
      </c>
      <c r="J94" s="49" t="s">
        <v>522</v>
      </c>
      <c r="K94" s="46" t="s">
        <v>523</v>
      </c>
      <c r="L94" s="29" t="s">
        <v>524</v>
      </c>
      <c r="M94" s="16" t="s">
        <v>41</v>
      </c>
      <c r="N94" s="16" t="s">
        <v>515</v>
      </c>
      <c r="O94" s="16"/>
      <c r="P94" s="16" t="s">
        <v>43</v>
      </c>
      <c r="Q94" s="24" t="s">
        <v>116</v>
      </c>
      <c r="R94" s="22" t="s">
        <v>44</v>
      </c>
      <c r="S94" s="49" t="s">
        <v>45</v>
      </c>
      <c r="T94" s="57" t="s">
        <v>525</v>
      </c>
      <c r="U94" s="57" t="s">
        <v>526</v>
      </c>
      <c r="V94" s="47" t="s">
        <v>47</v>
      </c>
      <c r="W94" s="28" t="s">
        <v>461</v>
      </c>
      <c r="X94" s="28"/>
      <c r="Y94" s="29">
        <v>1</v>
      </c>
      <c r="Z94" s="18" t="s">
        <v>49</v>
      </c>
      <c r="AA94" s="18" t="s">
        <v>50</v>
      </c>
      <c r="AB94" s="17">
        <v>2020</v>
      </c>
      <c r="AC94" s="16" t="s">
        <v>51</v>
      </c>
      <c r="AD94" s="30" t="s">
        <v>527</v>
      </c>
      <c r="AE94" s="44"/>
      <c r="AF94" s="35" t="s">
        <v>53</v>
      </c>
      <c r="AG94" s="34" t="s">
        <v>87</v>
      </c>
    </row>
    <row r="95" spans="1:33" x14ac:dyDescent="0.4">
      <c r="A95" s="15" t="s">
        <v>451</v>
      </c>
      <c r="B95" s="69">
        <v>8</v>
      </c>
      <c r="C95" s="18">
        <v>93</v>
      </c>
      <c r="D95" s="41"/>
      <c r="E95" s="46">
        <v>805827</v>
      </c>
      <c r="F95" s="59"/>
      <c r="G95" s="20" t="s">
        <v>36</v>
      </c>
      <c r="H95" s="20" t="s">
        <v>520</v>
      </c>
      <c r="I95" s="33" t="s">
        <v>521</v>
      </c>
      <c r="J95" s="49" t="s">
        <v>522</v>
      </c>
      <c r="K95" s="46" t="s">
        <v>523</v>
      </c>
      <c r="L95" s="29" t="s">
        <v>528</v>
      </c>
      <c r="M95" s="16" t="s">
        <v>41</v>
      </c>
      <c r="N95" s="16" t="s">
        <v>458</v>
      </c>
      <c r="O95" s="16"/>
      <c r="P95" s="16" t="s">
        <v>43</v>
      </c>
      <c r="Q95" s="24" t="s">
        <v>116</v>
      </c>
      <c r="R95" s="22" t="s">
        <v>44</v>
      </c>
      <c r="S95" s="49" t="s">
        <v>68</v>
      </c>
      <c r="T95" s="57" t="s">
        <v>525</v>
      </c>
      <c r="U95" s="57" t="s">
        <v>526</v>
      </c>
      <c r="V95" s="47" t="s">
        <v>47</v>
      </c>
      <c r="W95" s="28" t="s">
        <v>461</v>
      </c>
      <c r="X95" s="28"/>
      <c r="Y95" s="29">
        <v>1</v>
      </c>
      <c r="Z95" s="18" t="s">
        <v>49</v>
      </c>
      <c r="AA95" s="18" t="s">
        <v>50</v>
      </c>
      <c r="AB95" s="17">
        <v>2020</v>
      </c>
      <c r="AC95" s="16" t="s">
        <v>51</v>
      </c>
      <c r="AD95" s="30"/>
      <c r="AE95" s="44"/>
      <c r="AF95" s="37"/>
      <c r="AG95" s="34"/>
    </row>
    <row r="96" spans="1:33" x14ac:dyDescent="0.4">
      <c r="A96" s="15" t="s">
        <v>451</v>
      </c>
      <c r="B96" s="69">
        <v>9</v>
      </c>
      <c r="C96" s="17">
        <v>94</v>
      </c>
      <c r="D96" s="18" t="s">
        <v>529</v>
      </c>
      <c r="E96" s="46">
        <v>805828</v>
      </c>
      <c r="F96" s="46"/>
      <c r="G96" s="20" t="s">
        <v>36</v>
      </c>
      <c r="H96" s="20" t="s">
        <v>530</v>
      </c>
      <c r="I96" s="33" t="s">
        <v>531</v>
      </c>
      <c r="J96" s="49" t="s">
        <v>532</v>
      </c>
      <c r="K96" s="46" t="s">
        <v>533</v>
      </c>
      <c r="L96" s="29" t="s">
        <v>534</v>
      </c>
      <c r="M96" s="16" t="s">
        <v>41</v>
      </c>
      <c r="N96" s="16" t="s">
        <v>515</v>
      </c>
      <c r="O96" s="16"/>
      <c r="P96" s="16" t="s">
        <v>43</v>
      </c>
      <c r="Q96" s="24" t="s">
        <v>17</v>
      </c>
      <c r="R96" s="22" t="s">
        <v>44</v>
      </c>
      <c r="S96" s="49" t="s">
        <v>45</v>
      </c>
      <c r="T96" s="57" t="s">
        <v>535</v>
      </c>
      <c r="U96" s="57" t="s">
        <v>536</v>
      </c>
      <c r="V96" s="47" t="s">
        <v>47</v>
      </c>
      <c r="W96" s="28" t="s">
        <v>461</v>
      </c>
      <c r="X96" s="16">
        <v>1</v>
      </c>
      <c r="Y96" s="29">
        <v>1</v>
      </c>
      <c r="Z96" s="18" t="s">
        <v>49</v>
      </c>
      <c r="AA96" s="18" t="s">
        <v>50</v>
      </c>
      <c r="AB96" s="17">
        <v>2020</v>
      </c>
      <c r="AC96" s="16" t="s">
        <v>51</v>
      </c>
      <c r="AD96" s="30" t="s">
        <v>86</v>
      </c>
      <c r="AE96" s="44"/>
      <c r="AF96" s="35" t="s">
        <v>97</v>
      </c>
      <c r="AG96" s="34" t="s">
        <v>98</v>
      </c>
    </row>
    <row r="97" spans="1:33" x14ac:dyDescent="0.4">
      <c r="A97" s="15" t="s">
        <v>451</v>
      </c>
      <c r="B97" s="69">
        <v>9</v>
      </c>
      <c r="C97" s="17">
        <v>95</v>
      </c>
      <c r="D97" s="18" t="s">
        <v>537</v>
      </c>
      <c r="E97" s="46">
        <v>805828</v>
      </c>
      <c r="F97" s="59"/>
      <c r="G97" s="20" t="s">
        <v>36</v>
      </c>
      <c r="H97" s="20" t="s">
        <v>530</v>
      </c>
      <c r="I97" s="33" t="s">
        <v>531</v>
      </c>
      <c r="J97" s="49" t="s">
        <v>532</v>
      </c>
      <c r="K97" s="46" t="s">
        <v>533</v>
      </c>
      <c r="L97" s="29" t="s">
        <v>538</v>
      </c>
      <c r="M97" s="16" t="s">
        <v>41</v>
      </c>
      <c r="N97" s="16" t="s">
        <v>458</v>
      </c>
      <c r="O97" s="16"/>
      <c r="P97" s="16" t="s">
        <v>43</v>
      </c>
      <c r="Q97" s="24" t="s">
        <v>17</v>
      </c>
      <c r="R97" s="22" t="s">
        <v>44</v>
      </c>
      <c r="S97" s="49" t="s">
        <v>68</v>
      </c>
      <c r="T97" s="57" t="s">
        <v>535</v>
      </c>
      <c r="U97" s="57" t="s">
        <v>536</v>
      </c>
      <c r="V97" s="47" t="s">
        <v>47</v>
      </c>
      <c r="W97" s="28" t="s">
        <v>461</v>
      </c>
      <c r="X97" s="16">
        <v>1</v>
      </c>
      <c r="Y97" s="29">
        <v>1</v>
      </c>
      <c r="Z97" s="18" t="s">
        <v>49</v>
      </c>
      <c r="AA97" s="18" t="s">
        <v>50</v>
      </c>
      <c r="AB97" s="17">
        <v>2020</v>
      </c>
      <c r="AC97" s="16" t="s">
        <v>51</v>
      </c>
      <c r="AD97" s="30"/>
      <c r="AE97" s="44"/>
      <c r="AF97" s="39"/>
      <c r="AG97" s="34"/>
    </row>
    <row r="98" spans="1:33" x14ac:dyDescent="0.4">
      <c r="A98" s="15" t="s">
        <v>451</v>
      </c>
      <c r="B98" s="69">
        <v>9</v>
      </c>
      <c r="C98" s="17">
        <v>96</v>
      </c>
      <c r="D98" s="18" t="s">
        <v>539</v>
      </c>
      <c r="E98" s="46">
        <v>805828</v>
      </c>
      <c r="F98" s="59"/>
      <c r="G98" s="20" t="s">
        <v>36</v>
      </c>
      <c r="H98" s="20" t="s">
        <v>530</v>
      </c>
      <c r="I98" s="33" t="s">
        <v>531</v>
      </c>
      <c r="J98" s="49" t="s">
        <v>532</v>
      </c>
      <c r="K98" s="46" t="s">
        <v>533</v>
      </c>
      <c r="L98" s="29" t="s">
        <v>540</v>
      </c>
      <c r="M98" s="16" t="s">
        <v>41</v>
      </c>
      <c r="N98" s="16" t="s">
        <v>458</v>
      </c>
      <c r="O98" s="16"/>
      <c r="P98" s="16" t="s">
        <v>43</v>
      </c>
      <c r="Q98" s="24" t="s">
        <v>17</v>
      </c>
      <c r="R98" s="22" t="s">
        <v>44</v>
      </c>
      <c r="S98" s="49" t="s">
        <v>68</v>
      </c>
      <c r="T98" s="57" t="s">
        <v>535</v>
      </c>
      <c r="U98" s="57" t="s">
        <v>536</v>
      </c>
      <c r="V98" s="47" t="s">
        <v>47</v>
      </c>
      <c r="W98" s="28" t="s">
        <v>461</v>
      </c>
      <c r="X98" s="16">
        <v>1</v>
      </c>
      <c r="Y98" s="29">
        <v>1</v>
      </c>
      <c r="Z98" s="18" t="s">
        <v>49</v>
      </c>
      <c r="AA98" s="18" t="s">
        <v>50</v>
      </c>
      <c r="AB98" s="17">
        <v>2020</v>
      </c>
      <c r="AC98" s="16" t="s">
        <v>51</v>
      </c>
      <c r="AD98" s="30"/>
      <c r="AE98" s="44"/>
      <c r="AF98" s="37"/>
      <c r="AG98" s="34"/>
    </row>
    <row r="99" spans="1:33" x14ac:dyDescent="0.4">
      <c r="A99" s="15" t="s">
        <v>451</v>
      </c>
      <c r="B99" s="69">
        <v>10</v>
      </c>
      <c r="C99" s="17">
        <v>97</v>
      </c>
      <c r="D99" s="18" t="s">
        <v>541</v>
      </c>
      <c r="E99" s="46">
        <v>805829</v>
      </c>
      <c r="F99" s="60"/>
      <c r="G99" s="70" t="s">
        <v>542</v>
      </c>
      <c r="H99" s="63" t="s">
        <v>543</v>
      </c>
      <c r="I99" s="64" t="s">
        <v>544</v>
      </c>
      <c r="J99" s="49" t="s">
        <v>545</v>
      </c>
      <c r="K99" s="46" t="s">
        <v>546</v>
      </c>
      <c r="L99" s="29" t="s">
        <v>547</v>
      </c>
      <c r="M99" s="16" t="s">
        <v>41</v>
      </c>
      <c r="N99" s="16" t="s">
        <v>515</v>
      </c>
      <c r="O99" s="16"/>
      <c r="P99" s="16" t="s">
        <v>43</v>
      </c>
      <c r="Q99" s="24" t="s">
        <v>17</v>
      </c>
      <c r="R99" s="22" t="s">
        <v>44</v>
      </c>
      <c r="S99" s="49" t="s">
        <v>45</v>
      </c>
      <c r="T99" s="57" t="s">
        <v>548</v>
      </c>
      <c r="U99" s="57" t="s">
        <v>549</v>
      </c>
      <c r="V99" s="47" t="s">
        <v>47</v>
      </c>
      <c r="W99" s="28" t="s">
        <v>461</v>
      </c>
      <c r="X99" s="28"/>
      <c r="Y99" s="29">
        <v>1</v>
      </c>
      <c r="Z99" s="18" t="s">
        <v>49</v>
      </c>
      <c r="AA99" s="18" t="s">
        <v>50</v>
      </c>
      <c r="AB99" s="17">
        <v>2020</v>
      </c>
      <c r="AC99" s="16" t="s">
        <v>51</v>
      </c>
      <c r="AD99" s="30"/>
      <c r="AE99" s="66"/>
      <c r="AF99" s="35" t="s">
        <v>97</v>
      </c>
      <c r="AG99" s="34" t="s">
        <v>98</v>
      </c>
    </row>
    <row r="100" spans="1:33" ht="26.25" customHeight="1" x14ac:dyDescent="0.4">
      <c r="A100" s="15" t="s">
        <v>451</v>
      </c>
      <c r="B100" s="69">
        <v>10</v>
      </c>
      <c r="C100" s="17">
        <v>98</v>
      </c>
      <c r="D100" s="18" t="s">
        <v>550</v>
      </c>
      <c r="E100" s="46">
        <v>805829</v>
      </c>
      <c r="F100" s="67"/>
      <c r="G100" s="70" t="s">
        <v>542</v>
      </c>
      <c r="H100" s="20" t="s">
        <v>543</v>
      </c>
      <c r="I100" s="64" t="s">
        <v>544</v>
      </c>
      <c r="J100" s="49" t="s">
        <v>545</v>
      </c>
      <c r="K100" s="46" t="s">
        <v>546</v>
      </c>
      <c r="L100" s="29" t="s">
        <v>551</v>
      </c>
      <c r="M100" s="16" t="s">
        <v>41</v>
      </c>
      <c r="N100" s="16" t="s">
        <v>458</v>
      </c>
      <c r="O100" s="16"/>
      <c r="P100" s="16" t="s">
        <v>43</v>
      </c>
      <c r="Q100" s="24" t="s">
        <v>17</v>
      </c>
      <c r="R100" s="22" t="s">
        <v>44</v>
      </c>
      <c r="S100" s="49" t="s">
        <v>68</v>
      </c>
      <c r="T100" s="57" t="s">
        <v>548</v>
      </c>
      <c r="U100" s="57" t="s">
        <v>549</v>
      </c>
      <c r="V100" s="47" t="s">
        <v>47</v>
      </c>
      <c r="W100" s="24" t="s">
        <v>461</v>
      </c>
      <c r="X100" s="24"/>
      <c r="Y100" s="29">
        <v>1</v>
      </c>
      <c r="Z100" s="18" t="s">
        <v>49</v>
      </c>
      <c r="AA100" s="18" t="s">
        <v>50</v>
      </c>
      <c r="AB100" s="17">
        <v>2020</v>
      </c>
      <c r="AC100" s="16" t="s">
        <v>51</v>
      </c>
      <c r="AD100" s="30"/>
      <c r="AE100" s="66"/>
      <c r="AF100" s="39"/>
      <c r="AG100" s="34"/>
    </row>
    <row r="101" spans="1:33" ht="26.25" customHeight="1" x14ac:dyDescent="0.4">
      <c r="A101" s="15" t="s">
        <v>451</v>
      </c>
      <c r="B101" s="69">
        <v>10</v>
      </c>
      <c r="C101" s="17">
        <v>99</v>
      </c>
      <c r="D101" s="18" t="s">
        <v>552</v>
      </c>
      <c r="E101" s="46">
        <v>805829</v>
      </c>
      <c r="F101" s="71"/>
      <c r="G101" s="70" t="s">
        <v>542</v>
      </c>
      <c r="H101" s="20" t="s">
        <v>543</v>
      </c>
      <c r="I101" s="64" t="s">
        <v>544</v>
      </c>
      <c r="J101" s="49" t="s">
        <v>545</v>
      </c>
      <c r="K101" s="46" t="s">
        <v>546</v>
      </c>
      <c r="L101" s="29" t="s">
        <v>553</v>
      </c>
      <c r="M101" s="16" t="s">
        <v>41</v>
      </c>
      <c r="N101" s="16" t="s">
        <v>458</v>
      </c>
      <c r="O101" s="16"/>
      <c r="P101" s="16" t="s">
        <v>43</v>
      </c>
      <c r="Q101" s="24" t="s">
        <v>17</v>
      </c>
      <c r="R101" s="22" t="s">
        <v>44</v>
      </c>
      <c r="S101" s="49" t="s">
        <v>68</v>
      </c>
      <c r="T101" s="57" t="s">
        <v>548</v>
      </c>
      <c r="U101" s="57" t="s">
        <v>549</v>
      </c>
      <c r="V101" s="47" t="s">
        <v>47</v>
      </c>
      <c r="W101" s="28" t="s">
        <v>461</v>
      </c>
      <c r="X101" s="28"/>
      <c r="Y101" s="29">
        <v>1</v>
      </c>
      <c r="Z101" s="18" t="s">
        <v>49</v>
      </c>
      <c r="AA101" s="18" t="s">
        <v>50</v>
      </c>
      <c r="AB101" s="17">
        <v>2020</v>
      </c>
      <c r="AC101" s="16" t="s">
        <v>51</v>
      </c>
      <c r="AD101" s="30"/>
      <c r="AE101" s="66"/>
      <c r="AF101" s="37"/>
      <c r="AG101" s="34"/>
    </row>
    <row r="102" spans="1:33" ht="26.25" customHeight="1" x14ac:dyDescent="0.4">
      <c r="A102" s="15" t="s">
        <v>451</v>
      </c>
      <c r="B102" s="69">
        <v>11</v>
      </c>
      <c r="C102" s="18">
        <v>100</v>
      </c>
      <c r="D102" s="18" t="s">
        <v>554</v>
      </c>
      <c r="E102" s="46">
        <v>805830</v>
      </c>
      <c r="F102" s="46"/>
      <c r="G102" s="25" t="s">
        <v>542</v>
      </c>
      <c r="H102" s="20" t="s">
        <v>543</v>
      </c>
      <c r="I102" s="33" t="s">
        <v>555</v>
      </c>
      <c r="J102" s="49" t="s">
        <v>556</v>
      </c>
      <c r="K102" s="46" t="s">
        <v>557</v>
      </c>
      <c r="L102" s="29" t="s">
        <v>558</v>
      </c>
      <c r="M102" s="16" t="s">
        <v>41</v>
      </c>
      <c r="N102" s="16" t="s">
        <v>515</v>
      </c>
      <c r="O102" s="16"/>
      <c r="P102" s="16" t="s">
        <v>43</v>
      </c>
      <c r="Q102" s="24" t="s">
        <v>17</v>
      </c>
      <c r="R102" s="22" t="s">
        <v>44</v>
      </c>
      <c r="S102" s="49" t="s">
        <v>45</v>
      </c>
      <c r="T102" s="57" t="s">
        <v>559</v>
      </c>
      <c r="U102" s="57" t="s">
        <v>560</v>
      </c>
      <c r="V102" s="47" t="s">
        <v>47</v>
      </c>
      <c r="W102" s="28" t="s">
        <v>461</v>
      </c>
      <c r="X102" s="28"/>
      <c r="Y102" s="29">
        <v>1</v>
      </c>
      <c r="Z102" s="18" t="s">
        <v>49</v>
      </c>
      <c r="AA102" s="18" t="s">
        <v>50</v>
      </c>
      <c r="AB102" s="17">
        <v>2020</v>
      </c>
      <c r="AC102" s="16" t="s">
        <v>51</v>
      </c>
      <c r="AD102" s="30"/>
      <c r="AE102" s="44"/>
      <c r="AF102" s="35" t="s">
        <v>97</v>
      </c>
      <c r="AG102" s="34" t="s">
        <v>98</v>
      </c>
    </row>
    <row r="103" spans="1:33" ht="25.5" customHeight="1" x14ac:dyDescent="0.4">
      <c r="A103" s="15" t="s">
        <v>451</v>
      </c>
      <c r="B103" s="69">
        <v>11</v>
      </c>
      <c r="C103" s="18">
        <v>101</v>
      </c>
      <c r="D103" s="18" t="s">
        <v>561</v>
      </c>
      <c r="E103" s="46">
        <v>805830</v>
      </c>
      <c r="F103" s="59"/>
      <c r="G103" s="25" t="s">
        <v>542</v>
      </c>
      <c r="H103" s="20" t="s">
        <v>543</v>
      </c>
      <c r="I103" s="33" t="s">
        <v>555</v>
      </c>
      <c r="J103" s="49" t="s">
        <v>556</v>
      </c>
      <c r="K103" s="46" t="s">
        <v>557</v>
      </c>
      <c r="L103" s="29" t="s">
        <v>562</v>
      </c>
      <c r="M103" s="16" t="s">
        <v>41</v>
      </c>
      <c r="N103" s="16" t="s">
        <v>458</v>
      </c>
      <c r="O103" s="16"/>
      <c r="P103" s="16" t="s">
        <v>43</v>
      </c>
      <c r="Q103" s="24" t="s">
        <v>17</v>
      </c>
      <c r="R103" s="22" t="s">
        <v>44</v>
      </c>
      <c r="S103" s="49" t="s">
        <v>68</v>
      </c>
      <c r="T103" s="57" t="s">
        <v>559</v>
      </c>
      <c r="U103" s="57" t="s">
        <v>560</v>
      </c>
      <c r="V103" s="47" t="s">
        <v>47</v>
      </c>
      <c r="W103" s="28" t="s">
        <v>461</v>
      </c>
      <c r="X103" s="28"/>
      <c r="Y103" s="29">
        <v>1</v>
      </c>
      <c r="Z103" s="18" t="s">
        <v>49</v>
      </c>
      <c r="AA103" s="18" t="s">
        <v>50</v>
      </c>
      <c r="AB103" s="17">
        <v>2020</v>
      </c>
      <c r="AC103" s="16" t="s">
        <v>51</v>
      </c>
      <c r="AD103" s="30"/>
      <c r="AE103" s="44"/>
      <c r="AF103" s="39"/>
      <c r="AG103" s="34"/>
    </row>
    <row r="104" spans="1:33" ht="25.5" customHeight="1" x14ac:dyDescent="0.4">
      <c r="A104" s="15" t="s">
        <v>451</v>
      </c>
      <c r="B104" s="69">
        <v>11</v>
      </c>
      <c r="C104" s="18">
        <v>102</v>
      </c>
      <c r="D104" s="18" t="s">
        <v>563</v>
      </c>
      <c r="E104" s="46">
        <v>805830</v>
      </c>
      <c r="F104" s="48"/>
      <c r="G104" s="25" t="s">
        <v>542</v>
      </c>
      <c r="H104" s="20" t="s">
        <v>543</v>
      </c>
      <c r="I104" s="33" t="s">
        <v>555</v>
      </c>
      <c r="J104" s="49" t="s">
        <v>556</v>
      </c>
      <c r="K104" s="46" t="s">
        <v>557</v>
      </c>
      <c r="L104" s="29" t="s">
        <v>564</v>
      </c>
      <c r="M104" s="16" t="s">
        <v>41</v>
      </c>
      <c r="N104" s="16" t="s">
        <v>458</v>
      </c>
      <c r="O104" s="16"/>
      <c r="P104" s="16" t="s">
        <v>43</v>
      </c>
      <c r="Q104" s="24" t="s">
        <v>17</v>
      </c>
      <c r="R104" s="22" t="s">
        <v>44</v>
      </c>
      <c r="S104" s="49" t="s">
        <v>68</v>
      </c>
      <c r="T104" s="57" t="s">
        <v>559</v>
      </c>
      <c r="U104" s="57" t="s">
        <v>560</v>
      </c>
      <c r="V104" s="47" t="s">
        <v>47</v>
      </c>
      <c r="W104" s="28" t="s">
        <v>461</v>
      </c>
      <c r="X104" s="28"/>
      <c r="Y104" s="29">
        <v>1</v>
      </c>
      <c r="Z104" s="18" t="s">
        <v>49</v>
      </c>
      <c r="AA104" s="18" t="s">
        <v>50</v>
      </c>
      <c r="AB104" s="17">
        <v>2020</v>
      </c>
      <c r="AC104" s="16" t="s">
        <v>51</v>
      </c>
      <c r="AD104" s="30"/>
      <c r="AE104" s="44"/>
      <c r="AF104" s="37"/>
      <c r="AG104" s="34"/>
    </row>
    <row r="105" spans="1:33" ht="23.25" customHeight="1" x14ac:dyDescent="0.4">
      <c r="A105" s="15" t="s">
        <v>451</v>
      </c>
      <c r="B105" s="69">
        <v>12</v>
      </c>
      <c r="C105" s="18">
        <v>103</v>
      </c>
      <c r="D105" s="18"/>
      <c r="E105" s="46">
        <v>805831</v>
      </c>
      <c r="F105" s="46"/>
      <c r="G105" s="25" t="s">
        <v>542</v>
      </c>
      <c r="H105" s="20" t="s">
        <v>543</v>
      </c>
      <c r="I105" s="33" t="s">
        <v>565</v>
      </c>
      <c r="J105" s="49" t="s">
        <v>566</v>
      </c>
      <c r="K105" s="46" t="s">
        <v>567</v>
      </c>
      <c r="L105" s="29" t="s">
        <v>568</v>
      </c>
      <c r="M105" s="16" t="s">
        <v>41</v>
      </c>
      <c r="N105" s="16" t="s">
        <v>515</v>
      </c>
      <c r="O105" s="16"/>
      <c r="P105" s="16" t="s">
        <v>43</v>
      </c>
      <c r="Q105" s="24" t="s">
        <v>116</v>
      </c>
      <c r="R105" s="22" t="s">
        <v>44</v>
      </c>
      <c r="S105" s="49" t="s">
        <v>45</v>
      </c>
      <c r="T105" s="57" t="s">
        <v>569</v>
      </c>
      <c r="U105" s="57" t="s">
        <v>570</v>
      </c>
      <c r="V105" s="47" t="s">
        <v>47</v>
      </c>
      <c r="W105" s="28" t="s">
        <v>461</v>
      </c>
      <c r="X105" s="16">
        <v>1</v>
      </c>
      <c r="Y105" s="29">
        <v>1</v>
      </c>
      <c r="Z105" s="18" t="s">
        <v>49</v>
      </c>
      <c r="AA105" s="18" t="s">
        <v>50</v>
      </c>
      <c r="AB105" s="17">
        <v>2020</v>
      </c>
      <c r="AC105" s="16" t="s">
        <v>51</v>
      </c>
      <c r="AD105" s="30"/>
      <c r="AE105" s="44"/>
      <c r="AF105" s="35" t="s">
        <v>97</v>
      </c>
      <c r="AG105" s="34" t="s">
        <v>98</v>
      </c>
    </row>
    <row r="106" spans="1:33" ht="25.5" customHeight="1" x14ac:dyDescent="0.4">
      <c r="A106" s="15" t="s">
        <v>451</v>
      </c>
      <c r="B106" s="69">
        <v>12</v>
      </c>
      <c r="C106" s="18">
        <v>104</v>
      </c>
      <c r="D106" s="18"/>
      <c r="E106" s="46">
        <v>805831</v>
      </c>
      <c r="F106" s="59"/>
      <c r="G106" s="25" t="s">
        <v>542</v>
      </c>
      <c r="H106" s="20" t="s">
        <v>543</v>
      </c>
      <c r="I106" s="33" t="s">
        <v>565</v>
      </c>
      <c r="J106" s="49" t="s">
        <v>566</v>
      </c>
      <c r="K106" s="46" t="s">
        <v>567</v>
      </c>
      <c r="L106" s="29" t="s">
        <v>571</v>
      </c>
      <c r="M106" s="16" t="s">
        <v>41</v>
      </c>
      <c r="N106" s="16" t="s">
        <v>458</v>
      </c>
      <c r="O106" s="16"/>
      <c r="P106" s="16" t="s">
        <v>43</v>
      </c>
      <c r="Q106" s="24" t="s">
        <v>116</v>
      </c>
      <c r="R106" s="22" t="s">
        <v>44</v>
      </c>
      <c r="S106" s="49" t="s">
        <v>68</v>
      </c>
      <c r="T106" s="57" t="s">
        <v>569</v>
      </c>
      <c r="U106" s="57" t="s">
        <v>570</v>
      </c>
      <c r="V106" s="47" t="s">
        <v>47</v>
      </c>
      <c r="W106" s="28" t="s">
        <v>461</v>
      </c>
      <c r="X106" s="16">
        <v>1</v>
      </c>
      <c r="Y106" s="29">
        <v>1</v>
      </c>
      <c r="Z106" s="18" t="s">
        <v>49</v>
      </c>
      <c r="AA106" s="18" t="s">
        <v>50</v>
      </c>
      <c r="AB106" s="17">
        <v>2020</v>
      </c>
      <c r="AC106" s="16" t="s">
        <v>51</v>
      </c>
      <c r="AD106" s="30"/>
      <c r="AE106" s="44"/>
      <c r="AF106" s="39"/>
      <c r="AG106" s="34"/>
    </row>
    <row r="107" spans="1:33" ht="25.5" customHeight="1" x14ac:dyDescent="0.4">
      <c r="A107" s="15" t="s">
        <v>451</v>
      </c>
      <c r="B107" s="69">
        <v>12</v>
      </c>
      <c r="C107" s="18">
        <v>105</v>
      </c>
      <c r="D107" s="18"/>
      <c r="E107" s="46">
        <v>805831</v>
      </c>
      <c r="F107" s="48"/>
      <c r="G107" s="25" t="s">
        <v>542</v>
      </c>
      <c r="H107" s="20" t="s">
        <v>543</v>
      </c>
      <c r="I107" s="33" t="s">
        <v>565</v>
      </c>
      <c r="J107" s="49" t="s">
        <v>566</v>
      </c>
      <c r="K107" s="46" t="s">
        <v>567</v>
      </c>
      <c r="L107" s="29" t="s">
        <v>572</v>
      </c>
      <c r="M107" s="16" t="s">
        <v>41</v>
      </c>
      <c r="N107" s="16" t="s">
        <v>458</v>
      </c>
      <c r="O107" s="16"/>
      <c r="P107" s="16" t="s">
        <v>43</v>
      </c>
      <c r="Q107" s="24" t="s">
        <v>116</v>
      </c>
      <c r="R107" s="22" t="s">
        <v>44</v>
      </c>
      <c r="S107" s="49" t="s">
        <v>68</v>
      </c>
      <c r="T107" s="57" t="s">
        <v>569</v>
      </c>
      <c r="U107" s="57" t="s">
        <v>570</v>
      </c>
      <c r="V107" s="47" t="s">
        <v>47</v>
      </c>
      <c r="W107" s="28" t="s">
        <v>461</v>
      </c>
      <c r="X107" s="16">
        <v>1</v>
      </c>
      <c r="Y107" s="29">
        <v>1</v>
      </c>
      <c r="Z107" s="18" t="s">
        <v>49</v>
      </c>
      <c r="AA107" s="18" t="s">
        <v>50</v>
      </c>
      <c r="AB107" s="17">
        <v>2020</v>
      </c>
      <c r="AC107" s="16" t="s">
        <v>51</v>
      </c>
      <c r="AD107" s="30"/>
      <c r="AE107" s="44"/>
      <c r="AF107" s="37"/>
      <c r="AG107" s="34"/>
    </row>
    <row r="108" spans="1:33" x14ac:dyDescent="0.4">
      <c r="A108" s="15" t="s">
        <v>451</v>
      </c>
      <c r="B108" s="69">
        <v>13</v>
      </c>
      <c r="C108" s="17">
        <v>106</v>
      </c>
      <c r="D108" s="18" t="s">
        <v>573</v>
      </c>
      <c r="E108" s="46">
        <v>805832</v>
      </c>
      <c r="F108" s="46"/>
      <c r="G108" s="25" t="s">
        <v>542</v>
      </c>
      <c r="H108" s="20" t="s">
        <v>543</v>
      </c>
      <c r="I108" s="33" t="s">
        <v>574</v>
      </c>
      <c r="J108" s="49" t="s">
        <v>575</v>
      </c>
      <c r="K108" s="46" t="s">
        <v>576</v>
      </c>
      <c r="L108" s="29" t="s">
        <v>577</v>
      </c>
      <c r="M108" s="16" t="s">
        <v>41</v>
      </c>
      <c r="N108" s="16" t="s">
        <v>515</v>
      </c>
      <c r="O108" s="16"/>
      <c r="P108" s="16" t="s">
        <v>43</v>
      </c>
      <c r="Q108" s="24" t="s">
        <v>17</v>
      </c>
      <c r="R108" s="22" t="s">
        <v>44</v>
      </c>
      <c r="S108" s="49" t="s">
        <v>45</v>
      </c>
      <c r="T108" s="57" t="s">
        <v>578</v>
      </c>
      <c r="U108" s="57" t="s">
        <v>579</v>
      </c>
      <c r="V108" s="47" t="s">
        <v>47</v>
      </c>
      <c r="W108" s="28" t="s">
        <v>461</v>
      </c>
      <c r="X108" s="16">
        <v>1</v>
      </c>
      <c r="Y108" s="29">
        <v>1</v>
      </c>
      <c r="Z108" s="18" t="s">
        <v>49</v>
      </c>
      <c r="AA108" s="18" t="s">
        <v>50</v>
      </c>
      <c r="AB108" s="17">
        <v>2020</v>
      </c>
      <c r="AC108" s="16" t="s">
        <v>51</v>
      </c>
      <c r="AD108" s="30"/>
      <c r="AE108" s="44"/>
      <c r="AF108" s="35" t="s">
        <v>53</v>
      </c>
      <c r="AG108" s="34" t="s">
        <v>87</v>
      </c>
    </row>
    <row r="109" spans="1:33" ht="25.5" customHeight="1" x14ac:dyDescent="0.4">
      <c r="A109" s="15" t="s">
        <v>451</v>
      </c>
      <c r="B109" s="69">
        <v>13</v>
      </c>
      <c r="C109" s="17">
        <v>107</v>
      </c>
      <c r="D109" s="18" t="s">
        <v>580</v>
      </c>
      <c r="E109" s="46">
        <v>805832</v>
      </c>
      <c r="F109" s="48"/>
      <c r="G109" s="25" t="s">
        <v>542</v>
      </c>
      <c r="H109" s="20" t="s">
        <v>543</v>
      </c>
      <c r="I109" s="33" t="s">
        <v>574</v>
      </c>
      <c r="J109" s="49" t="s">
        <v>575</v>
      </c>
      <c r="K109" s="46" t="s">
        <v>576</v>
      </c>
      <c r="L109" s="29" t="s">
        <v>581</v>
      </c>
      <c r="M109" s="16" t="s">
        <v>41</v>
      </c>
      <c r="N109" s="16" t="s">
        <v>458</v>
      </c>
      <c r="O109" s="16"/>
      <c r="P109" s="16" t="s">
        <v>43</v>
      </c>
      <c r="Q109" s="24" t="s">
        <v>17</v>
      </c>
      <c r="R109" s="22" t="s">
        <v>44</v>
      </c>
      <c r="S109" s="49" t="s">
        <v>68</v>
      </c>
      <c r="T109" s="57" t="s">
        <v>578</v>
      </c>
      <c r="U109" s="57" t="s">
        <v>579</v>
      </c>
      <c r="V109" s="47" t="s">
        <v>47</v>
      </c>
      <c r="W109" s="28" t="s">
        <v>461</v>
      </c>
      <c r="X109" s="16">
        <v>1</v>
      </c>
      <c r="Y109" s="29">
        <v>1</v>
      </c>
      <c r="Z109" s="18" t="s">
        <v>49</v>
      </c>
      <c r="AA109" s="18" t="s">
        <v>50</v>
      </c>
      <c r="AB109" s="17">
        <v>2020</v>
      </c>
      <c r="AC109" s="16" t="s">
        <v>51</v>
      </c>
      <c r="AD109" s="30"/>
      <c r="AE109" s="44"/>
      <c r="AF109" s="37"/>
      <c r="AG109" s="34"/>
    </row>
    <row r="110" spans="1:33" ht="35.25" customHeight="1" x14ac:dyDescent="0.4">
      <c r="A110" s="15" t="s">
        <v>451</v>
      </c>
      <c r="B110" s="69">
        <v>14</v>
      </c>
      <c r="C110" s="18">
        <v>108</v>
      </c>
      <c r="D110" s="18"/>
      <c r="E110" s="46">
        <v>805833</v>
      </c>
      <c r="F110" s="46"/>
      <c r="G110" s="25" t="s">
        <v>542</v>
      </c>
      <c r="H110" s="20" t="s">
        <v>543</v>
      </c>
      <c r="I110" s="33" t="s">
        <v>582</v>
      </c>
      <c r="J110" s="49" t="s">
        <v>583</v>
      </c>
      <c r="K110" s="46" t="s">
        <v>584</v>
      </c>
      <c r="L110" s="29" t="s">
        <v>585</v>
      </c>
      <c r="M110" s="16" t="s">
        <v>41</v>
      </c>
      <c r="N110" s="16" t="s">
        <v>515</v>
      </c>
      <c r="O110" s="16"/>
      <c r="P110" s="16" t="s">
        <v>43</v>
      </c>
      <c r="Q110" s="24" t="s">
        <v>116</v>
      </c>
      <c r="R110" s="22" t="s">
        <v>44</v>
      </c>
      <c r="S110" s="49" t="s">
        <v>45</v>
      </c>
      <c r="T110" s="57" t="s">
        <v>586</v>
      </c>
      <c r="U110" s="57" t="s">
        <v>570</v>
      </c>
      <c r="V110" s="47" t="s">
        <v>47</v>
      </c>
      <c r="W110" s="28" t="s">
        <v>461</v>
      </c>
      <c r="X110" s="16">
        <v>1</v>
      </c>
      <c r="Y110" s="29">
        <v>1</v>
      </c>
      <c r="Z110" s="18" t="s">
        <v>49</v>
      </c>
      <c r="AA110" s="18" t="s">
        <v>50</v>
      </c>
      <c r="AB110" s="17">
        <v>2020</v>
      </c>
      <c r="AC110" s="16" t="s">
        <v>51</v>
      </c>
      <c r="AD110" s="30"/>
      <c r="AE110" s="44"/>
      <c r="AF110" s="35" t="s">
        <v>97</v>
      </c>
      <c r="AG110" s="34" t="s">
        <v>98</v>
      </c>
    </row>
    <row r="111" spans="1:33" ht="25.5" customHeight="1" x14ac:dyDescent="0.4">
      <c r="A111" s="15" t="s">
        <v>451</v>
      </c>
      <c r="B111" s="69">
        <v>14</v>
      </c>
      <c r="C111" s="18">
        <v>109</v>
      </c>
      <c r="D111" s="18"/>
      <c r="E111" s="46">
        <v>805833</v>
      </c>
      <c r="F111" s="59"/>
      <c r="G111" s="25" t="s">
        <v>542</v>
      </c>
      <c r="H111" s="20" t="s">
        <v>543</v>
      </c>
      <c r="I111" s="33" t="s">
        <v>582</v>
      </c>
      <c r="J111" s="49" t="s">
        <v>583</v>
      </c>
      <c r="K111" s="46" t="s">
        <v>584</v>
      </c>
      <c r="L111" s="29" t="s">
        <v>587</v>
      </c>
      <c r="M111" s="16" t="s">
        <v>41</v>
      </c>
      <c r="N111" s="16" t="s">
        <v>458</v>
      </c>
      <c r="O111" s="16"/>
      <c r="P111" s="16" t="s">
        <v>43</v>
      </c>
      <c r="Q111" s="24" t="s">
        <v>116</v>
      </c>
      <c r="R111" s="22" t="s">
        <v>44</v>
      </c>
      <c r="S111" s="49" t="s">
        <v>68</v>
      </c>
      <c r="T111" s="57" t="s">
        <v>586</v>
      </c>
      <c r="U111" s="57" t="s">
        <v>570</v>
      </c>
      <c r="V111" s="47" t="s">
        <v>47</v>
      </c>
      <c r="W111" s="28" t="s">
        <v>461</v>
      </c>
      <c r="X111" s="16">
        <v>1</v>
      </c>
      <c r="Y111" s="29">
        <v>1</v>
      </c>
      <c r="Z111" s="18" t="s">
        <v>49</v>
      </c>
      <c r="AA111" s="18" t="s">
        <v>50</v>
      </c>
      <c r="AB111" s="17">
        <v>2020</v>
      </c>
      <c r="AC111" s="16" t="s">
        <v>51</v>
      </c>
      <c r="AD111" s="30"/>
      <c r="AE111" s="44"/>
      <c r="AF111" s="39"/>
      <c r="AG111" s="34"/>
    </row>
    <row r="112" spans="1:33" ht="25.5" customHeight="1" x14ac:dyDescent="0.4">
      <c r="A112" s="15" t="s">
        <v>451</v>
      </c>
      <c r="B112" s="69">
        <v>14</v>
      </c>
      <c r="C112" s="18">
        <v>110</v>
      </c>
      <c r="D112" s="18"/>
      <c r="E112" s="46">
        <v>805833</v>
      </c>
      <c r="F112" s="48"/>
      <c r="G112" s="25" t="s">
        <v>542</v>
      </c>
      <c r="H112" s="20" t="s">
        <v>543</v>
      </c>
      <c r="I112" s="33" t="s">
        <v>582</v>
      </c>
      <c r="J112" s="49" t="s">
        <v>583</v>
      </c>
      <c r="K112" s="46" t="s">
        <v>584</v>
      </c>
      <c r="L112" s="29" t="s">
        <v>588</v>
      </c>
      <c r="M112" s="16" t="s">
        <v>41</v>
      </c>
      <c r="N112" s="16" t="s">
        <v>458</v>
      </c>
      <c r="O112" s="16"/>
      <c r="P112" s="16" t="s">
        <v>43</v>
      </c>
      <c r="Q112" s="24" t="s">
        <v>116</v>
      </c>
      <c r="R112" s="22" t="s">
        <v>44</v>
      </c>
      <c r="S112" s="49" t="s">
        <v>68</v>
      </c>
      <c r="T112" s="57" t="s">
        <v>586</v>
      </c>
      <c r="U112" s="57" t="s">
        <v>570</v>
      </c>
      <c r="V112" s="47" t="s">
        <v>47</v>
      </c>
      <c r="W112" s="28" t="s">
        <v>461</v>
      </c>
      <c r="X112" s="16">
        <v>1</v>
      </c>
      <c r="Y112" s="29">
        <v>1</v>
      </c>
      <c r="Z112" s="18" t="s">
        <v>49</v>
      </c>
      <c r="AA112" s="18" t="s">
        <v>50</v>
      </c>
      <c r="AB112" s="17">
        <v>2020</v>
      </c>
      <c r="AC112" s="16" t="s">
        <v>51</v>
      </c>
      <c r="AD112" s="30"/>
      <c r="AE112" s="44"/>
      <c r="AF112" s="37"/>
      <c r="AG112" s="34"/>
    </row>
    <row r="113" spans="1:33" ht="26" x14ac:dyDescent="0.4">
      <c r="A113" s="15" t="s">
        <v>451</v>
      </c>
      <c r="B113" s="69">
        <v>15</v>
      </c>
      <c r="C113" s="17">
        <v>111</v>
      </c>
      <c r="D113" s="18" t="s">
        <v>589</v>
      </c>
      <c r="E113" s="46">
        <v>805834</v>
      </c>
      <c r="F113" s="46"/>
      <c r="G113" s="25" t="s">
        <v>542</v>
      </c>
      <c r="H113" s="20" t="s">
        <v>543</v>
      </c>
      <c r="I113" s="33" t="s">
        <v>590</v>
      </c>
      <c r="J113" s="49" t="s">
        <v>591</v>
      </c>
      <c r="K113" s="46" t="s">
        <v>592</v>
      </c>
      <c r="L113" s="29" t="s">
        <v>593</v>
      </c>
      <c r="M113" s="16" t="s">
        <v>41</v>
      </c>
      <c r="N113" s="16" t="s">
        <v>515</v>
      </c>
      <c r="O113" s="16"/>
      <c r="P113" s="16" t="s">
        <v>43</v>
      </c>
      <c r="Q113" s="24" t="s">
        <v>17</v>
      </c>
      <c r="R113" s="22" t="s">
        <v>44</v>
      </c>
      <c r="S113" s="49" t="s">
        <v>45</v>
      </c>
      <c r="T113" s="57" t="s">
        <v>594</v>
      </c>
      <c r="U113" s="57" t="s">
        <v>595</v>
      </c>
      <c r="V113" s="47" t="s">
        <v>47</v>
      </c>
      <c r="W113" s="28" t="s">
        <v>461</v>
      </c>
      <c r="X113" s="28"/>
      <c r="Y113" s="29">
        <v>1</v>
      </c>
      <c r="Z113" s="18" t="s">
        <v>49</v>
      </c>
      <c r="AA113" s="18" t="s">
        <v>50</v>
      </c>
      <c r="AB113" s="17">
        <v>2020</v>
      </c>
      <c r="AC113" s="16" t="s">
        <v>51</v>
      </c>
      <c r="AD113" s="30"/>
      <c r="AE113" s="44"/>
      <c r="AF113" s="35" t="s">
        <v>97</v>
      </c>
      <c r="AG113" s="34" t="s">
        <v>98</v>
      </c>
    </row>
    <row r="114" spans="1:33" ht="25.5" customHeight="1" x14ac:dyDescent="0.4">
      <c r="A114" s="15" t="s">
        <v>451</v>
      </c>
      <c r="B114" s="69">
        <v>15</v>
      </c>
      <c r="C114" s="17">
        <v>112</v>
      </c>
      <c r="D114" s="18" t="s">
        <v>596</v>
      </c>
      <c r="E114" s="46">
        <v>805834</v>
      </c>
      <c r="F114" s="59"/>
      <c r="G114" s="25" t="s">
        <v>542</v>
      </c>
      <c r="H114" s="20" t="s">
        <v>543</v>
      </c>
      <c r="I114" s="33" t="s">
        <v>590</v>
      </c>
      <c r="J114" s="49" t="s">
        <v>591</v>
      </c>
      <c r="K114" s="46" t="s">
        <v>592</v>
      </c>
      <c r="L114" s="29" t="s">
        <v>597</v>
      </c>
      <c r="M114" s="16" t="s">
        <v>41</v>
      </c>
      <c r="N114" s="16" t="s">
        <v>458</v>
      </c>
      <c r="O114" s="16"/>
      <c r="P114" s="16" t="s">
        <v>43</v>
      </c>
      <c r="Q114" s="24" t="s">
        <v>17</v>
      </c>
      <c r="R114" s="22" t="s">
        <v>44</v>
      </c>
      <c r="S114" s="49" t="s">
        <v>68</v>
      </c>
      <c r="T114" s="57" t="s">
        <v>598</v>
      </c>
      <c r="U114" s="57" t="s">
        <v>595</v>
      </c>
      <c r="V114" s="47" t="s">
        <v>47</v>
      </c>
      <c r="W114" s="28" t="s">
        <v>461</v>
      </c>
      <c r="X114" s="28"/>
      <c r="Y114" s="29">
        <v>1</v>
      </c>
      <c r="Z114" s="18" t="s">
        <v>49</v>
      </c>
      <c r="AA114" s="18" t="s">
        <v>50</v>
      </c>
      <c r="AB114" s="17">
        <v>2020</v>
      </c>
      <c r="AC114" s="16" t="s">
        <v>51</v>
      </c>
      <c r="AD114" s="30"/>
      <c r="AE114" s="44"/>
      <c r="AF114" s="39"/>
      <c r="AG114" s="34"/>
    </row>
    <row r="115" spans="1:33" ht="25.5" customHeight="1" x14ac:dyDescent="0.4">
      <c r="A115" s="15" t="s">
        <v>451</v>
      </c>
      <c r="B115" s="69">
        <v>15</v>
      </c>
      <c r="C115" s="17">
        <v>113</v>
      </c>
      <c r="D115" s="18" t="s">
        <v>599</v>
      </c>
      <c r="E115" s="46">
        <v>805834</v>
      </c>
      <c r="F115" s="48"/>
      <c r="G115" s="25" t="s">
        <v>542</v>
      </c>
      <c r="H115" s="20" t="s">
        <v>543</v>
      </c>
      <c r="I115" s="33" t="s">
        <v>590</v>
      </c>
      <c r="J115" s="49" t="s">
        <v>591</v>
      </c>
      <c r="K115" s="46" t="s">
        <v>592</v>
      </c>
      <c r="L115" s="29" t="s">
        <v>600</v>
      </c>
      <c r="M115" s="16" t="s">
        <v>41</v>
      </c>
      <c r="N115" s="16" t="s">
        <v>458</v>
      </c>
      <c r="O115" s="16"/>
      <c r="P115" s="16" t="s">
        <v>43</v>
      </c>
      <c r="Q115" s="24" t="s">
        <v>17</v>
      </c>
      <c r="R115" s="22" t="s">
        <v>44</v>
      </c>
      <c r="S115" s="49" t="s">
        <v>68</v>
      </c>
      <c r="T115" s="57" t="s">
        <v>598</v>
      </c>
      <c r="U115" s="57" t="s">
        <v>595</v>
      </c>
      <c r="V115" s="47" t="s">
        <v>47</v>
      </c>
      <c r="W115" s="28" t="s">
        <v>461</v>
      </c>
      <c r="X115" s="28"/>
      <c r="Y115" s="29">
        <v>1</v>
      </c>
      <c r="Z115" s="18" t="s">
        <v>49</v>
      </c>
      <c r="AA115" s="18" t="s">
        <v>50</v>
      </c>
      <c r="AB115" s="17">
        <v>2020</v>
      </c>
      <c r="AC115" s="16" t="s">
        <v>51</v>
      </c>
      <c r="AD115" s="30"/>
      <c r="AE115" s="44"/>
      <c r="AF115" s="37"/>
      <c r="AG115" s="34"/>
    </row>
    <row r="116" spans="1:33" x14ac:dyDescent="0.4">
      <c r="A116" s="15" t="s">
        <v>451</v>
      </c>
      <c r="B116" s="69">
        <v>16</v>
      </c>
      <c r="C116" s="17">
        <v>114</v>
      </c>
      <c r="D116" s="18" t="s">
        <v>601</v>
      </c>
      <c r="E116" s="46">
        <v>805835</v>
      </c>
      <c r="F116" s="46"/>
      <c r="G116" s="25" t="s">
        <v>542</v>
      </c>
      <c r="H116" s="20" t="s">
        <v>543</v>
      </c>
      <c r="I116" s="33" t="s">
        <v>602</v>
      </c>
      <c r="J116" s="49" t="s">
        <v>603</v>
      </c>
      <c r="K116" s="46" t="s">
        <v>604</v>
      </c>
      <c r="L116" s="29" t="s">
        <v>605</v>
      </c>
      <c r="M116" s="16" t="s">
        <v>41</v>
      </c>
      <c r="N116" s="16" t="s">
        <v>515</v>
      </c>
      <c r="O116" s="16"/>
      <c r="P116" s="16" t="s">
        <v>43</v>
      </c>
      <c r="Q116" s="24" t="s">
        <v>17</v>
      </c>
      <c r="R116" s="22" t="s">
        <v>44</v>
      </c>
      <c r="S116" s="49" t="s">
        <v>45</v>
      </c>
      <c r="T116" s="57" t="s">
        <v>606</v>
      </c>
      <c r="U116" s="57" t="s">
        <v>607</v>
      </c>
      <c r="V116" s="47" t="s">
        <v>47</v>
      </c>
      <c r="W116" s="28" t="s">
        <v>461</v>
      </c>
      <c r="X116" s="28"/>
      <c r="Y116" s="29">
        <v>1</v>
      </c>
      <c r="Z116" s="18" t="s">
        <v>49</v>
      </c>
      <c r="AA116" s="18" t="s">
        <v>50</v>
      </c>
      <c r="AB116" s="17">
        <v>2020</v>
      </c>
      <c r="AC116" s="16" t="s">
        <v>51</v>
      </c>
      <c r="AD116" s="30"/>
      <c r="AE116" s="44"/>
      <c r="AF116" s="35" t="s">
        <v>97</v>
      </c>
      <c r="AG116" s="34" t="s">
        <v>98</v>
      </c>
    </row>
    <row r="117" spans="1:33" x14ac:dyDescent="0.4">
      <c r="A117" s="15" t="s">
        <v>451</v>
      </c>
      <c r="B117" s="69">
        <v>16</v>
      </c>
      <c r="C117" s="17">
        <v>115</v>
      </c>
      <c r="D117" s="18" t="s">
        <v>608</v>
      </c>
      <c r="E117" s="46">
        <v>805835</v>
      </c>
      <c r="F117" s="59"/>
      <c r="G117" s="25" t="s">
        <v>542</v>
      </c>
      <c r="H117" s="20" t="s">
        <v>543</v>
      </c>
      <c r="I117" s="33" t="s">
        <v>602</v>
      </c>
      <c r="J117" s="49" t="s">
        <v>603</v>
      </c>
      <c r="K117" s="46" t="s">
        <v>604</v>
      </c>
      <c r="L117" s="29" t="s">
        <v>609</v>
      </c>
      <c r="M117" s="16" t="s">
        <v>41</v>
      </c>
      <c r="N117" s="16" t="s">
        <v>458</v>
      </c>
      <c r="O117" s="16"/>
      <c r="P117" s="16" t="s">
        <v>43</v>
      </c>
      <c r="Q117" s="24" t="s">
        <v>17</v>
      </c>
      <c r="R117" s="22" t="s">
        <v>44</v>
      </c>
      <c r="S117" s="49" t="s">
        <v>68</v>
      </c>
      <c r="T117" s="57" t="s">
        <v>606</v>
      </c>
      <c r="U117" s="57" t="s">
        <v>607</v>
      </c>
      <c r="V117" s="47" t="s">
        <v>47</v>
      </c>
      <c r="W117" s="28" t="s">
        <v>461</v>
      </c>
      <c r="X117" s="28"/>
      <c r="Y117" s="29">
        <v>1</v>
      </c>
      <c r="Z117" s="18" t="s">
        <v>49</v>
      </c>
      <c r="AA117" s="18" t="s">
        <v>50</v>
      </c>
      <c r="AB117" s="17">
        <v>2020</v>
      </c>
      <c r="AC117" s="16" t="s">
        <v>51</v>
      </c>
      <c r="AD117" s="30"/>
      <c r="AE117" s="44"/>
      <c r="AF117" s="39"/>
      <c r="AG117" s="34"/>
    </row>
    <row r="118" spans="1:33" x14ac:dyDescent="0.4">
      <c r="A118" s="15" t="s">
        <v>451</v>
      </c>
      <c r="B118" s="69">
        <v>16</v>
      </c>
      <c r="C118" s="17">
        <v>116</v>
      </c>
      <c r="D118" s="18" t="s">
        <v>610</v>
      </c>
      <c r="E118" s="46">
        <v>805835</v>
      </c>
      <c r="F118" s="48"/>
      <c r="G118" s="70" t="s">
        <v>542</v>
      </c>
      <c r="H118" s="20" t="s">
        <v>543</v>
      </c>
      <c r="I118" s="33" t="s">
        <v>602</v>
      </c>
      <c r="J118" s="49" t="s">
        <v>603</v>
      </c>
      <c r="K118" s="46" t="s">
        <v>604</v>
      </c>
      <c r="L118" s="29" t="s">
        <v>611</v>
      </c>
      <c r="M118" s="16" t="s">
        <v>41</v>
      </c>
      <c r="N118" s="16" t="s">
        <v>458</v>
      </c>
      <c r="O118" s="16"/>
      <c r="P118" s="16" t="s">
        <v>43</v>
      </c>
      <c r="Q118" s="24" t="s">
        <v>17</v>
      </c>
      <c r="R118" s="22" t="s">
        <v>44</v>
      </c>
      <c r="S118" s="49" t="s">
        <v>68</v>
      </c>
      <c r="T118" s="57" t="s">
        <v>606</v>
      </c>
      <c r="U118" s="57" t="s">
        <v>607</v>
      </c>
      <c r="V118" s="47" t="s">
        <v>47</v>
      </c>
      <c r="W118" s="28" t="s">
        <v>461</v>
      </c>
      <c r="X118" s="28"/>
      <c r="Y118" s="29">
        <v>1</v>
      </c>
      <c r="Z118" s="18" t="s">
        <v>49</v>
      </c>
      <c r="AA118" s="18" t="s">
        <v>50</v>
      </c>
      <c r="AB118" s="17">
        <v>2020</v>
      </c>
      <c r="AC118" s="16" t="s">
        <v>51</v>
      </c>
      <c r="AD118" s="30"/>
      <c r="AE118" s="44"/>
      <c r="AF118" s="37"/>
      <c r="AG118" s="34"/>
    </row>
    <row r="119" spans="1:33" x14ac:dyDescent="0.4">
      <c r="A119" s="15" t="s">
        <v>451</v>
      </c>
      <c r="B119" s="69">
        <v>17</v>
      </c>
      <c r="C119" s="17">
        <v>117</v>
      </c>
      <c r="D119" s="18" t="s">
        <v>612</v>
      </c>
      <c r="E119" s="46">
        <v>805836</v>
      </c>
      <c r="F119" s="46"/>
      <c r="G119" s="70" t="s">
        <v>542</v>
      </c>
      <c r="H119" s="20" t="s">
        <v>543</v>
      </c>
      <c r="I119" s="33" t="s">
        <v>613</v>
      </c>
      <c r="J119" s="49" t="s">
        <v>614</v>
      </c>
      <c r="K119" s="46" t="s">
        <v>615</v>
      </c>
      <c r="L119" s="29" t="s">
        <v>616</v>
      </c>
      <c r="M119" s="16" t="s">
        <v>41</v>
      </c>
      <c r="N119" s="16" t="s">
        <v>515</v>
      </c>
      <c r="O119" s="16"/>
      <c r="P119" s="16" t="s">
        <v>43</v>
      </c>
      <c r="Q119" s="24" t="s">
        <v>17</v>
      </c>
      <c r="R119" s="22" t="s">
        <v>44</v>
      </c>
      <c r="S119" s="49" t="s">
        <v>45</v>
      </c>
      <c r="T119" s="57" t="s">
        <v>617</v>
      </c>
      <c r="U119" s="57" t="s">
        <v>560</v>
      </c>
      <c r="V119" s="47" t="s">
        <v>47</v>
      </c>
      <c r="W119" s="28" t="s">
        <v>461</v>
      </c>
      <c r="X119" s="28"/>
      <c r="Y119" s="29">
        <v>1</v>
      </c>
      <c r="Z119" s="18" t="s">
        <v>49</v>
      </c>
      <c r="AA119" s="18" t="s">
        <v>50</v>
      </c>
      <c r="AB119" s="17">
        <v>2020</v>
      </c>
      <c r="AC119" s="16" t="s">
        <v>51</v>
      </c>
      <c r="AD119" s="30"/>
      <c r="AE119" s="44"/>
      <c r="AF119" s="35" t="s">
        <v>53</v>
      </c>
      <c r="AG119" s="34" t="s">
        <v>87</v>
      </c>
    </row>
    <row r="120" spans="1:33" x14ac:dyDescent="0.4">
      <c r="A120" s="15" t="s">
        <v>451</v>
      </c>
      <c r="B120" s="69">
        <v>17</v>
      </c>
      <c r="C120" s="17">
        <v>118</v>
      </c>
      <c r="D120" s="18" t="s">
        <v>618</v>
      </c>
      <c r="E120" s="46">
        <v>805836</v>
      </c>
      <c r="F120" s="48"/>
      <c r="G120" s="70" t="s">
        <v>542</v>
      </c>
      <c r="H120" s="20" t="s">
        <v>543</v>
      </c>
      <c r="I120" s="33" t="s">
        <v>613</v>
      </c>
      <c r="J120" s="49" t="s">
        <v>614</v>
      </c>
      <c r="K120" s="46" t="s">
        <v>615</v>
      </c>
      <c r="L120" s="29" t="s">
        <v>619</v>
      </c>
      <c r="M120" s="16" t="s">
        <v>41</v>
      </c>
      <c r="N120" s="16" t="s">
        <v>458</v>
      </c>
      <c r="O120" s="16"/>
      <c r="P120" s="16" t="s">
        <v>43</v>
      </c>
      <c r="Q120" s="24" t="s">
        <v>17</v>
      </c>
      <c r="R120" s="22" t="s">
        <v>44</v>
      </c>
      <c r="S120" s="49" t="s">
        <v>68</v>
      </c>
      <c r="T120" s="57" t="s">
        <v>617</v>
      </c>
      <c r="U120" s="57" t="s">
        <v>560</v>
      </c>
      <c r="V120" s="47" t="s">
        <v>47</v>
      </c>
      <c r="W120" s="28" t="s">
        <v>461</v>
      </c>
      <c r="X120" s="28"/>
      <c r="Y120" s="29">
        <v>1</v>
      </c>
      <c r="Z120" s="18" t="s">
        <v>49</v>
      </c>
      <c r="AA120" s="18" t="s">
        <v>50</v>
      </c>
      <c r="AB120" s="17">
        <v>2020</v>
      </c>
      <c r="AC120" s="16" t="s">
        <v>51</v>
      </c>
      <c r="AD120" s="30"/>
      <c r="AE120" s="44"/>
      <c r="AF120" s="37"/>
      <c r="AG120" s="35"/>
    </row>
    <row r="121" spans="1:33" ht="26" x14ac:dyDescent="0.4">
      <c r="A121" s="72" t="s">
        <v>451</v>
      </c>
      <c r="B121" s="44">
        <v>18</v>
      </c>
      <c r="C121" s="73">
        <v>119</v>
      </c>
      <c r="D121" s="18" t="s">
        <v>620</v>
      </c>
      <c r="E121" s="46">
        <v>805837</v>
      </c>
      <c r="F121" s="46"/>
      <c r="G121" s="70" t="s">
        <v>542</v>
      </c>
      <c r="H121" s="20" t="s">
        <v>543</v>
      </c>
      <c r="I121" s="24" t="s">
        <v>621</v>
      </c>
      <c r="J121" s="74" t="s">
        <v>622</v>
      </c>
      <c r="K121" s="46" t="s">
        <v>623</v>
      </c>
      <c r="L121" s="29" t="s">
        <v>624</v>
      </c>
      <c r="M121" s="16" t="s">
        <v>41</v>
      </c>
      <c r="N121" s="16" t="s">
        <v>515</v>
      </c>
      <c r="O121" s="16"/>
      <c r="P121" s="16" t="s">
        <v>43</v>
      </c>
      <c r="Q121" s="24" t="s">
        <v>17</v>
      </c>
      <c r="R121" s="22" t="s">
        <v>44</v>
      </c>
      <c r="S121" s="49" t="s">
        <v>45</v>
      </c>
      <c r="T121" s="57" t="s">
        <v>625</v>
      </c>
      <c r="U121" s="57" t="s">
        <v>560</v>
      </c>
      <c r="V121" s="47" t="s">
        <v>47</v>
      </c>
      <c r="W121" s="28" t="s">
        <v>461</v>
      </c>
      <c r="X121" s="16">
        <v>1</v>
      </c>
      <c r="Y121" s="29">
        <v>1</v>
      </c>
      <c r="Z121" s="18" t="s">
        <v>49</v>
      </c>
      <c r="AA121" s="18" t="s">
        <v>50</v>
      </c>
      <c r="AB121" s="17">
        <v>2020</v>
      </c>
      <c r="AC121" s="16" t="s">
        <v>51</v>
      </c>
      <c r="AD121" s="30"/>
      <c r="AE121" s="75"/>
      <c r="AF121" s="65" t="s">
        <v>626</v>
      </c>
      <c r="AG121" s="47" t="s">
        <v>627</v>
      </c>
    </row>
    <row r="122" spans="1:33" ht="26" x14ac:dyDescent="0.4">
      <c r="A122" s="15" t="s">
        <v>451</v>
      </c>
      <c r="B122" s="44">
        <v>18</v>
      </c>
      <c r="C122" s="17">
        <v>120</v>
      </c>
      <c r="D122" s="18" t="s">
        <v>628</v>
      </c>
      <c r="E122" s="46">
        <v>805837</v>
      </c>
      <c r="F122" s="59"/>
      <c r="G122" s="70" t="s">
        <v>542</v>
      </c>
      <c r="H122" s="20" t="s">
        <v>543</v>
      </c>
      <c r="I122" s="24" t="s">
        <v>621</v>
      </c>
      <c r="J122" s="74" t="s">
        <v>622</v>
      </c>
      <c r="K122" s="46" t="s">
        <v>623</v>
      </c>
      <c r="L122" s="29" t="s">
        <v>629</v>
      </c>
      <c r="M122" s="16" t="s">
        <v>41</v>
      </c>
      <c r="N122" s="16" t="s">
        <v>458</v>
      </c>
      <c r="O122" s="16"/>
      <c r="P122" s="16" t="s">
        <v>43</v>
      </c>
      <c r="Q122" s="24" t="s">
        <v>17</v>
      </c>
      <c r="R122" s="22" t="s">
        <v>44</v>
      </c>
      <c r="S122" s="49" t="s">
        <v>68</v>
      </c>
      <c r="T122" s="57" t="s">
        <v>625</v>
      </c>
      <c r="U122" s="57" t="s">
        <v>560</v>
      </c>
      <c r="V122" s="47" t="s">
        <v>47</v>
      </c>
      <c r="W122" s="28" t="s">
        <v>461</v>
      </c>
      <c r="X122" s="16">
        <v>1</v>
      </c>
      <c r="Y122" s="29">
        <v>1</v>
      </c>
      <c r="Z122" s="18" t="s">
        <v>49</v>
      </c>
      <c r="AA122" s="18" t="s">
        <v>50</v>
      </c>
      <c r="AB122" s="17">
        <v>2020</v>
      </c>
      <c r="AC122" s="16" t="s">
        <v>51</v>
      </c>
      <c r="AD122" s="30" t="s">
        <v>630</v>
      </c>
      <c r="AE122" s="44"/>
      <c r="AF122" s="76"/>
      <c r="AG122" s="68"/>
    </row>
    <row r="123" spans="1:33" ht="26" x14ac:dyDescent="0.4">
      <c r="A123" s="15" t="s">
        <v>451</v>
      </c>
      <c r="B123" s="44">
        <v>18</v>
      </c>
      <c r="C123" s="18">
        <v>121</v>
      </c>
      <c r="D123" s="41"/>
      <c r="E123" s="46">
        <v>805837</v>
      </c>
      <c r="F123" s="59"/>
      <c r="G123" s="25" t="s">
        <v>542</v>
      </c>
      <c r="H123" s="20" t="s">
        <v>543</v>
      </c>
      <c r="I123" s="24" t="s">
        <v>621</v>
      </c>
      <c r="J123" s="74" t="s">
        <v>622</v>
      </c>
      <c r="K123" s="46" t="s">
        <v>623</v>
      </c>
      <c r="L123" s="29" t="s">
        <v>631</v>
      </c>
      <c r="M123" s="16" t="s">
        <v>41</v>
      </c>
      <c r="N123" s="16" t="s">
        <v>458</v>
      </c>
      <c r="O123" s="16"/>
      <c r="P123" s="16" t="s">
        <v>43</v>
      </c>
      <c r="Q123" s="24" t="s">
        <v>116</v>
      </c>
      <c r="R123" s="22" t="s">
        <v>44</v>
      </c>
      <c r="S123" s="49" t="s">
        <v>68</v>
      </c>
      <c r="T123" s="57" t="s">
        <v>625</v>
      </c>
      <c r="U123" s="57" t="s">
        <v>560</v>
      </c>
      <c r="V123" s="47" t="s">
        <v>47</v>
      </c>
      <c r="W123" s="28" t="s">
        <v>461</v>
      </c>
      <c r="X123" s="16">
        <v>1</v>
      </c>
      <c r="Y123" s="29">
        <v>1</v>
      </c>
      <c r="Z123" s="18" t="s">
        <v>49</v>
      </c>
      <c r="AA123" s="18" t="s">
        <v>50</v>
      </c>
      <c r="AB123" s="17">
        <v>2020</v>
      </c>
      <c r="AC123" s="16" t="s">
        <v>51</v>
      </c>
      <c r="AD123" s="30"/>
      <c r="AE123" s="44"/>
      <c r="AF123" s="76"/>
      <c r="AG123" s="47"/>
    </row>
    <row r="124" spans="1:33" ht="26" x14ac:dyDescent="0.4">
      <c r="A124" s="15" t="s">
        <v>451</v>
      </c>
      <c r="B124" s="44">
        <v>18</v>
      </c>
      <c r="C124" s="17">
        <v>122</v>
      </c>
      <c r="D124" s="18" t="s">
        <v>632</v>
      </c>
      <c r="E124" s="46">
        <v>805837</v>
      </c>
      <c r="F124" s="59"/>
      <c r="G124" s="70" t="s">
        <v>542</v>
      </c>
      <c r="H124" s="20" t="s">
        <v>543</v>
      </c>
      <c r="I124" s="24" t="s">
        <v>621</v>
      </c>
      <c r="J124" s="74" t="s">
        <v>622</v>
      </c>
      <c r="K124" s="46" t="s">
        <v>623</v>
      </c>
      <c r="L124" s="29" t="s">
        <v>633</v>
      </c>
      <c r="M124" s="16" t="s">
        <v>41</v>
      </c>
      <c r="N124" s="16" t="s">
        <v>458</v>
      </c>
      <c r="O124" s="16"/>
      <c r="P124" s="16" t="s">
        <v>43</v>
      </c>
      <c r="Q124" s="24" t="s">
        <v>17</v>
      </c>
      <c r="R124" s="22" t="s">
        <v>44</v>
      </c>
      <c r="S124" s="49" t="s">
        <v>68</v>
      </c>
      <c r="T124" s="57" t="s">
        <v>625</v>
      </c>
      <c r="U124" s="57" t="s">
        <v>560</v>
      </c>
      <c r="V124" s="47" t="s">
        <v>47</v>
      </c>
      <c r="W124" s="28" t="s">
        <v>461</v>
      </c>
      <c r="X124" s="16">
        <v>1</v>
      </c>
      <c r="Y124" s="29">
        <v>1</v>
      </c>
      <c r="Z124" s="18" t="s">
        <v>49</v>
      </c>
      <c r="AA124" s="18" t="s">
        <v>50</v>
      </c>
      <c r="AB124" s="17">
        <v>2020</v>
      </c>
      <c r="AC124" s="16" t="s">
        <v>51</v>
      </c>
      <c r="AD124" s="30"/>
      <c r="AE124" s="44"/>
      <c r="AF124" s="76"/>
      <c r="AG124" s="47"/>
    </row>
    <row r="125" spans="1:33" ht="26" x14ac:dyDescent="0.4">
      <c r="A125" s="15" t="s">
        <v>451</v>
      </c>
      <c r="B125" s="44">
        <v>18</v>
      </c>
      <c r="C125" s="17">
        <v>123</v>
      </c>
      <c r="D125" s="18" t="s">
        <v>634</v>
      </c>
      <c r="E125" s="46">
        <v>805837</v>
      </c>
      <c r="F125" s="48"/>
      <c r="G125" s="70" t="s">
        <v>542</v>
      </c>
      <c r="H125" s="20" t="s">
        <v>543</v>
      </c>
      <c r="I125" s="24" t="s">
        <v>621</v>
      </c>
      <c r="J125" s="74" t="s">
        <v>622</v>
      </c>
      <c r="K125" s="46" t="s">
        <v>623</v>
      </c>
      <c r="L125" s="29" t="s">
        <v>635</v>
      </c>
      <c r="M125" s="16" t="s">
        <v>41</v>
      </c>
      <c r="N125" s="16" t="s">
        <v>458</v>
      </c>
      <c r="O125" s="16"/>
      <c r="P125" s="16" t="s">
        <v>43</v>
      </c>
      <c r="Q125" s="24" t="s">
        <v>17</v>
      </c>
      <c r="R125" s="22" t="s">
        <v>44</v>
      </c>
      <c r="S125" s="49" t="s">
        <v>68</v>
      </c>
      <c r="T125" s="57" t="s">
        <v>625</v>
      </c>
      <c r="U125" s="57" t="s">
        <v>560</v>
      </c>
      <c r="V125" s="47" t="s">
        <v>47</v>
      </c>
      <c r="W125" s="28" t="s">
        <v>461</v>
      </c>
      <c r="X125" s="16">
        <v>1</v>
      </c>
      <c r="Y125" s="29">
        <v>1</v>
      </c>
      <c r="Z125" s="18" t="s">
        <v>49</v>
      </c>
      <c r="AA125" s="18" t="s">
        <v>50</v>
      </c>
      <c r="AB125" s="17">
        <v>2020</v>
      </c>
      <c r="AC125" s="16" t="s">
        <v>51</v>
      </c>
      <c r="AD125" s="30"/>
      <c r="AE125" s="44"/>
      <c r="AF125" s="68"/>
      <c r="AG125" s="47"/>
    </row>
    <row r="126" spans="1:33" x14ac:dyDescent="0.4">
      <c r="A126" s="15" t="s">
        <v>451</v>
      </c>
      <c r="B126" s="69">
        <v>19</v>
      </c>
      <c r="C126" s="17">
        <v>124</v>
      </c>
      <c r="D126" s="18" t="s">
        <v>636</v>
      </c>
      <c r="E126" s="46">
        <v>805838</v>
      </c>
      <c r="F126" s="46"/>
      <c r="G126" s="70" t="s">
        <v>542</v>
      </c>
      <c r="H126" s="20" t="s">
        <v>543</v>
      </c>
      <c r="I126" s="33" t="s">
        <v>637</v>
      </c>
      <c r="J126" s="49" t="s">
        <v>638</v>
      </c>
      <c r="K126" s="46" t="s">
        <v>639</v>
      </c>
      <c r="L126" s="29" t="s">
        <v>640</v>
      </c>
      <c r="M126" s="16" t="s">
        <v>41</v>
      </c>
      <c r="N126" s="16" t="s">
        <v>515</v>
      </c>
      <c r="O126" s="16"/>
      <c r="P126" s="16" t="s">
        <v>43</v>
      </c>
      <c r="Q126" s="24" t="s">
        <v>17</v>
      </c>
      <c r="R126" s="22" t="s">
        <v>44</v>
      </c>
      <c r="S126" s="49" t="s">
        <v>45</v>
      </c>
      <c r="T126" s="57" t="s">
        <v>641</v>
      </c>
      <c r="U126" s="57" t="s">
        <v>642</v>
      </c>
      <c r="V126" s="47" t="s">
        <v>47</v>
      </c>
      <c r="W126" s="28" t="s">
        <v>461</v>
      </c>
      <c r="X126" s="16">
        <v>1</v>
      </c>
      <c r="Y126" s="29">
        <v>1</v>
      </c>
      <c r="Z126" s="18" t="s">
        <v>49</v>
      </c>
      <c r="AA126" s="18" t="s">
        <v>50</v>
      </c>
      <c r="AB126" s="17">
        <v>2020</v>
      </c>
      <c r="AC126" s="16" t="s">
        <v>51</v>
      </c>
      <c r="AD126" s="30"/>
      <c r="AE126" s="44"/>
      <c r="AF126" s="35" t="s">
        <v>97</v>
      </c>
      <c r="AG126" s="34" t="s">
        <v>98</v>
      </c>
    </row>
    <row r="127" spans="1:33" x14ac:dyDescent="0.4">
      <c r="A127" s="15" t="s">
        <v>451</v>
      </c>
      <c r="B127" s="69">
        <v>19</v>
      </c>
      <c r="C127" s="17">
        <v>125</v>
      </c>
      <c r="D127" s="18" t="s">
        <v>643</v>
      </c>
      <c r="E127" s="46">
        <v>805838</v>
      </c>
      <c r="F127" s="59"/>
      <c r="G127" s="70" t="s">
        <v>542</v>
      </c>
      <c r="H127" s="20" t="s">
        <v>543</v>
      </c>
      <c r="I127" s="33" t="s">
        <v>637</v>
      </c>
      <c r="J127" s="49" t="s">
        <v>638</v>
      </c>
      <c r="K127" s="46" t="s">
        <v>639</v>
      </c>
      <c r="L127" s="29" t="s">
        <v>644</v>
      </c>
      <c r="M127" s="16" t="s">
        <v>41</v>
      </c>
      <c r="N127" s="16" t="s">
        <v>458</v>
      </c>
      <c r="O127" s="16"/>
      <c r="P127" s="16" t="s">
        <v>43</v>
      </c>
      <c r="Q127" s="24" t="s">
        <v>17</v>
      </c>
      <c r="R127" s="22" t="s">
        <v>44</v>
      </c>
      <c r="S127" s="49" t="s">
        <v>68</v>
      </c>
      <c r="T127" s="57" t="s">
        <v>641</v>
      </c>
      <c r="U127" s="58" t="s">
        <v>579</v>
      </c>
      <c r="V127" s="47" t="s">
        <v>47</v>
      </c>
      <c r="W127" s="28" t="s">
        <v>461</v>
      </c>
      <c r="X127" s="16">
        <v>1</v>
      </c>
      <c r="Y127" s="29">
        <v>1</v>
      </c>
      <c r="Z127" s="18" t="s">
        <v>49</v>
      </c>
      <c r="AA127" s="18" t="s">
        <v>50</v>
      </c>
      <c r="AB127" s="17">
        <v>2020</v>
      </c>
      <c r="AC127" s="16" t="s">
        <v>51</v>
      </c>
      <c r="AD127" s="30"/>
      <c r="AE127" s="44"/>
      <c r="AF127" s="39"/>
      <c r="AG127" s="34"/>
    </row>
    <row r="128" spans="1:33" x14ac:dyDescent="0.4">
      <c r="A128" s="15" t="s">
        <v>451</v>
      </c>
      <c r="B128" s="69">
        <v>19</v>
      </c>
      <c r="C128" s="17">
        <v>126</v>
      </c>
      <c r="D128" s="18" t="s">
        <v>645</v>
      </c>
      <c r="E128" s="46">
        <v>805838</v>
      </c>
      <c r="F128" s="48"/>
      <c r="G128" s="70" t="s">
        <v>542</v>
      </c>
      <c r="H128" s="20" t="s">
        <v>543</v>
      </c>
      <c r="I128" s="33" t="s">
        <v>637</v>
      </c>
      <c r="J128" s="49" t="s">
        <v>638</v>
      </c>
      <c r="K128" s="46" t="s">
        <v>639</v>
      </c>
      <c r="L128" s="29" t="s">
        <v>646</v>
      </c>
      <c r="M128" s="16" t="s">
        <v>41</v>
      </c>
      <c r="N128" s="16" t="s">
        <v>458</v>
      </c>
      <c r="O128" s="16"/>
      <c r="P128" s="16" t="s">
        <v>43</v>
      </c>
      <c r="Q128" s="24" t="s">
        <v>17</v>
      </c>
      <c r="R128" s="22" t="s">
        <v>44</v>
      </c>
      <c r="S128" s="49" t="s">
        <v>68</v>
      </c>
      <c r="T128" s="57" t="s">
        <v>641</v>
      </c>
      <c r="U128" s="58" t="s">
        <v>579</v>
      </c>
      <c r="V128" s="47" t="s">
        <v>47</v>
      </c>
      <c r="W128" s="28" t="s">
        <v>461</v>
      </c>
      <c r="X128" s="16">
        <v>1</v>
      </c>
      <c r="Y128" s="29">
        <v>1</v>
      </c>
      <c r="Z128" s="18" t="s">
        <v>49</v>
      </c>
      <c r="AA128" s="18" t="s">
        <v>50</v>
      </c>
      <c r="AB128" s="17">
        <v>2020</v>
      </c>
      <c r="AC128" s="16" t="s">
        <v>51</v>
      </c>
      <c r="AD128" s="30"/>
      <c r="AE128" s="44"/>
      <c r="AF128" s="37"/>
      <c r="AG128" s="34"/>
    </row>
    <row r="129" spans="1:33" ht="35.25" customHeight="1" x14ac:dyDescent="0.4">
      <c r="A129" s="72" t="s">
        <v>451</v>
      </c>
      <c r="B129" s="44">
        <v>20</v>
      </c>
      <c r="C129" s="17">
        <v>127</v>
      </c>
      <c r="D129" s="18"/>
      <c r="E129" s="49">
        <v>805839</v>
      </c>
      <c r="F129" s="49"/>
      <c r="G129" s="24" t="s">
        <v>542</v>
      </c>
      <c r="H129" s="20" t="s">
        <v>543</v>
      </c>
      <c r="I129" s="24" t="s">
        <v>647</v>
      </c>
      <c r="J129" s="74" t="s">
        <v>648</v>
      </c>
      <c r="K129" s="46" t="s">
        <v>649</v>
      </c>
      <c r="L129" s="49" t="s">
        <v>650</v>
      </c>
      <c r="M129" s="16" t="s">
        <v>41</v>
      </c>
      <c r="N129" s="16" t="s">
        <v>515</v>
      </c>
      <c r="O129" s="16"/>
      <c r="P129" s="16" t="s">
        <v>43</v>
      </c>
      <c r="Q129" s="24" t="s">
        <v>116</v>
      </c>
      <c r="R129" s="22" t="s">
        <v>44</v>
      </c>
      <c r="S129" s="49" t="s">
        <v>45</v>
      </c>
      <c r="T129" s="57" t="s">
        <v>651</v>
      </c>
      <c r="U129" s="57" t="s">
        <v>652</v>
      </c>
      <c r="V129" s="47" t="s">
        <v>47</v>
      </c>
      <c r="W129" s="28" t="s">
        <v>461</v>
      </c>
      <c r="X129" s="16">
        <v>1</v>
      </c>
      <c r="Y129" s="29">
        <v>1</v>
      </c>
      <c r="Z129" s="18" t="s">
        <v>49</v>
      </c>
      <c r="AA129" s="18" t="s">
        <v>50</v>
      </c>
      <c r="AB129" s="17">
        <v>2020</v>
      </c>
      <c r="AC129" s="16" t="s">
        <v>51</v>
      </c>
      <c r="AD129" s="30"/>
      <c r="AE129" s="44"/>
      <c r="AF129" s="35" t="s">
        <v>97</v>
      </c>
      <c r="AG129" s="34" t="s">
        <v>98</v>
      </c>
    </row>
    <row r="130" spans="1:33" ht="25.5" customHeight="1" x14ac:dyDescent="0.4">
      <c r="A130" s="15" t="s">
        <v>451</v>
      </c>
      <c r="B130" s="44">
        <v>20</v>
      </c>
      <c r="C130" s="77">
        <v>128</v>
      </c>
      <c r="D130" s="42" t="s">
        <v>653</v>
      </c>
      <c r="E130" s="49">
        <v>805839</v>
      </c>
      <c r="F130" s="59"/>
      <c r="G130" s="78" t="s">
        <v>542</v>
      </c>
      <c r="H130" s="20" t="s">
        <v>543</v>
      </c>
      <c r="I130" s="24" t="s">
        <v>647</v>
      </c>
      <c r="J130" s="74" t="s">
        <v>648</v>
      </c>
      <c r="K130" s="46" t="s">
        <v>649</v>
      </c>
      <c r="L130" s="29" t="s">
        <v>654</v>
      </c>
      <c r="M130" s="16" t="s">
        <v>41</v>
      </c>
      <c r="N130" s="16" t="s">
        <v>458</v>
      </c>
      <c r="O130" s="16"/>
      <c r="P130" s="16" t="s">
        <v>43</v>
      </c>
      <c r="Q130" s="24" t="s">
        <v>17</v>
      </c>
      <c r="R130" s="22" t="s">
        <v>44</v>
      </c>
      <c r="S130" s="49" t="s">
        <v>68</v>
      </c>
      <c r="T130" s="57" t="s">
        <v>651</v>
      </c>
      <c r="U130" s="57" t="s">
        <v>652</v>
      </c>
      <c r="V130" s="47" t="s">
        <v>47</v>
      </c>
      <c r="W130" s="28" t="s">
        <v>461</v>
      </c>
      <c r="X130" s="16">
        <v>1</v>
      </c>
      <c r="Y130" s="29">
        <v>1</v>
      </c>
      <c r="Z130" s="18" t="s">
        <v>49</v>
      </c>
      <c r="AA130" s="18" t="s">
        <v>50</v>
      </c>
      <c r="AB130" s="17">
        <v>2020</v>
      </c>
      <c r="AC130" s="16" t="s">
        <v>51</v>
      </c>
      <c r="AD130" s="30" t="s">
        <v>655</v>
      </c>
      <c r="AE130" s="44"/>
      <c r="AF130" s="39"/>
      <c r="AG130" s="34"/>
    </row>
    <row r="131" spans="1:33" ht="25.5" customHeight="1" x14ac:dyDescent="0.4">
      <c r="A131" s="15" t="s">
        <v>451</v>
      </c>
      <c r="B131" s="44">
        <v>20</v>
      </c>
      <c r="C131" s="17">
        <v>129</v>
      </c>
      <c r="D131" s="18" t="s">
        <v>656</v>
      </c>
      <c r="E131" s="49">
        <v>805839</v>
      </c>
      <c r="F131" s="48"/>
      <c r="G131" s="70" t="s">
        <v>542</v>
      </c>
      <c r="H131" s="20" t="s">
        <v>543</v>
      </c>
      <c r="I131" s="24" t="s">
        <v>647</v>
      </c>
      <c r="J131" s="74" t="s">
        <v>648</v>
      </c>
      <c r="K131" s="46" t="s">
        <v>649</v>
      </c>
      <c r="L131" s="29" t="s">
        <v>657</v>
      </c>
      <c r="M131" s="16" t="s">
        <v>41</v>
      </c>
      <c r="N131" s="16" t="s">
        <v>458</v>
      </c>
      <c r="O131" s="16"/>
      <c r="P131" s="16" t="s">
        <v>43</v>
      </c>
      <c r="Q131" s="24" t="s">
        <v>17</v>
      </c>
      <c r="R131" s="22" t="s">
        <v>44</v>
      </c>
      <c r="S131" s="49" t="s">
        <v>68</v>
      </c>
      <c r="T131" s="57" t="s">
        <v>651</v>
      </c>
      <c r="U131" s="57" t="s">
        <v>652</v>
      </c>
      <c r="V131" s="47" t="s">
        <v>47</v>
      </c>
      <c r="W131" s="28" t="s">
        <v>461</v>
      </c>
      <c r="X131" s="16">
        <v>1</v>
      </c>
      <c r="Y131" s="29">
        <v>1</v>
      </c>
      <c r="Z131" s="18" t="s">
        <v>49</v>
      </c>
      <c r="AA131" s="18" t="s">
        <v>50</v>
      </c>
      <c r="AB131" s="17">
        <v>2020</v>
      </c>
      <c r="AC131" s="16" t="s">
        <v>51</v>
      </c>
      <c r="AD131" s="30"/>
      <c r="AE131" s="44"/>
      <c r="AF131" s="37"/>
      <c r="AG131" s="34"/>
    </row>
    <row r="132" spans="1:33" ht="15.75" customHeight="1" x14ac:dyDescent="0.4">
      <c r="A132" s="15" t="s">
        <v>451</v>
      </c>
      <c r="B132" s="69">
        <v>21</v>
      </c>
      <c r="C132" s="17">
        <v>130</v>
      </c>
      <c r="D132" s="18" t="s">
        <v>658</v>
      </c>
      <c r="E132" s="46">
        <v>805940</v>
      </c>
      <c r="F132" s="46"/>
      <c r="G132" s="70" t="s">
        <v>542</v>
      </c>
      <c r="H132" s="20" t="s">
        <v>543</v>
      </c>
      <c r="I132" s="33" t="s">
        <v>659</v>
      </c>
      <c r="J132" s="49" t="s">
        <v>660</v>
      </c>
      <c r="K132" s="46" t="s">
        <v>661</v>
      </c>
      <c r="L132" s="29" t="s">
        <v>662</v>
      </c>
      <c r="M132" s="16" t="s">
        <v>41</v>
      </c>
      <c r="N132" s="16" t="s">
        <v>515</v>
      </c>
      <c r="O132" s="16"/>
      <c r="P132" s="16" t="s">
        <v>43</v>
      </c>
      <c r="Q132" s="24" t="s">
        <v>17</v>
      </c>
      <c r="R132" s="22" t="s">
        <v>44</v>
      </c>
      <c r="S132" s="49" t="s">
        <v>45</v>
      </c>
      <c r="T132" s="57" t="s">
        <v>663</v>
      </c>
      <c r="U132" s="57" t="s">
        <v>664</v>
      </c>
      <c r="V132" s="47" t="s">
        <v>47</v>
      </c>
      <c r="W132" s="28" t="s">
        <v>461</v>
      </c>
      <c r="X132" s="16">
        <v>1</v>
      </c>
      <c r="Y132" s="29">
        <v>1</v>
      </c>
      <c r="Z132" s="18" t="s">
        <v>49</v>
      </c>
      <c r="AA132" s="18" t="s">
        <v>50</v>
      </c>
      <c r="AB132" s="17">
        <v>2020</v>
      </c>
      <c r="AC132" s="16" t="s">
        <v>51</v>
      </c>
      <c r="AD132" s="30"/>
      <c r="AE132" s="44"/>
      <c r="AF132" s="35" t="s">
        <v>97</v>
      </c>
      <c r="AG132" s="34" t="s">
        <v>98</v>
      </c>
    </row>
    <row r="133" spans="1:33" ht="25.5" customHeight="1" x14ac:dyDescent="0.4">
      <c r="A133" s="15" t="s">
        <v>451</v>
      </c>
      <c r="B133" s="69">
        <v>21</v>
      </c>
      <c r="C133" s="17">
        <v>131</v>
      </c>
      <c r="D133" s="18" t="s">
        <v>665</v>
      </c>
      <c r="E133" s="46">
        <v>805940</v>
      </c>
      <c r="F133" s="59"/>
      <c r="G133" s="70" t="s">
        <v>542</v>
      </c>
      <c r="H133" s="20" t="s">
        <v>543</v>
      </c>
      <c r="I133" s="33" t="s">
        <v>659</v>
      </c>
      <c r="J133" s="49" t="s">
        <v>660</v>
      </c>
      <c r="K133" s="46" t="s">
        <v>661</v>
      </c>
      <c r="L133" s="29" t="s">
        <v>666</v>
      </c>
      <c r="M133" s="16" t="s">
        <v>41</v>
      </c>
      <c r="N133" s="16" t="s">
        <v>458</v>
      </c>
      <c r="O133" s="16"/>
      <c r="P133" s="16" t="s">
        <v>43</v>
      </c>
      <c r="Q133" s="24" t="s">
        <v>17</v>
      </c>
      <c r="R133" s="22" t="s">
        <v>44</v>
      </c>
      <c r="S133" s="49" t="s">
        <v>68</v>
      </c>
      <c r="T133" s="57" t="s">
        <v>663</v>
      </c>
      <c r="U133" s="57" t="s">
        <v>664</v>
      </c>
      <c r="V133" s="47" t="s">
        <v>47</v>
      </c>
      <c r="W133" s="28" t="s">
        <v>461</v>
      </c>
      <c r="X133" s="16">
        <v>1</v>
      </c>
      <c r="Y133" s="29">
        <v>1</v>
      </c>
      <c r="Z133" s="18" t="s">
        <v>49</v>
      </c>
      <c r="AA133" s="18" t="s">
        <v>50</v>
      </c>
      <c r="AB133" s="17">
        <v>2020</v>
      </c>
      <c r="AC133" s="16" t="s">
        <v>51</v>
      </c>
      <c r="AD133" s="30"/>
      <c r="AE133" s="44"/>
      <c r="AF133" s="39"/>
      <c r="AG133" s="34"/>
    </row>
    <row r="134" spans="1:33" ht="25.5" customHeight="1" x14ac:dyDescent="0.4">
      <c r="A134" s="15" t="s">
        <v>451</v>
      </c>
      <c r="B134" s="69">
        <v>21</v>
      </c>
      <c r="C134" s="17">
        <v>132</v>
      </c>
      <c r="D134" s="18" t="s">
        <v>667</v>
      </c>
      <c r="E134" s="46">
        <v>805940</v>
      </c>
      <c r="F134" s="48"/>
      <c r="G134" s="70" t="s">
        <v>542</v>
      </c>
      <c r="H134" s="20" t="s">
        <v>543</v>
      </c>
      <c r="I134" s="33" t="s">
        <v>659</v>
      </c>
      <c r="J134" s="49" t="s">
        <v>660</v>
      </c>
      <c r="K134" s="46" t="s">
        <v>661</v>
      </c>
      <c r="L134" s="29" t="s">
        <v>668</v>
      </c>
      <c r="M134" s="16" t="s">
        <v>41</v>
      </c>
      <c r="N134" s="16" t="s">
        <v>458</v>
      </c>
      <c r="O134" s="16"/>
      <c r="P134" s="16" t="s">
        <v>43</v>
      </c>
      <c r="Q134" s="24" t="s">
        <v>17</v>
      </c>
      <c r="R134" s="22" t="s">
        <v>44</v>
      </c>
      <c r="S134" s="49" t="s">
        <v>68</v>
      </c>
      <c r="T134" s="57" t="s">
        <v>663</v>
      </c>
      <c r="U134" s="57" t="s">
        <v>664</v>
      </c>
      <c r="V134" s="47" t="s">
        <v>47</v>
      </c>
      <c r="W134" s="28" t="s">
        <v>669</v>
      </c>
      <c r="X134" s="16">
        <v>1</v>
      </c>
      <c r="Y134" s="29">
        <v>1</v>
      </c>
      <c r="Z134" s="18" t="s">
        <v>49</v>
      </c>
      <c r="AA134" s="18" t="s">
        <v>50</v>
      </c>
      <c r="AB134" s="17">
        <v>2020</v>
      </c>
      <c r="AC134" s="16" t="s">
        <v>51</v>
      </c>
      <c r="AD134" s="30"/>
      <c r="AE134" s="44"/>
      <c r="AF134" s="37"/>
      <c r="AG134" s="34"/>
    </row>
    <row r="135" spans="1:33" ht="15.75" customHeight="1" x14ac:dyDescent="0.4">
      <c r="A135" s="15" t="s">
        <v>451</v>
      </c>
      <c r="B135" s="69">
        <v>22</v>
      </c>
      <c r="C135" s="17">
        <v>133</v>
      </c>
      <c r="D135" s="18" t="s">
        <v>670</v>
      </c>
      <c r="E135" s="46">
        <v>805841</v>
      </c>
      <c r="F135" s="46"/>
      <c r="G135" s="70" t="s">
        <v>542</v>
      </c>
      <c r="H135" s="20" t="s">
        <v>543</v>
      </c>
      <c r="I135" s="33" t="s">
        <v>671</v>
      </c>
      <c r="J135" s="49" t="s">
        <v>672</v>
      </c>
      <c r="K135" s="46" t="s">
        <v>673</v>
      </c>
      <c r="L135" s="29" t="s">
        <v>674</v>
      </c>
      <c r="M135" s="16" t="s">
        <v>41</v>
      </c>
      <c r="N135" s="16" t="s">
        <v>515</v>
      </c>
      <c r="O135" s="16"/>
      <c r="P135" s="16" t="s">
        <v>43</v>
      </c>
      <c r="Q135" s="24" t="s">
        <v>17</v>
      </c>
      <c r="R135" s="22" t="s">
        <v>44</v>
      </c>
      <c r="S135" s="49" t="s">
        <v>45</v>
      </c>
      <c r="T135" s="57" t="s">
        <v>663</v>
      </c>
      <c r="U135" s="57" t="s">
        <v>675</v>
      </c>
      <c r="V135" s="47" t="s">
        <v>47</v>
      </c>
      <c r="W135" s="28" t="s">
        <v>669</v>
      </c>
      <c r="X135" s="16">
        <v>1</v>
      </c>
      <c r="Y135" s="29">
        <v>1</v>
      </c>
      <c r="Z135" s="18" t="s">
        <v>49</v>
      </c>
      <c r="AA135" s="18" t="s">
        <v>50</v>
      </c>
      <c r="AB135" s="17">
        <v>2020</v>
      </c>
      <c r="AC135" s="16" t="s">
        <v>51</v>
      </c>
      <c r="AD135" s="30"/>
      <c r="AE135" s="44"/>
      <c r="AF135" s="35" t="s">
        <v>97</v>
      </c>
      <c r="AG135" s="34" t="s">
        <v>98</v>
      </c>
    </row>
    <row r="136" spans="1:33" ht="25.5" customHeight="1" x14ac:dyDescent="0.4">
      <c r="A136" s="15" t="s">
        <v>451</v>
      </c>
      <c r="B136" s="69">
        <v>22</v>
      </c>
      <c r="C136" s="17">
        <v>134</v>
      </c>
      <c r="D136" s="18" t="s">
        <v>676</v>
      </c>
      <c r="E136" s="46">
        <v>805841</v>
      </c>
      <c r="F136" s="59"/>
      <c r="G136" s="70" t="s">
        <v>542</v>
      </c>
      <c r="H136" s="20" t="s">
        <v>543</v>
      </c>
      <c r="I136" s="33" t="s">
        <v>671</v>
      </c>
      <c r="J136" s="49" t="s">
        <v>672</v>
      </c>
      <c r="K136" s="46" t="s">
        <v>673</v>
      </c>
      <c r="L136" s="29" t="s">
        <v>677</v>
      </c>
      <c r="M136" s="16" t="s">
        <v>41</v>
      </c>
      <c r="N136" s="16" t="s">
        <v>458</v>
      </c>
      <c r="O136" s="16"/>
      <c r="P136" s="16" t="s">
        <v>43</v>
      </c>
      <c r="Q136" s="24" t="s">
        <v>17</v>
      </c>
      <c r="R136" s="22" t="s">
        <v>44</v>
      </c>
      <c r="S136" s="49" t="s">
        <v>68</v>
      </c>
      <c r="T136" s="57" t="s">
        <v>663</v>
      </c>
      <c r="U136" s="57" t="s">
        <v>675</v>
      </c>
      <c r="V136" s="47" t="s">
        <v>47</v>
      </c>
      <c r="W136" s="28" t="s">
        <v>669</v>
      </c>
      <c r="X136" s="16">
        <v>1</v>
      </c>
      <c r="Y136" s="29">
        <v>1</v>
      </c>
      <c r="Z136" s="18" t="s">
        <v>49</v>
      </c>
      <c r="AA136" s="18" t="s">
        <v>50</v>
      </c>
      <c r="AB136" s="17">
        <v>2020</v>
      </c>
      <c r="AC136" s="16" t="s">
        <v>51</v>
      </c>
      <c r="AD136" s="30" t="s">
        <v>678</v>
      </c>
      <c r="AE136" s="44"/>
      <c r="AF136" s="39"/>
      <c r="AG136" s="34"/>
    </row>
    <row r="137" spans="1:33" ht="25.5" customHeight="1" x14ac:dyDescent="0.4">
      <c r="A137" s="15" t="s">
        <v>451</v>
      </c>
      <c r="B137" s="69">
        <v>22</v>
      </c>
      <c r="C137" s="17">
        <v>135</v>
      </c>
      <c r="D137" s="18" t="s">
        <v>679</v>
      </c>
      <c r="E137" s="46">
        <v>805841</v>
      </c>
      <c r="F137" s="48"/>
      <c r="G137" s="70" t="s">
        <v>542</v>
      </c>
      <c r="H137" s="20" t="s">
        <v>543</v>
      </c>
      <c r="I137" s="33" t="s">
        <v>671</v>
      </c>
      <c r="J137" s="49" t="s">
        <v>672</v>
      </c>
      <c r="K137" s="46" t="s">
        <v>673</v>
      </c>
      <c r="L137" s="29" t="s">
        <v>680</v>
      </c>
      <c r="M137" s="16" t="s">
        <v>41</v>
      </c>
      <c r="N137" s="16" t="s">
        <v>458</v>
      </c>
      <c r="O137" s="16"/>
      <c r="P137" s="16" t="s">
        <v>43</v>
      </c>
      <c r="Q137" s="24" t="s">
        <v>17</v>
      </c>
      <c r="R137" s="22" t="s">
        <v>44</v>
      </c>
      <c r="S137" s="49" t="s">
        <v>68</v>
      </c>
      <c r="T137" s="57" t="s">
        <v>663</v>
      </c>
      <c r="U137" s="57" t="s">
        <v>675</v>
      </c>
      <c r="V137" s="47" t="s">
        <v>47</v>
      </c>
      <c r="W137" s="28" t="s">
        <v>669</v>
      </c>
      <c r="X137" s="16">
        <v>1</v>
      </c>
      <c r="Y137" s="29">
        <v>1</v>
      </c>
      <c r="Z137" s="18" t="s">
        <v>49</v>
      </c>
      <c r="AA137" s="18" t="s">
        <v>50</v>
      </c>
      <c r="AB137" s="17">
        <v>2020</v>
      </c>
      <c r="AC137" s="16" t="s">
        <v>51</v>
      </c>
      <c r="AD137" s="30"/>
      <c r="AE137" s="44"/>
      <c r="AF137" s="37"/>
      <c r="AG137" s="34"/>
    </row>
    <row r="138" spans="1:33" ht="31.5" customHeight="1" x14ac:dyDescent="0.4">
      <c r="A138" s="15" t="s">
        <v>451</v>
      </c>
      <c r="B138" s="69">
        <v>23</v>
      </c>
      <c r="C138" s="18">
        <v>136</v>
      </c>
      <c r="D138" s="41"/>
      <c r="E138" s="46">
        <v>805842</v>
      </c>
      <c r="F138" s="46"/>
      <c r="G138" s="25" t="s">
        <v>542</v>
      </c>
      <c r="H138" s="20" t="s">
        <v>543</v>
      </c>
      <c r="I138" s="33" t="s">
        <v>681</v>
      </c>
      <c r="J138" s="49" t="s">
        <v>682</v>
      </c>
      <c r="K138" s="46" t="s">
        <v>683</v>
      </c>
      <c r="L138" s="29" t="s">
        <v>684</v>
      </c>
      <c r="M138" s="16" t="s">
        <v>41</v>
      </c>
      <c r="N138" s="16" t="s">
        <v>515</v>
      </c>
      <c r="O138" s="16"/>
      <c r="P138" s="16" t="s">
        <v>43</v>
      </c>
      <c r="Q138" s="24" t="s">
        <v>116</v>
      </c>
      <c r="R138" s="22" t="s">
        <v>44</v>
      </c>
      <c r="S138" s="49" t="s">
        <v>45</v>
      </c>
      <c r="T138" s="57" t="s">
        <v>685</v>
      </c>
      <c r="U138" s="57" t="s">
        <v>686</v>
      </c>
      <c r="V138" s="47" t="s">
        <v>47</v>
      </c>
      <c r="W138" s="28" t="s">
        <v>669</v>
      </c>
      <c r="X138" s="16">
        <v>1</v>
      </c>
      <c r="Y138" s="29">
        <v>1</v>
      </c>
      <c r="Z138" s="18" t="s">
        <v>49</v>
      </c>
      <c r="AA138" s="18" t="s">
        <v>50</v>
      </c>
      <c r="AB138" s="17">
        <v>2020</v>
      </c>
      <c r="AC138" s="16" t="s">
        <v>51</v>
      </c>
      <c r="AD138" s="30"/>
      <c r="AE138" s="44"/>
      <c r="AF138" s="35" t="s">
        <v>53</v>
      </c>
      <c r="AG138" s="34" t="s">
        <v>87</v>
      </c>
    </row>
    <row r="139" spans="1:33" ht="25.5" customHeight="1" x14ac:dyDescent="0.4">
      <c r="A139" s="15" t="s">
        <v>451</v>
      </c>
      <c r="B139" s="69">
        <v>23</v>
      </c>
      <c r="C139" s="18">
        <v>137</v>
      </c>
      <c r="D139" s="18" t="s">
        <v>687</v>
      </c>
      <c r="E139" s="46">
        <v>805842</v>
      </c>
      <c r="F139" s="48"/>
      <c r="G139" s="25" t="s">
        <v>542</v>
      </c>
      <c r="H139" s="20" t="s">
        <v>543</v>
      </c>
      <c r="I139" s="33" t="s">
        <v>681</v>
      </c>
      <c r="J139" s="49" t="s">
        <v>682</v>
      </c>
      <c r="K139" s="46" t="s">
        <v>683</v>
      </c>
      <c r="L139" s="29" t="s">
        <v>688</v>
      </c>
      <c r="M139" s="16" t="s">
        <v>41</v>
      </c>
      <c r="N139" s="16" t="s">
        <v>458</v>
      </c>
      <c r="O139" s="16"/>
      <c r="P139" s="16" t="s">
        <v>43</v>
      </c>
      <c r="Q139" s="24" t="s">
        <v>17</v>
      </c>
      <c r="R139" s="22" t="s">
        <v>44</v>
      </c>
      <c r="S139" s="49" t="s">
        <v>68</v>
      </c>
      <c r="T139" s="57" t="s">
        <v>685</v>
      </c>
      <c r="U139" s="57" t="s">
        <v>686</v>
      </c>
      <c r="V139" s="47" t="s">
        <v>47</v>
      </c>
      <c r="W139" s="28" t="s">
        <v>669</v>
      </c>
      <c r="X139" s="16">
        <v>1</v>
      </c>
      <c r="Y139" s="29">
        <v>1</v>
      </c>
      <c r="Z139" s="18" t="s">
        <v>49</v>
      </c>
      <c r="AA139" s="18" t="s">
        <v>50</v>
      </c>
      <c r="AB139" s="17">
        <v>2020</v>
      </c>
      <c r="AC139" s="16" t="s">
        <v>51</v>
      </c>
      <c r="AD139" s="30"/>
      <c r="AE139" s="44"/>
      <c r="AF139" s="37"/>
      <c r="AG139" s="34"/>
    </row>
    <row r="140" spans="1:33" ht="27.75" customHeight="1" x14ac:dyDescent="0.4">
      <c r="A140" s="15" t="s">
        <v>451</v>
      </c>
      <c r="B140" s="69">
        <v>24</v>
      </c>
      <c r="C140" s="18">
        <v>138</v>
      </c>
      <c r="D140" s="18" t="s">
        <v>689</v>
      </c>
      <c r="E140" s="46">
        <v>805843</v>
      </c>
      <c r="F140" s="46"/>
      <c r="G140" s="70" t="s">
        <v>542</v>
      </c>
      <c r="H140" s="20" t="s">
        <v>543</v>
      </c>
      <c r="I140" s="33" t="s">
        <v>690</v>
      </c>
      <c r="J140" s="49" t="s">
        <v>691</v>
      </c>
      <c r="K140" s="46" t="s">
        <v>692</v>
      </c>
      <c r="L140" s="29" t="s">
        <v>693</v>
      </c>
      <c r="M140" s="16" t="s">
        <v>41</v>
      </c>
      <c r="N140" s="16" t="s">
        <v>515</v>
      </c>
      <c r="O140" s="16"/>
      <c r="P140" s="16" t="s">
        <v>43</v>
      </c>
      <c r="Q140" s="24" t="s">
        <v>17</v>
      </c>
      <c r="R140" s="22" t="s">
        <v>44</v>
      </c>
      <c r="S140" s="49" t="s">
        <v>45</v>
      </c>
      <c r="T140" s="57" t="s">
        <v>586</v>
      </c>
      <c r="U140" s="57" t="s">
        <v>694</v>
      </c>
      <c r="V140" s="47" t="s">
        <v>47</v>
      </c>
      <c r="W140" s="28" t="s">
        <v>669</v>
      </c>
      <c r="X140" s="16">
        <v>1</v>
      </c>
      <c r="Y140" s="29">
        <v>1</v>
      </c>
      <c r="Z140" s="18" t="s">
        <v>49</v>
      </c>
      <c r="AA140" s="18" t="s">
        <v>50</v>
      </c>
      <c r="AB140" s="17">
        <v>2020</v>
      </c>
      <c r="AC140" s="16" t="s">
        <v>51</v>
      </c>
      <c r="AD140" s="30"/>
      <c r="AE140" s="44"/>
      <c r="AF140" s="35" t="s">
        <v>53</v>
      </c>
      <c r="AG140" s="34" t="s">
        <v>87</v>
      </c>
    </row>
    <row r="141" spans="1:33" ht="25.5" customHeight="1" x14ac:dyDescent="0.4">
      <c r="A141" s="15" t="s">
        <v>451</v>
      </c>
      <c r="B141" s="69">
        <v>24</v>
      </c>
      <c r="C141" s="18">
        <v>139</v>
      </c>
      <c r="D141" s="18" t="s">
        <v>695</v>
      </c>
      <c r="E141" s="46">
        <v>805843</v>
      </c>
      <c r="F141" s="48"/>
      <c r="G141" s="70" t="s">
        <v>542</v>
      </c>
      <c r="H141" s="20" t="s">
        <v>543</v>
      </c>
      <c r="I141" s="33" t="s">
        <v>690</v>
      </c>
      <c r="J141" s="49" t="s">
        <v>691</v>
      </c>
      <c r="K141" s="46" t="s">
        <v>692</v>
      </c>
      <c r="L141" s="29" t="s">
        <v>696</v>
      </c>
      <c r="M141" s="16" t="s">
        <v>41</v>
      </c>
      <c r="N141" s="16" t="s">
        <v>458</v>
      </c>
      <c r="O141" s="16"/>
      <c r="P141" s="16" t="s">
        <v>43</v>
      </c>
      <c r="Q141" s="24" t="s">
        <v>17</v>
      </c>
      <c r="R141" s="22" t="s">
        <v>44</v>
      </c>
      <c r="S141" s="49" t="s">
        <v>68</v>
      </c>
      <c r="T141" s="57" t="s">
        <v>586</v>
      </c>
      <c r="U141" s="57" t="s">
        <v>694</v>
      </c>
      <c r="V141" s="47" t="s">
        <v>47</v>
      </c>
      <c r="W141" s="28" t="s">
        <v>669</v>
      </c>
      <c r="X141" s="16">
        <v>1</v>
      </c>
      <c r="Y141" s="29">
        <v>1</v>
      </c>
      <c r="Z141" s="18" t="s">
        <v>49</v>
      </c>
      <c r="AA141" s="18" t="s">
        <v>50</v>
      </c>
      <c r="AB141" s="17">
        <v>2020</v>
      </c>
      <c r="AC141" s="16" t="s">
        <v>51</v>
      </c>
      <c r="AD141" s="30"/>
      <c r="AE141" s="44"/>
      <c r="AF141" s="37"/>
      <c r="AG141" s="34"/>
    </row>
    <row r="142" spans="1:33" ht="15.75" customHeight="1" x14ac:dyDescent="0.4">
      <c r="A142" s="15" t="s">
        <v>451</v>
      </c>
      <c r="B142" s="69">
        <v>25</v>
      </c>
      <c r="C142" s="17">
        <v>140</v>
      </c>
      <c r="D142" s="18" t="s">
        <v>697</v>
      </c>
      <c r="E142" s="46">
        <v>805845</v>
      </c>
      <c r="F142" s="46"/>
      <c r="G142" s="70" t="s">
        <v>542</v>
      </c>
      <c r="H142" s="20" t="s">
        <v>543</v>
      </c>
      <c r="I142" s="33" t="s">
        <v>698</v>
      </c>
      <c r="J142" s="49" t="s">
        <v>699</v>
      </c>
      <c r="K142" s="46" t="s">
        <v>700</v>
      </c>
      <c r="L142" s="29" t="s">
        <v>701</v>
      </c>
      <c r="M142" s="16" t="s">
        <v>41</v>
      </c>
      <c r="N142" s="16" t="s">
        <v>515</v>
      </c>
      <c r="O142" s="16"/>
      <c r="P142" s="16" t="s">
        <v>43</v>
      </c>
      <c r="Q142" s="24" t="s">
        <v>17</v>
      </c>
      <c r="R142" s="22" t="s">
        <v>44</v>
      </c>
      <c r="S142" s="49" t="s">
        <v>45</v>
      </c>
      <c r="T142" s="57" t="s">
        <v>586</v>
      </c>
      <c r="U142" s="57" t="s">
        <v>702</v>
      </c>
      <c r="V142" s="47" t="s">
        <v>47</v>
      </c>
      <c r="W142" s="28" t="s">
        <v>669</v>
      </c>
      <c r="X142" s="16">
        <v>1</v>
      </c>
      <c r="Y142" s="29">
        <v>1</v>
      </c>
      <c r="Z142" s="18" t="s">
        <v>49</v>
      </c>
      <c r="AA142" s="18" t="s">
        <v>50</v>
      </c>
      <c r="AB142" s="17">
        <v>2020</v>
      </c>
      <c r="AC142" s="16" t="s">
        <v>51</v>
      </c>
      <c r="AD142" s="30"/>
      <c r="AE142" s="44"/>
      <c r="AF142" s="35" t="s">
        <v>97</v>
      </c>
      <c r="AG142" s="34" t="s">
        <v>98</v>
      </c>
    </row>
    <row r="143" spans="1:33" ht="25.5" customHeight="1" x14ac:dyDescent="0.4">
      <c r="A143" s="15" t="s">
        <v>451</v>
      </c>
      <c r="B143" s="69">
        <v>25</v>
      </c>
      <c r="C143" s="17">
        <v>141</v>
      </c>
      <c r="D143" s="18" t="s">
        <v>703</v>
      </c>
      <c r="E143" s="46">
        <v>805845</v>
      </c>
      <c r="F143" s="59"/>
      <c r="G143" s="70" t="s">
        <v>542</v>
      </c>
      <c r="H143" s="20" t="s">
        <v>543</v>
      </c>
      <c r="I143" s="33" t="s">
        <v>698</v>
      </c>
      <c r="J143" s="49" t="s">
        <v>699</v>
      </c>
      <c r="K143" s="46" t="s">
        <v>700</v>
      </c>
      <c r="L143" s="29" t="s">
        <v>704</v>
      </c>
      <c r="M143" s="16" t="s">
        <v>41</v>
      </c>
      <c r="N143" s="16" t="s">
        <v>458</v>
      </c>
      <c r="O143" s="16"/>
      <c r="P143" s="16" t="s">
        <v>43</v>
      </c>
      <c r="Q143" s="24" t="s">
        <v>17</v>
      </c>
      <c r="R143" s="22" t="s">
        <v>44</v>
      </c>
      <c r="S143" s="49" t="s">
        <v>68</v>
      </c>
      <c r="T143" s="57" t="s">
        <v>586</v>
      </c>
      <c r="U143" s="57" t="s">
        <v>702</v>
      </c>
      <c r="V143" s="47" t="s">
        <v>47</v>
      </c>
      <c r="W143" s="28" t="s">
        <v>669</v>
      </c>
      <c r="X143" s="16">
        <v>1</v>
      </c>
      <c r="Y143" s="29">
        <v>1</v>
      </c>
      <c r="Z143" s="18" t="s">
        <v>49</v>
      </c>
      <c r="AA143" s="18" t="s">
        <v>50</v>
      </c>
      <c r="AB143" s="17">
        <v>2020</v>
      </c>
      <c r="AC143" s="16" t="s">
        <v>51</v>
      </c>
      <c r="AD143" s="30"/>
      <c r="AE143" s="44"/>
      <c r="AF143" s="39"/>
      <c r="AG143" s="34"/>
    </row>
    <row r="144" spans="1:33" x14ac:dyDescent="0.4">
      <c r="A144" s="15" t="s">
        <v>451</v>
      </c>
      <c r="B144" s="69">
        <v>25</v>
      </c>
      <c r="C144" s="17">
        <v>142</v>
      </c>
      <c r="D144" s="18" t="s">
        <v>705</v>
      </c>
      <c r="E144" s="46">
        <v>805845</v>
      </c>
      <c r="F144" s="48"/>
      <c r="G144" s="70" t="s">
        <v>542</v>
      </c>
      <c r="H144" s="20" t="s">
        <v>543</v>
      </c>
      <c r="I144" s="33" t="s">
        <v>698</v>
      </c>
      <c r="J144" s="49" t="s">
        <v>699</v>
      </c>
      <c r="K144" s="46" t="s">
        <v>700</v>
      </c>
      <c r="L144" s="29" t="s">
        <v>706</v>
      </c>
      <c r="M144" s="16" t="s">
        <v>41</v>
      </c>
      <c r="N144" s="16" t="s">
        <v>458</v>
      </c>
      <c r="O144" s="16"/>
      <c r="P144" s="16" t="s">
        <v>43</v>
      </c>
      <c r="Q144" s="24" t="s">
        <v>17</v>
      </c>
      <c r="R144" s="22" t="s">
        <v>44</v>
      </c>
      <c r="S144" s="49" t="s">
        <v>68</v>
      </c>
      <c r="T144" s="57" t="s">
        <v>586</v>
      </c>
      <c r="U144" s="57" t="s">
        <v>702</v>
      </c>
      <c r="V144" s="47" t="s">
        <v>47</v>
      </c>
      <c r="W144" s="28" t="s">
        <v>669</v>
      </c>
      <c r="X144" s="16">
        <v>1</v>
      </c>
      <c r="Y144" s="29">
        <v>1</v>
      </c>
      <c r="Z144" s="18" t="s">
        <v>49</v>
      </c>
      <c r="AA144" s="18" t="s">
        <v>50</v>
      </c>
      <c r="AB144" s="17">
        <v>2020</v>
      </c>
      <c r="AC144" s="16" t="s">
        <v>51</v>
      </c>
      <c r="AD144" s="30"/>
      <c r="AE144" s="44"/>
      <c r="AF144" s="37"/>
      <c r="AG144" s="34"/>
    </row>
    <row r="145" spans="1:33" ht="26" x14ac:dyDescent="0.4">
      <c r="A145" s="15" t="s">
        <v>451</v>
      </c>
      <c r="B145" s="69">
        <v>26</v>
      </c>
      <c r="C145" s="17">
        <v>143</v>
      </c>
      <c r="D145" s="18" t="s">
        <v>707</v>
      </c>
      <c r="E145" s="46">
        <v>805848</v>
      </c>
      <c r="F145" s="46"/>
      <c r="G145" s="70" t="s">
        <v>542</v>
      </c>
      <c r="H145" s="20" t="s">
        <v>543</v>
      </c>
      <c r="I145" s="33" t="s">
        <v>708</v>
      </c>
      <c r="J145" s="46" t="s">
        <v>709</v>
      </c>
      <c r="K145" s="46" t="s">
        <v>710</v>
      </c>
      <c r="L145" s="29" t="s">
        <v>711</v>
      </c>
      <c r="M145" s="16" t="s">
        <v>41</v>
      </c>
      <c r="N145" s="16" t="s">
        <v>515</v>
      </c>
      <c r="O145" s="16"/>
      <c r="P145" s="16" t="s">
        <v>43</v>
      </c>
      <c r="Q145" s="24" t="s">
        <v>17</v>
      </c>
      <c r="R145" s="22" t="s">
        <v>44</v>
      </c>
      <c r="S145" s="49" t="s">
        <v>45</v>
      </c>
      <c r="T145" s="57" t="s">
        <v>712</v>
      </c>
      <c r="U145" s="57" t="s">
        <v>570</v>
      </c>
      <c r="V145" s="47" t="s">
        <v>47</v>
      </c>
      <c r="W145" s="28" t="s">
        <v>669</v>
      </c>
      <c r="X145" s="28"/>
      <c r="Y145" s="29">
        <v>1</v>
      </c>
      <c r="Z145" s="18" t="s">
        <v>49</v>
      </c>
      <c r="AA145" s="18" t="s">
        <v>50</v>
      </c>
      <c r="AB145" s="17">
        <v>2020</v>
      </c>
      <c r="AC145" s="16" t="s">
        <v>51</v>
      </c>
      <c r="AD145" s="30"/>
      <c r="AE145" s="44"/>
      <c r="AF145" s="35" t="s">
        <v>53</v>
      </c>
      <c r="AG145" s="34" t="s">
        <v>87</v>
      </c>
    </row>
    <row r="146" spans="1:33" ht="26" x14ac:dyDescent="0.4">
      <c r="A146" s="15" t="s">
        <v>451</v>
      </c>
      <c r="B146" s="69">
        <v>26</v>
      </c>
      <c r="C146" s="17">
        <v>144</v>
      </c>
      <c r="D146" s="18" t="s">
        <v>713</v>
      </c>
      <c r="E146" s="46">
        <v>805848</v>
      </c>
      <c r="F146" s="48"/>
      <c r="G146" s="70" t="s">
        <v>542</v>
      </c>
      <c r="H146" s="20" t="s">
        <v>543</v>
      </c>
      <c r="I146" s="33" t="s">
        <v>708</v>
      </c>
      <c r="J146" s="46" t="s">
        <v>709</v>
      </c>
      <c r="K146" s="46" t="s">
        <v>710</v>
      </c>
      <c r="L146" s="29" t="s">
        <v>714</v>
      </c>
      <c r="M146" s="16" t="s">
        <v>41</v>
      </c>
      <c r="N146" s="16" t="s">
        <v>458</v>
      </c>
      <c r="O146" s="16"/>
      <c r="P146" s="16" t="s">
        <v>43</v>
      </c>
      <c r="Q146" s="24" t="s">
        <v>17</v>
      </c>
      <c r="R146" s="22" t="s">
        <v>44</v>
      </c>
      <c r="S146" s="49" t="s">
        <v>68</v>
      </c>
      <c r="T146" s="57" t="s">
        <v>712</v>
      </c>
      <c r="U146" s="57" t="s">
        <v>570</v>
      </c>
      <c r="V146" s="47" t="s">
        <v>47</v>
      </c>
      <c r="W146" s="28" t="s">
        <v>669</v>
      </c>
      <c r="X146" s="28"/>
      <c r="Y146" s="29">
        <v>1</v>
      </c>
      <c r="Z146" s="18" t="s">
        <v>49</v>
      </c>
      <c r="AA146" s="18" t="s">
        <v>50</v>
      </c>
      <c r="AB146" s="17">
        <v>2020</v>
      </c>
      <c r="AC146" s="16" t="s">
        <v>51</v>
      </c>
      <c r="AD146" s="30"/>
      <c r="AE146" s="44"/>
      <c r="AF146" s="37"/>
      <c r="AG146" s="34"/>
    </row>
    <row r="147" spans="1:33" ht="24" customHeight="1" x14ac:dyDescent="0.4">
      <c r="A147" s="15" t="s">
        <v>451</v>
      </c>
      <c r="B147" s="69">
        <v>27</v>
      </c>
      <c r="C147" s="17">
        <v>145</v>
      </c>
      <c r="D147" s="18" t="s">
        <v>715</v>
      </c>
      <c r="E147" s="46">
        <v>839820</v>
      </c>
      <c r="F147" s="46"/>
      <c r="G147" s="19" t="s">
        <v>716</v>
      </c>
      <c r="H147" s="20" t="s">
        <v>717</v>
      </c>
      <c r="I147" s="33" t="s">
        <v>718</v>
      </c>
      <c r="J147" s="46" t="s">
        <v>719</v>
      </c>
      <c r="K147" s="46" t="s">
        <v>720</v>
      </c>
      <c r="L147" s="29" t="s">
        <v>721</v>
      </c>
      <c r="M147" s="16" t="s">
        <v>41</v>
      </c>
      <c r="N147" s="16" t="s">
        <v>515</v>
      </c>
      <c r="O147" s="16"/>
      <c r="P147" s="16" t="s">
        <v>43</v>
      </c>
      <c r="Q147" s="24" t="s">
        <v>17</v>
      </c>
      <c r="R147" s="22" t="s">
        <v>44</v>
      </c>
      <c r="S147" s="49" t="s">
        <v>45</v>
      </c>
      <c r="T147" s="57" t="s">
        <v>722</v>
      </c>
      <c r="U147" s="57" t="s">
        <v>723</v>
      </c>
      <c r="V147" s="47" t="s">
        <v>47</v>
      </c>
      <c r="W147" s="28" t="s">
        <v>669</v>
      </c>
      <c r="X147" s="16">
        <v>1</v>
      </c>
      <c r="Y147" s="29">
        <v>1</v>
      </c>
      <c r="Z147" s="18" t="s">
        <v>49</v>
      </c>
      <c r="AA147" s="18" t="s">
        <v>50</v>
      </c>
      <c r="AB147" s="17">
        <v>2020</v>
      </c>
      <c r="AC147" s="16" t="s">
        <v>51</v>
      </c>
      <c r="AD147" s="30"/>
      <c r="AE147" s="44"/>
      <c r="AF147" s="35" t="s">
        <v>53</v>
      </c>
      <c r="AG147" s="34" t="s">
        <v>87</v>
      </c>
    </row>
    <row r="148" spans="1:33" ht="25.5" customHeight="1" x14ac:dyDescent="0.4">
      <c r="A148" s="15" t="s">
        <v>451</v>
      </c>
      <c r="B148" s="69">
        <v>27</v>
      </c>
      <c r="C148" s="17">
        <v>146</v>
      </c>
      <c r="D148" s="18" t="s">
        <v>724</v>
      </c>
      <c r="E148" s="46">
        <v>839820</v>
      </c>
      <c r="F148" s="48"/>
      <c r="G148" s="19" t="s">
        <v>716</v>
      </c>
      <c r="H148" s="20" t="s">
        <v>717</v>
      </c>
      <c r="I148" s="33" t="s">
        <v>718</v>
      </c>
      <c r="J148" s="46" t="s">
        <v>719</v>
      </c>
      <c r="K148" s="46" t="s">
        <v>720</v>
      </c>
      <c r="L148" s="29" t="s">
        <v>725</v>
      </c>
      <c r="M148" s="16" t="s">
        <v>41</v>
      </c>
      <c r="N148" s="16" t="s">
        <v>458</v>
      </c>
      <c r="O148" s="16"/>
      <c r="P148" s="16" t="s">
        <v>43</v>
      </c>
      <c r="Q148" s="24" t="s">
        <v>17</v>
      </c>
      <c r="R148" s="22" t="s">
        <v>44</v>
      </c>
      <c r="S148" s="49" t="s">
        <v>68</v>
      </c>
      <c r="T148" s="57" t="s">
        <v>722</v>
      </c>
      <c r="U148" s="57" t="s">
        <v>723</v>
      </c>
      <c r="V148" s="47" t="s">
        <v>47</v>
      </c>
      <c r="W148" s="28" t="s">
        <v>669</v>
      </c>
      <c r="X148" s="16">
        <v>1</v>
      </c>
      <c r="Y148" s="29">
        <v>1</v>
      </c>
      <c r="Z148" s="18" t="s">
        <v>49</v>
      </c>
      <c r="AA148" s="18" t="s">
        <v>50</v>
      </c>
      <c r="AB148" s="17">
        <v>2020</v>
      </c>
      <c r="AC148" s="16" t="s">
        <v>51</v>
      </c>
      <c r="AD148" s="30"/>
      <c r="AE148" s="44"/>
      <c r="AF148" s="37"/>
      <c r="AG148" s="34"/>
    </row>
    <row r="149" spans="1:33" ht="30.75" customHeight="1" x14ac:dyDescent="0.4">
      <c r="A149" s="15" t="s">
        <v>451</v>
      </c>
      <c r="B149" s="69">
        <v>28</v>
      </c>
      <c r="C149" s="17">
        <v>147</v>
      </c>
      <c r="D149" s="18" t="s">
        <v>726</v>
      </c>
      <c r="E149" s="46">
        <v>839821</v>
      </c>
      <c r="F149" s="46"/>
      <c r="G149" s="19" t="s">
        <v>716</v>
      </c>
      <c r="H149" s="20" t="s">
        <v>727</v>
      </c>
      <c r="I149" s="33" t="s">
        <v>728</v>
      </c>
      <c r="J149" s="49" t="s">
        <v>729</v>
      </c>
      <c r="K149" s="46" t="s">
        <v>730</v>
      </c>
      <c r="L149" s="29" t="s">
        <v>731</v>
      </c>
      <c r="M149" s="16" t="s">
        <v>41</v>
      </c>
      <c r="N149" s="16" t="s">
        <v>515</v>
      </c>
      <c r="O149" s="16"/>
      <c r="P149" s="16" t="s">
        <v>43</v>
      </c>
      <c r="Q149" s="24" t="s">
        <v>17</v>
      </c>
      <c r="R149" s="22" t="s">
        <v>44</v>
      </c>
      <c r="S149" s="49" t="s">
        <v>45</v>
      </c>
      <c r="T149" s="57" t="s">
        <v>732</v>
      </c>
      <c r="U149" s="57" t="s">
        <v>733</v>
      </c>
      <c r="V149" s="47" t="s">
        <v>47</v>
      </c>
      <c r="W149" s="28" t="s">
        <v>669</v>
      </c>
      <c r="X149" s="16">
        <v>1</v>
      </c>
      <c r="Y149" s="29">
        <v>1</v>
      </c>
      <c r="Z149" s="18" t="s">
        <v>49</v>
      </c>
      <c r="AA149" s="18" t="s">
        <v>50</v>
      </c>
      <c r="AB149" s="17">
        <v>2020</v>
      </c>
      <c r="AC149" s="16" t="s">
        <v>51</v>
      </c>
      <c r="AD149" s="30"/>
      <c r="AE149" s="44"/>
      <c r="AF149" s="35" t="s">
        <v>97</v>
      </c>
      <c r="AG149" s="34" t="s">
        <v>98</v>
      </c>
    </row>
    <row r="150" spans="1:33" x14ac:dyDescent="0.4">
      <c r="A150" s="15" t="s">
        <v>451</v>
      </c>
      <c r="B150" s="69">
        <v>28</v>
      </c>
      <c r="C150" s="17">
        <v>148</v>
      </c>
      <c r="D150" s="18" t="s">
        <v>734</v>
      </c>
      <c r="E150" s="46">
        <v>839821</v>
      </c>
      <c r="F150" s="59"/>
      <c r="G150" s="19" t="s">
        <v>716</v>
      </c>
      <c r="H150" s="20" t="s">
        <v>727</v>
      </c>
      <c r="I150" s="33" t="s">
        <v>728</v>
      </c>
      <c r="J150" s="49" t="s">
        <v>729</v>
      </c>
      <c r="K150" s="46" t="s">
        <v>730</v>
      </c>
      <c r="L150" s="29" t="s">
        <v>735</v>
      </c>
      <c r="M150" s="16" t="s">
        <v>41</v>
      </c>
      <c r="N150" s="16" t="s">
        <v>458</v>
      </c>
      <c r="O150" s="16"/>
      <c r="P150" s="16" t="s">
        <v>43</v>
      </c>
      <c r="Q150" s="24" t="s">
        <v>17</v>
      </c>
      <c r="R150" s="22" t="s">
        <v>44</v>
      </c>
      <c r="S150" s="49" t="s">
        <v>68</v>
      </c>
      <c r="T150" s="57" t="s">
        <v>732</v>
      </c>
      <c r="U150" s="57" t="s">
        <v>733</v>
      </c>
      <c r="V150" s="47" t="s">
        <v>47</v>
      </c>
      <c r="W150" s="28" t="s">
        <v>669</v>
      </c>
      <c r="X150" s="16">
        <v>1</v>
      </c>
      <c r="Y150" s="29">
        <v>1</v>
      </c>
      <c r="Z150" s="18" t="s">
        <v>49</v>
      </c>
      <c r="AA150" s="18" t="s">
        <v>50</v>
      </c>
      <c r="AB150" s="17">
        <v>2020</v>
      </c>
      <c r="AC150" s="16" t="s">
        <v>51</v>
      </c>
      <c r="AD150" s="30"/>
      <c r="AE150" s="44"/>
      <c r="AF150" s="39"/>
      <c r="AG150" s="34"/>
    </row>
    <row r="151" spans="1:33" x14ac:dyDescent="0.4">
      <c r="A151" s="15" t="s">
        <v>451</v>
      </c>
      <c r="B151" s="69">
        <v>28</v>
      </c>
      <c r="C151" s="17">
        <v>149</v>
      </c>
      <c r="D151" s="18" t="s">
        <v>736</v>
      </c>
      <c r="E151" s="46">
        <v>839821</v>
      </c>
      <c r="F151" s="48"/>
      <c r="G151" s="19" t="s">
        <v>716</v>
      </c>
      <c r="H151" s="20" t="s">
        <v>727</v>
      </c>
      <c r="I151" s="33" t="s">
        <v>728</v>
      </c>
      <c r="J151" s="49" t="s">
        <v>729</v>
      </c>
      <c r="K151" s="46" t="s">
        <v>730</v>
      </c>
      <c r="L151" s="29" t="s">
        <v>737</v>
      </c>
      <c r="M151" s="16" t="s">
        <v>41</v>
      </c>
      <c r="N151" s="16" t="s">
        <v>458</v>
      </c>
      <c r="O151" s="16"/>
      <c r="P151" s="16" t="s">
        <v>43</v>
      </c>
      <c r="Q151" s="24" t="s">
        <v>17</v>
      </c>
      <c r="R151" s="22" t="s">
        <v>44</v>
      </c>
      <c r="S151" s="49" t="s">
        <v>68</v>
      </c>
      <c r="T151" s="57" t="s">
        <v>732</v>
      </c>
      <c r="U151" s="57" t="s">
        <v>733</v>
      </c>
      <c r="V151" s="47" t="s">
        <v>47</v>
      </c>
      <c r="W151" s="28" t="s">
        <v>669</v>
      </c>
      <c r="X151" s="16">
        <v>1</v>
      </c>
      <c r="Y151" s="29">
        <v>1</v>
      </c>
      <c r="Z151" s="18" t="s">
        <v>49</v>
      </c>
      <c r="AA151" s="18" t="s">
        <v>50</v>
      </c>
      <c r="AB151" s="17">
        <v>2020</v>
      </c>
      <c r="AC151" s="16" t="s">
        <v>51</v>
      </c>
      <c r="AD151" s="30"/>
      <c r="AE151" s="44"/>
      <c r="AF151" s="37"/>
      <c r="AG151" s="34"/>
    </row>
    <row r="152" spans="1:33" x14ac:dyDescent="0.4">
      <c r="A152" s="15" t="s">
        <v>451</v>
      </c>
      <c r="B152" s="49">
        <v>29</v>
      </c>
      <c r="C152" s="17">
        <v>150</v>
      </c>
      <c r="D152" s="18" t="s">
        <v>738</v>
      </c>
      <c r="E152" s="49">
        <v>839825</v>
      </c>
      <c r="F152" s="29"/>
      <c r="G152" s="19" t="s">
        <v>716</v>
      </c>
      <c r="H152" s="61" t="s">
        <v>739</v>
      </c>
      <c r="I152" s="61" t="s">
        <v>740</v>
      </c>
      <c r="J152" s="49" t="s">
        <v>741</v>
      </c>
      <c r="K152" s="49" t="s">
        <v>742</v>
      </c>
      <c r="L152" s="29" t="s">
        <v>743</v>
      </c>
      <c r="M152" s="16" t="s">
        <v>41</v>
      </c>
      <c r="N152" s="16" t="s">
        <v>515</v>
      </c>
      <c r="O152" s="16"/>
      <c r="P152" s="16" t="s">
        <v>43</v>
      </c>
      <c r="Q152" s="24" t="s">
        <v>17</v>
      </c>
      <c r="R152" s="22" t="s">
        <v>44</v>
      </c>
      <c r="S152" s="49" t="s">
        <v>45</v>
      </c>
      <c r="T152" s="57" t="s">
        <v>744</v>
      </c>
      <c r="U152" s="57" t="s">
        <v>745</v>
      </c>
      <c r="V152" s="49" t="s">
        <v>47</v>
      </c>
      <c r="W152" s="28" t="s">
        <v>669</v>
      </c>
      <c r="X152" s="16">
        <v>1</v>
      </c>
      <c r="Y152" s="29">
        <v>1</v>
      </c>
      <c r="Z152" s="18" t="s">
        <v>49</v>
      </c>
      <c r="AA152" s="18" t="s">
        <v>50</v>
      </c>
      <c r="AB152" s="17">
        <v>2020</v>
      </c>
      <c r="AC152" s="16" t="s">
        <v>51</v>
      </c>
      <c r="AD152" s="30"/>
      <c r="AE152" s="29"/>
      <c r="AF152" s="16" t="s">
        <v>52</v>
      </c>
      <c r="AG152" s="16" t="s">
        <v>53</v>
      </c>
    </row>
    <row r="153" spans="1:33" x14ac:dyDescent="0.4">
      <c r="A153" s="15" t="s">
        <v>451</v>
      </c>
      <c r="B153" s="69">
        <v>30</v>
      </c>
      <c r="C153" s="17">
        <v>151</v>
      </c>
      <c r="D153" s="18" t="s">
        <v>746</v>
      </c>
      <c r="E153" s="46">
        <v>839826</v>
      </c>
      <c r="F153" s="46"/>
      <c r="G153" s="19" t="s">
        <v>716</v>
      </c>
      <c r="H153" s="24" t="s">
        <v>716</v>
      </c>
      <c r="I153" s="33" t="s">
        <v>747</v>
      </c>
      <c r="J153" s="49" t="s">
        <v>748</v>
      </c>
      <c r="K153" s="46" t="s">
        <v>749</v>
      </c>
      <c r="L153" s="29" t="s">
        <v>750</v>
      </c>
      <c r="M153" s="16" t="s">
        <v>41</v>
      </c>
      <c r="N153" s="16" t="s">
        <v>515</v>
      </c>
      <c r="O153" s="16"/>
      <c r="P153" s="16" t="s">
        <v>43</v>
      </c>
      <c r="Q153" s="24" t="s">
        <v>17</v>
      </c>
      <c r="R153" s="22" t="s">
        <v>44</v>
      </c>
      <c r="S153" s="49" t="s">
        <v>45</v>
      </c>
      <c r="T153" s="57" t="s">
        <v>751</v>
      </c>
      <c r="U153" s="57" t="s">
        <v>752</v>
      </c>
      <c r="V153" s="47" t="s">
        <v>47</v>
      </c>
      <c r="W153" s="28" t="s">
        <v>669</v>
      </c>
      <c r="X153" s="16">
        <v>1</v>
      </c>
      <c r="Y153" s="29">
        <v>1</v>
      </c>
      <c r="Z153" s="18" t="s">
        <v>49</v>
      </c>
      <c r="AA153" s="18" t="s">
        <v>50</v>
      </c>
      <c r="AB153" s="17">
        <v>2020</v>
      </c>
      <c r="AC153" s="16" t="s">
        <v>51</v>
      </c>
      <c r="AD153" s="30"/>
      <c r="AE153" s="44"/>
      <c r="AF153" s="35" t="s">
        <v>53</v>
      </c>
      <c r="AG153" s="34" t="s">
        <v>87</v>
      </c>
    </row>
    <row r="154" spans="1:33" x14ac:dyDescent="0.4">
      <c r="A154" s="15" t="s">
        <v>451</v>
      </c>
      <c r="B154" s="69">
        <v>30</v>
      </c>
      <c r="C154" s="17">
        <v>152</v>
      </c>
      <c r="D154" s="18" t="s">
        <v>753</v>
      </c>
      <c r="E154" s="46">
        <v>839826</v>
      </c>
      <c r="F154" s="48"/>
      <c r="G154" s="19" t="s">
        <v>716</v>
      </c>
      <c r="H154" s="24" t="s">
        <v>716</v>
      </c>
      <c r="I154" s="33" t="s">
        <v>747</v>
      </c>
      <c r="J154" s="49" t="s">
        <v>748</v>
      </c>
      <c r="K154" s="46" t="s">
        <v>749</v>
      </c>
      <c r="L154" s="29" t="s">
        <v>754</v>
      </c>
      <c r="M154" s="16" t="s">
        <v>41</v>
      </c>
      <c r="N154" s="16" t="s">
        <v>458</v>
      </c>
      <c r="O154" s="16"/>
      <c r="P154" s="16" t="s">
        <v>43</v>
      </c>
      <c r="Q154" s="24" t="s">
        <v>17</v>
      </c>
      <c r="R154" s="22" t="s">
        <v>44</v>
      </c>
      <c r="S154" s="49" t="s">
        <v>68</v>
      </c>
      <c r="T154" s="57" t="s">
        <v>751</v>
      </c>
      <c r="U154" s="57" t="s">
        <v>752</v>
      </c>
      <c r="V154" s="47" t="s">
        <v>47</v>
      </c>
      <c r="W154" s="28" t="s">
        <v>669</v>
      </c>
      <c r="X154" s="16">
        <v>1</v>
      </c>
      <c r="Y154" s="29">
        <v>1</v>
      </c>
      <c r="Z154" s="18" t="s">
        <v>49</v>
      </c>
      <c r="AA154" s="18" t="s">
        <v>50</v>
      </c>
      <c r="AB154" s="17">
        <v>2020</v>
      </c>
      <c r="AC154" s="16" t="s">
        <v>51</v>
      </c>
      <c r="AD154" s="30"/>
      <c r="AE154" s="44"/>
      <c r="AF154" s="37"/>
      <c r="AG154" s="34"/>
    </row>
    <row r="155" spans="1:33" x14ac:dyDescent="0.4">
      <c r="A155" s="15" t="s">
        <v>451</v>
      </c>
      <c r="B155" s="49">
        <v>31</v>
      </c>
      <c r="C155" s="17">
        <v>153</v>
      </c>
      <c r="D155" s="18" t="s">
        <v>755</v>
      </c>
      <c r="E155" s="49">
        <v>839827</v>
      </c>
      <c r="F155" s="29"/>
      <c r="G155" s="19" t="s">
        <v>716</v>
      </c>
      <c r="H155" s="20" t="s">
        <v>716</v>
      </c>
      <c r="I155" s="79" t="s">
        <v>756</v>
      </c>
      <c r="J155" s="49" t="s">
        <v>757</v>
      </c>
      <c r="K155" s="49" t="s">
        <v>758</v>
      </c>
      <c r="L155" s="29" t="s">
        <v>759</v>
      </c>
      <c r="M155" s="16" t="s">
        <v>41</v>
      </c>
      <c r="N155" s="16" t="s">
        <v>515</v>
      </c>
      <c r="O155" s="16"/>
      <c r="P155" s="16" t="s">
        <v>43</v>
      </c>
      <c r="Q155" s="24" t="s">
        <v>17</v>
      </c>
      <c r="R155" s="22" t="s">
        <v>44</v>
      </c>
      <c r="S155" s="49" t="s">
        <v>45</v>
      </c>
      <c r="T155" s="57" t="s">
        <v>760</v>
      </c>
      <c r="U155" s="57" t="s">
        <v>761</v>
      </c>
      <c r="V155" s="49" t="s">
        <v>47</v>
      </c>
      <c r="W155" s="28" t="s">
        <v>669</v>
      </c>
      <c r="X155" s="28"/>
      <c r="Y155" s="29">
        <v>1</v>
      </c>
      <c r="Z155" s="18" t="s">
        <v>49</v>
      </c>
      <c r="AA155" s="18" t="s">
        <v>50</v>
      </c>
      <c r="AB155" s="17">
        <v>2020</v>
      </c>
      <c r="AC155" s="16" t="s">
        <v>51</v>
      </c>
      <c r="AD155" s="30"/>
      <c r="AE155" s="29"/>
      <c r="AF155" s="16" t="s">
        <v>52</v>
      </c>
      <c r="AG155" s="16" t="s">
        <v>53</v>
      </c>
    </row>
    <row r="156" spans="1:33" x14ac:dyDescent="0.4">
      <c r="A156" s="15" t="s">
        <v>451</v>
      </c>
      <c r="B156" s="69">
        <v>32</v>
      </c>
      <c r="C156" s="17">
        <v>154</v>
      </c>
      <c r="D156" s="18" t="s">
        <v>762</v>
      </c>
      <c r="E156" s="46">
        <v>839828</v>
      </c>
      <c r="F156" s="46"/>
      <c r="G156" s="19" t="s">
        <v>716</v>
      </c>
      <c r="H156" s="20" t="s">
        <v>716</v>
      </c>
      <c r="I156" s="33" t="s">
        <v>763</v>
      </c>
      <c r="J156" s="49" t="s">
        <v>764</v>
      </c>
      <c r="K156" s="46" t="s">
        <v>765</v>
      </c>
      <c r="L156" s="29" t="s">
        <v>766</v>
      </c>
      <c r="M156" s="16" t="s">
        <v>41</v>
      </c>
      <c r="N156" s="16" t="s">
        <v>515</v>
      </c>
      <c r="O156" s="16"/>
      <c r="P156" s="16" t="s">
        <v>43</v>
      </c>
      <c r="Q156" s="24" t="s">
        <v>17</v>
      </c>
      <c r="R156" s="22" t="s">
        <v>44</v>
      </c>
      <c r="S156" s="49" t="s">
        <v>45</v>
      </c>
      <c r="T156" s="57" t="s">
        <v>767</v>
      </c>
      <c r="U156" s="57" t="s">
        <v>768</v>
      </c>
      <c r="V156" s="47" t="s">
        <v>47</v>
      </c>
      <c r="W156" s="28" t="s">
        <v>669</v>
      </c>
      <c r="X156" s="28"/>
      <c r="Y156" s="29">
        <v>1</v>
      </c>
      <c r="Z156" s="18" t="s">
        <v>49</v>
      </c>
      <c r="AA156" s="18" t="s">
        <v>50</v>
      </c>
      <c r="AB156" s="17">
        <v>2020</v>
      </c>
      <c r="AC156" s="16" t="s">
        <v>51</v>
      </c>
      <c r="AD156" s="30"/>
      <c r="AE156" s="44"/>
      <c r="AF156" s="35" t="s">
        <v>53</v>
      </c>
      <c r="AG156" s="34" t="s">
        <v>87</v>
      </c>
    </row>
    <row r="157" spans="1:33" x14ac:dyDescent="0.4">
      <c r="A157" s="15" t="s">
        <v>451</v>
      </c>
      <c r="B157" s="69">
        <v>32</v>
      </c>
      <c r="C157" s="17">
        <v>155</v>
      </c>
      <c r="D157" s="18" t="s">
        <v>769</v>
      </c>
      <c r="E157" s="46">
        <v>839828</v>
      </c>
      <c r="F157" s="48"/>
      <c r="G157" s="19" t="s">
        <v>716</v>
      </c>
      <c r="H157" s="20" t="s">
        <v>716</v>
      </c>
      <c r="I157" s="33" t="s">
        <v>763</v>
      </c>
      <c r="J157" s="49" t="s">
        <v>764</v>
      </c>
      <c r="K157" s="46" t="s">
        <v>765</v>
      </c>
      <c r="L157" s="29" t="s">
        <v>770</v>
      </c>
      <c r="M157" s="16" t="s">
        <v>41</v>
      </c>
      <c r="N157" s="16" t="s">
        <v>458</v>
      </c>
      <c r="O157" s="16"/>
      <c r="P157" s="16" t="s">
        <v>43</v>
      </c>
      <c r="Q157" s="24" t="s">
        <v>17</v>
      </c>
      <c r="R157" s="22" t="s">
        <v>44</v>
      </c>
      <c r="S157" s="49" t="s">
        <v>68</v>
      </c>
      <c r="T157" s="57" t="s">
        <v>767</v>
      </c>
      <c r="U157" s="57" t="s">
        <v>768</v>
      </c>
      <c r="V157" s="47" t="s">
        <v>47</v>
      </c>
      <c r="W157" s="28" t="s">
        <v>669</v>
      </c>
      <c r="X157" s="28"/>
      <c r="Y157" s="29">
        <v>1</v>
      </c>
      <c r="Z157" s="18" t="s">
        <v>49</v>
      </c>
      <c r="AA157" s="18" t="s">
        <v>50</v>
      </c>
      <c r="AB157" s="17">
        <v>2020</v>
      </c>
      <c r="AC157" s="16" t="s">
        <v>51</v>
      </c>
      <c r="AD157" s="30"/>
      <c r="AE157" s="44"/>
      <c r="AF157" s="37"/>
      <c r="AG157" s="34"/>
    </row>
    <row r="158" spans="1:33" x14ac:dyDescent="0.4">
      <c r="A158" s="15" t="s">
        <v>451</v>
      </c>
      <c r="B158" s="49">
        <v>33</v>
      </c>
      <c r="C158" s="17">
        <v>156</v>
      </c>
      <c r="D158" s="18" t="s">
        <v>771</v>
      </c>
      <c r="E158" s="49">
        <v>839834</v>
      </c>
      <c r="F158" s="29"/>
      <c r="G158" s="19" t="s">
        <v>716</v>
      </c>
      <c r="H158" s="20" t="s">
        <v>716</v>
      </c>
      <c r="I158" s="61" t="s">
        <v>772</v>
      </c>
      <c r="J158" s="49" t="s">
        <v>773</v>
      </c>
      <c r="K158" s="49" t="s">
        <v>774</v>
      </c>
      <c r="L158" s="29" t="s">
        <v>775</v>
      </c>
      <c r="M158" s="16" t="s">
        <v>41</v>
      </c>
      <c r="N158" s="16" t="s">
        <v>515</v>
      </c>
      <c r="O158" s="16"/>
      <c r="P158" s="16" t="s">
        <v>43</v>
      </c>
      <c r="Q158" s="24" t="s">
        <v>17</v>
      </c>
      <c r="R158" s="22" t="s">
        <v>44</v>
      </c>
      <c r="S158" s="49" t="s">
        <v>45</v>
      </c>
      <c r="T158" s="57" t="s">
        <v>776</v>
      </c>
      <c r="U158" s="57" t="s">
        <v>777</v>
      </c>
      <c r="V158" s="49" t="s">
        <v>47</v>
      </c>
      <c r="W158" s="28" t="s">
        <v>669</v>
      </c>
      <c r="X158" s="16">
        <v>1</v>
      </c>
      <c r="Y158" s="29">
        <v>1</v>
      </c>
      <c r="Z158" s="18" t="s">
        <v>49</v>
      </c>
      <c r="AA158" s="18" t="s">
        <v>50</v>
      </c>
      <c r="AB158" s="17">
        <v>2020</v>
      </c>
      <c r="AC158" s="16" t="s">
        <v>51</v>
      </c>
      <c r="AD158" s="30"/>
      <c r="AE158" s="29"/>
      <c r="AF158" s="16" t="s">
        <v>52</v>
      </c>
      <c r="AG158" s="16" t="s">
        <v>53</v>
      </c>
    </row>
    <row r="159" spans="1:33" x14ac:dyDescent="0.4">
      <c r="A159" s="15" t="s">
        <v>451</v>
      </c>
      <c r="B159" s="49">
        <v>34</v>
      </c>
      <c r="C159" s="17">
        <v>157</v>
      </c>
      <c r="D159" s="18" t="s">
        <v>778</v>
      </c>
      <c r="E159" s="49">
        <v>839835</v>
      </c>
      <c r="F159" s="29"/>
      <c r="G159" s="80" t="s">
        <v>779</v>
      </c>
      <c r="H159" s="61" t="s">
        <v>780</v>
      </c>
      <c r="I159" s="61" t="s">
        <v>781</v>
      </c>
      <c r="J159" s="49" t="s">
        <v>782</v>
      </c>
      <c r="K159" s="49" t="s">
        <v>783</v>
      </c>
      <c r="L159" s="29" t="s">
        <v>784</v>
      </c>
      <c r="M159" s="16" t="s">
        <v>41</v>
      </c>
      <c r="N159" s="28" t="s">
        <v>458</v>
      </c>
      <c r="O159" s="16"/>
      <c r="P159" s="16" t="s">
        <v>43</v>
      </c>
      <c r="Q159" s="24" t="s">
        <v>17</v>
      </c>
      <c r="R159" s="22" t="s">
        <v>44</v>
      </c>
      <c r="S159" s="49" t="s">
        <v>68</v>
      </c>
      <c r="T159" s="57" t="s">
        <v>785</v>
      </c>
      <c r="U159" s="57" t="s">
        <v>786</v>
      </c>
      <c r="V159" s="49" t="s">
        <v>47</v>
      </c>
      <c r="W159" s="28" t="s">
        <v>669</v>
      </c>
      <c r="X159" s="28"/>
      <c r="Y159" s="29">
        <v>1</v>
      </c>
      <c r="Z159" s="18" t="s">
        <v>49</v>
      </c>
      <c r="AA159" s="18" t="s">
        <v>50</v>
      </c>
      <c r="AB159" s="17">
        <v>2020</v>
      </c>
      <c r="AC159" s="16" t="s">
        <v>51</v>
      </c>
      <c r="AD159" s="30"/>
      <c r="AE159" s="29"/>
      <c r="AF159" s="16" t="s">
        <v>52</v>
      </c>
      <c r="AG159" s="16" t="s">
        <v>53</v>
      </c>
    </row>
    <row r="160" spans="1:33" ht="15.75" customHeight="1" x14ac:dyDescent="0.4">
      <c r="A160" s="15" t="s">
        <v>451</v>
      </c>
      <c r="B160" s="49">
        <v>35</v>
      </c>
      <c r="C160" s="18">
        <v>158</v>
      </c>
      <c r="D160" s="18"/>
      <c r="E160" s="16">
        <v>839837</v>
      </c>
      <c r="F160" s="22"/>
      <c r="G160" s="80" t="s">
        <v>779</v>
      </c>
      <c r="H160" s="61" t="s">
        <v>787</v>
      </c>
      <c r="I160" s="61" t="s">
        <v>788</v>
      </c>
      <c r="J160" s="49" t="s">
        <v>789</v>
      </c>
      <c r="K160" s="49" t="s">
        <v>790</v>
      </c>
      <c r="L160" s="29" t="s">
        <v>791</v>
      </c>
      <c r="M160" s="16" t="s">
        <v>41</v>
      </c>
      <c r="N160" s="28" t="s">
        <v>515</v>
      </c>
      <c r="O160" s="16"/>
      <c r="P160" s="16" t="s">
        <v>43</v>
      </c>
      <c r="Q160" s="24" t="s">
        <v>17</v>
      </c>
      <c r="R160" s="22" t="s">
        <v>44</v>
      </c>
      <c r="S160" s="49" t="s">
        <v>45</v>
      </c>
      <c r="T160" s="57" t="s">
        <v>792</v>
      </c>
      <c r="U160" s="57" t="s">
        <v>723</v>
      </c>
      <c r="V160" s="49" t="s">
        <v>47</v>
      </c>
      <c r="W160" s="28" t="s">
        <v>669</v>
      </c>
      <c r="X160" s="16">
        <v>1</v>
      </c>
      <c r="Y160" s="29">
        <v>1</v>
      </c>
      <c r="Z160" s="18" t="s">
        <v>49</v>
      </c>
      <c r="AA160" s="18" t="s">
        <v>50</v>
      </c>
      <c r="AB160" s="17">
        <v>2020</v>
      </c>
      <c r="AC160" s="16" t="s">
        <v>51</v>
      </c>
      <c r="AD160" s="30" t="s">
        <v>793</v>
      </c>
      <c r="AE160" s="22"/>
      <c r="AF160" s="16" t="s">
        <v>52</v>
      </c>
      <c r="AG160" s="16" t="s">
        <v>53</v>
      </c>
    </row>
    <row r="161" spans="1:33" x14ac:dyDescent="0.4">
      <c r="A161" s="15" t="s">
        <v>451</v>
      </c>
      <c r="B161" s="65">
        <v>36</v>
      </c>
      <c r="C161" s="18">
        <v>159</v>
      </c>
      <c r="D161" s="43" t="s">
        <v>794</v>
      </c>
      <c r="E161" s="46">
        <v>839838</v>
      </c>
      <c r="F161" s="46"/>
      <c r="G161" s="80" t="s">
        <v>779</v>
      </c>
      <c r="H161" s="20" t="s">
        <v>795</v>
      </c>
      <c r="I161" s="33" t="s">
        <v>796</v>
      </c>
      <c r="J161" s="49" t="s">
        <v>797</v>
      </c>
      <c r="K161" s="46" t="s">
        <v>798</v>
      </c>
      <c r="L161" s="29" t="s">
        <v>799</v>
      </c>
      <c r="M161" s="16" t="s">
        <v>41</v>
      </c>
      <c r="N161" s="28" t="s">
        <v>515</v>
      </c>
      <c r="O161" s="16"/>
      <c r="P161" s="16" t="s">
        <v>43</v>
      </c>
      <c r="Q161" s="24" t="s">
        <v>116</v>
      </c>
      <c r="R161" s="22" t="s">
        <v>44</v>
      </c>
      <c r="S161" s="49" t="s">
        <v>45</v>
      </c>
      <c r="T161" s="57" t="s">
        <v>800</v>
      </c>
      <c r="U161" s="57" t="s">
        <v>801</v>
      </c>
      <c r="V161" s="47" t="s">
        <v>47</v>
      </c>
      <c r="W161" s="28" t="s">
        <v>669</v>
      </c>
      <c r="X161" s="16">
        <v>1</v>
      </c>
      <c r="Y161" s="29">
        <v>1</v>
      </c>
      <c r="Z161" s="18" t="s">
        <v>49</v>
      </c>
      <c r="AA161" s="18" t="s">
        <v>50</v>
      </c>
      <c r="AB161" s="17">
        <v>2020</v>
      </c>
      <c r="AC161" s="16" t="s">
        <v>51</v>
      </c>
      <c r="AD161" s="30"/>
      <c r="AE161" s="44"/>
      <c r="AF161" s="35" t="s">
        <v>53</v>
      </c>
      <c r="AG161" s="34" t="s">
        <v>87</v>
      </c>
    </row>
    <row r="162" spans="1:33" x14ac:dyDescent="0.4">
      <c r="A162" s="15" t="s">
        <v>451</v>
      </c>
      <c r="B162" s="68"/>
      <c r="C162" s="17">
        <v>160</v>
      </c>
      <c r="D162" s="18" t="s">
        <v>802</v>
      </c>
      <c r="E162" s="46">
        <v>839838</v>
      </c>
      <c r="F162" s="48"/>
      <c r="G162" s="80" t="s">
        <v>779</v>
      </c>
      <c r="H162" s="20" t="s">
        <v>795</v>
      </c>
      <c r="I162" s="33" t="s">
        <v>796</v>
      </c>
      <c r="J162" s="49" t="s">
        <v>797</v>
      </c>
      <c r="K162" s="46" t="s">
        <v>798</v>
      </c>
      <c r="L162" s="29" t="s">
        <v>803</v>
      </c>
      <c r="M162" s="16" t="s">
        <v>41</v>
      </c>
      <c r="N162" s="28" t="s">
        <v>458</v>
      </c>
      <c r="O162" s="16"/>
      <c r="P162" s="16" t="s">
        <v>43</v>
      </c>
      <c r="Q162" s="24" t="s">
        <v>17</v>
      </c>
      <c r="R162" s="22" t="s">
        <v>44</v>
      </c>
      <c r="S162" s="49" t="s">
        <v>68</v>
      </c>
      <c r="T162" s="57" t="s">
        <v>800</v>
      </c>
      <c r="U162" s="57" t="s">
        <v>801</v>
      </c>
      <c r="V162" s="47" t="s">
        <v>47</v>
      </c>
      <c r="W162" s="28" t="s">
        <v>669</v>
      </c>
      <c r="X162" s="16">
        <v>1</v>
      </c>
      <c r="Y162" s="29">
        <v>1</v>
      </c>
      <c r="Z162" s="18" t="s">
        <v>49</v>
      </c>
      <c r="AA162" s="18" t="s">
        <v>50</v>
      </c>
      <c r="AB162" s="17">
        <v>2020</v>
      </c>
      <c r="AC162" s="16" t="s">
        <v>51</v>
      </c>
      <c r="AD162" s="30"/>
      <c r="AE162" s="44"/>
      <c r="AF162" s="37"/>
      <c r="AG162" s="34"/>
    </row>
    <row r="163" spans="1:33" x14ac:dyDescent="0.4">
      <c r="A163" s="15" t="s">
        <v>451</v>
      </c>
      <c r="B163" s="69">
        <v>37</v>
      </c>
      <c r="C163" s="17">
        <v>161</v>
      </c>
      <c r="D163" s="18" t="s">
        <v>804</v>
      </c>
      <c r="E163" s="46">
        <v>839840</v>
      </c>
      <c r="F163" s="46"/>
      <c r="G163" s="80" t="s">
        <v>779</v>
      </c>
      <c r="H163" s="20" t="s">
        <v>805</v>
      </c>
      <c r="I163" s="33" t="s">
        <v>806</v>
      </c>
      <c r="J163" s="49" t="s">
        <v>807</v>
      </c>
      <c r="K163" s="46" t="s">
        <v>808</v>
      </c>
      <c r="L163" s="29" t="s">
        <v>809</v>
      </c>
      <c r="M163" s="16" t="s">
        <v>41</v>
      </c>
      <c r="N163" s="28" t="s">
        <v>515</v>
      </c>
      <c r="O163" s="16"/>
      <c r="P163" s="16" t="s">
        <v>43</v>
      </c>
      <c r="Q163" s="24" t="s">
        <v>17</v>
      </c>
      <c r="R163" s="22" t="s">
        <v>44</v>
      </c>
      <c r="S163" s="49" t="s">
        <v>45</v>
      </c>
      <c r="T163" s="57" t="s">
        <v>810</v>
      </c>
      <c r="U163" s="57" t="s">
        <v>811</v>
      </c>
      <c r="V163" s="47" t="s">
        <v>47</v>
      </c>
      <c r="W163" s="28" t="s">
        <v>669</v>
      </c>
      <c r="X163" s="16">
        <v>1</v>
      </c>
      <c r="Y163" s="29">
        <v>1</v>
      </c>
      <c r="Z163" s="18" t="s">
        <v>49</v>
      </c>
      <c r="AA163" s="18" t="s">
        <v>50</v>
      </c>
      <c r="AB163" s="17">
        <v>2020</v>
      </c>
      <c r="AC163" s="16" t="s">
        <v>51</v>
      </c>
      <c r="AD163" s="30"/>
      <c r="AE163" s="44"/>
      <c r="AF163" s="35" t="s">
        <v>97</v>
      </c>
      <c r="AG163" s="34" t="s">
        <v>98</v>
      </c>
    </row>
    <row r="164" spans="1:33" x14ac:dyDescent="0.4">
      <c r="A164" s="15" t="s">
        <v>451</v>
      </c>
      <c r="B164" s="69">
        <v>37</v>
      </c>
      <c r="C164" s="17">
        <v>162</v>
      </c>
      <c r="D164" s="18" t="s">
        <v>812</v>
      </c>
      <c r="E164" s="46">
        <v>839840</v>
      </c>
      <c r="F164" s="59"/>
      <c r="G164" s="80" t="s">
        <v>779</v>
      </c>
      <c r="H164" s="20" t="s">
        <v>805</v>
      </c>
      <c r="I164" s="33" t="s">
        <v>806</v>
      </c>
      <c r="J164" s="49" t="s">
        <v>807</v>
      </c>
      <c r="K164" s="46" t="s">
        <v>808</v>
      </c>
      <c r="L164" s="29" t="s">
        <v>813</v>
      </c>
      <c r="M164" s="16" t="s">
        <v>41</v>
      </c>
      <c r="N164" s="28" t="s">
        <v>458</v>
      </c>
      <c r="O164" s="16"/>
      <c r="P164" s="16" t="s">
        <v>43</v>
      </c>
      <c r="Q164" s="24" t="s">
        <v>17</v>
      </c>
      <c r="R164" s="22" t="s">
        <v>44</v>
      </c>
      <c r="S164" s="49" t="s">
        <v>68</v>
      </c>
      <c r="T164" s="57" t="s">
        <v>810</v>
      </c>
      <c r="U164" s="57" t="s">
        <v>811</v>
      </c>
      <c r="V164" s="47" t="s">
        <v>47</v>
      </c>
      <c r="W164" s="28" t="s">
        <v>669</v>
      </c>
      <c r="X164" s="16">
        <v>1</v>
      </c>
      <c r="Y164" s="29">
        <v>1</v>
      </c>
      <c r="Z164" s="18" t="s">
        <v>49</v>
      </c>
      <c r="AA164" s="18" t="s">
        <v>50</v>
      </c>
      <c r="AB164" s="17">
        <v>2020</v>
      </c>
      <c r="AC164" s="16" t="s">
        <v>51</v>
      </c>
      <c r="AD164" s="30"/>
      <c r="AE164" s="44"/>
      <c r="AF164" s="39"/>
      <c r="AG164" s="34"/>
    </row>
    <row r="165" spans="1:33" x14ac:dyDescent="0.4">
      <c r="A165" s="15" t="s">
        <v>451</v>
      </c>
      <c r="B165" s="69">
        <v>37</v>
      </c>
      <c r="C165" s="17">
        <v>163</v>
      </c>
      <c r="D165" s="18" t="s">
        <v>814</v>
      </c>
      <c r="E165" s="46">
        <v>839840</v>
      </c>
      <c r="F165" s="48"/>
      <c r="G165" s="80" t="s">
        <v>779</v>
      </c>
      <c r="H165" s="20" t="s">
        <v>805</v>
      </c>
      <c r="I165" s="33" t="s">
        <v>806</v>
      </c>
      <c r="J165" s="49" t="s">
        <v>807</v>
      </c>
      <c r="K165" s="46" t="s">
        <v>808</v>
      </c>
      <c r="L165" s="29" t="s">
        <v>815</v>
      </c>
      <c r="M165" s="16" t="s">
        <v>41</v>
      </c>
      <c r="N165" s="28" t="s">
        <v>458</v>
      </c>
      <c r="O165" s="16"/>
      <c r="P165" s="16" t="s">
        <v>43</v>
      </c>
      <c r="Q165" s="24" t="s">
        <v>17</v>
      </c>
      <c r="R165" s="22" t="s">
        <v>44</v>
      </c>
      <c r="S165" s="49" t="s">
        <v>68</v>
      </c>
      <c r="T165" s="57" t="s">
        <v>810</v>
      </c>
      <c r="U165" s="57" t="s">
        <v>811</v>
      </c>
      <c r="V165" s="47" t="s">
        <v>47</v>
      </c>
      <c r="W165" s="28" t="s">
        <v>669</v>
      </c>
      <c r="X165" s="16">
        <v>1</v>
      </c>
      <c r="Y165" s="29">
        <v>1</v>
      </c>
      <c r="Z165" s="18" t="s">
        <v>49</v>
      </c>
      <c r="AA165" s="18" t="s">
        <v>50</v>
      </c>
      <c r="AB165" s="17">
        <v>2020</v>
      </c>
      <c r="AC165" s="16" t="s">
        <v>51</v>
      </c>
      <c r="AD165" s="30"/>
      <c r="AE165" s="44"/>
      <c r="AF165" s="37"/>
      <c r="AG165" s="34"/>
    </row>
    <row r="166" spans="1:33" x14ac:dyDescent="0.4">
      <c r="A166" s="15" t="s">
        <v>451</v>
      </c>
      <c r="B166" s="44">
        <v>38</v>
      </c>
      <c r="C166" s="18">
        <v>164</v>
      </c>
      <c r="D166" s="41"/>
      <c r="E166" s="49">
        <v>839841</v>
      </c>
      <c r="F166" s="29"/>
      <c r="G166" s="80" t="s">
        <v>779</v>
      </c>
      <c r="H166" s="61" t="s">
        <v>816</v>
      </c>
      <c r="I166" s="61" t="s">
        <v>817</v>
      </c>
      <c r="J166" s="49" t="s">
        <v>818</v>
      </c>
      <c r="K166" s="49" t="s">
        <v>819</v>
      </c>
      <c r="L166" s="29" t="s">
        <v>820</v>
      </c>
      <c r="M166" s="16" t="s">
        <v>41</v>
      </c>
      <c r="N166" s="28" t="s">
        <v>458</v>
      </c>
      <c r="O166" s="16"/>
      <c r="P166" s="16" t="s">
        <v>43</v>
      </c>
      <c r="Q166" s="24" t="s">
        <v>17</v>
      </c>
      <c r="R166" s="22" t="s">
        <v>44</v>
      </c>
      <c r="S166" s="49" t="s">
        <v>68</v>
      </c>
      <c r="T166" s="57" t="s">
        <v>821</v>
      </c>
      <c r="U166" s="57" t="s">
        <v>822</v>
      </c>
      <c r="V166" s="49" t="s">
        <v>47</v>
      </c>
      <c r="W166" s="28" t="s">
        <v>669</v>
      </c>
      <c r="X166" s="28"/>
      <c r="Y166" s="29">
        <v>1</v>
      </c>
      <c r="Z166" s="18" t="s">
        <v>49</v>
      </c>
      <c r="AA166" s="18" t="s">
        <v>50</v>
      </c>
      <c r="AB166" s="17">
        <v>2020</v>
      </c>
      <c r="AC166" s="16" t="s">
        <v>51</v>
      </c>
      <c r="AD166" s="30"/>
      <c r="AE166" s="29"/>
      <c r="AF166" s="16" t="s">
        <v>52</v>
      </c>
      <c r="AG166" s="16" t="s">
        <v>53</v>
      </c>
    </row>
    <row r="167" spans="1:33" ht="26.25" customHeight="1" x14ac:dyDescent="0.4">
      <c r="A167" s="15" t="s">
        <v>451</v>
      </c>
      <c r="B167" s="69">
        <v>39</v>
      </c>
      <c r="C167" s="17">
        <v>165</v>
      </c>
      <c r="D167" s="18"/>
      <c r="E167" s="46">
        <v>839846</v>
      </c>
      <c r="F167" s="46"/>
      <c r="G167" s="80" t="s">
        <v>779</v>
      </c>
      <c r="H167" s="20" t="s">
        <v>823</v>
      </c>
      <c r="I167" s="33" t="s">
        <v>824</v>
      </c>
      <c r="J167" s="49" t="s">
        <v>825</v>
      </c>
      <c r="K167" s="46" t="s">
        <v>826</v>
      </c>
      <c r="L167" s="29" t="s">
        <v>827</v>
      </c>
      <c r="M167" s="16" t="s">
        <v>41</v>
      </c>
      <c r="N167" s="28" t="s">
        <v>515</v>
      </c>
      <c r="O167" s="16"/>
      <c r="P167" s="16" t="s">
        <v>43</v>
      </c>
      <c r="Q167" s="24" t="s">
        <v>116</v>
      </c>
      <c r="R167" s="22" t="s">
        <v>44</v>
      </c>
      <c r="S167" s="49" t="s">
        <v>45</v>
      </c>
      <c r="T167" s="57" t="s">
        <v>828</v>
      </c>
      <c r="U167" s="57" t="s">
        <v>829</v>
      </c>
      <c r="V167" s="47" t="s">
        <v>47</v>
      </c>
      <c r="W167" s="28" t="s">
        <v>669</v>
      </c>
      <c r="X167" s="16">
        <v>1</v>
      </c>
      <c r="Y167" s="29">
        <v>1</v>
      </c>
      <c r="Z167" s="18" t="s">
        <v>49</v>
      </c>
      <c r="AA167" s="18" t="s">
        <v>50</v>
      </c>
      <c r="AB167" s="17">
        <v>2020</v>
      </c>
      <c r="AC167" s="16" t="s">
        <v>51</v>
      </c>
      <c r="AD167" s="30"/>
      <c r="AE167" s="44"/>
      <c r="AF167" s="35" t="s">
        <v>53</v>
      </c>
      <c r="AG167" s="34" t="s">
        <v>87</v>
      </c>
    </row>
    <row r="168" spans="1:33" x14ac:dyDescent="0.4">
      <c r="A168" s="15" t="s">
        <v>451</v>
      </c>
      <c r="B168" s="69">
        <v>39</v>
      </c>
      <c r="C168" s="17">
        <v>166</v>
      </c>
      <c r="D168" s="18"/>
      <c r="E168" s="46">
        <v>839846</v>
      </c>
      <c r="F168" s="48"/>
      <c r="G168" s="80" t="s">
        <v>779</v>
      </c>
      <c r="H168" s="20" t="s">
        <v>823</v>
      </c>
      <c r="I168" s="33" t="s">
        <v>824</v>
      </c>
      <c r="J168" s="49" t="s">
        <v>825</v>
      </c>
      <c r="K168" s="46" t="s">
        <v>826</v>
      </c>
      <c r="L168" s="29" t="s">
        <v>830</v>
      </c>
      <c r="M168" s="16" t="s">
        <v>41</v>
      </c>
      <c r="N168" s="28" t="s">
        <v>458</v>
      </c>
      <c r="O168" s="16"/>
      <c r="P168" s="16" t="s">
        <v>43</v>
      </c>
      <c r="Q168" s="24" t="s">
        <v>116</v>
      </c>
      <c r="R168" s="22" t="s">
        <v>44</v>
      </c>
      <c r="S168" s="49" t="s">
        <v>68</v>
      </c>
      <c r="T168" s="57" t="s">
        <v>828</v>
      </c>
      <c r="U168" s="57" t="s">
        <v>829</v>
      </c>
      <c r="V168" s="47" t="s">
        <v>47</v>
      </c>
      <c r="W168" s="28" t="s">
        <v>669</v>
      </c>
      <c r="X168" s="16">
        <v>1</v>
      </c>
      <c r="Y168" s="29">
        <v>1</v>
      </c>
      <c r="Z168" s="18" t="s">
        <v>49</v>
      </c>
      <c r="AA168" s="18" t="s">
        <v>50</v>
      </c>
      <c r="AB168" s="17">
        <v>2020</v>
      </c>
      <c r="AC168" s="16" t="s">
        <v>51</v>
      </c>
      <c r="AD168" s="30"/>
      <c r="AE168" s="44"/>
      <c r="AF168" s="37"/>
      <c r="AG168" s="34"/>
    </row>
    <row r="169" spans="1:33" x14ac:dyDescent="0.4">
      <c r="A169" s="15" t="s">
        <v>451</v>
      </c>
      <c r="B169" s="69">
        <v>40</v>
      </c>
      <c r="C169" s="17">
        <v>167</v>
      </c>
      <c r="D169" s="18" t="s">
        <v>831</v>
      </c>
      <c r="E169" s="46">
        <v>839847</v>
      </c>
      <c r="F169" s="46"/>
      <c r="G169" s="80" t="s">
        <v>779</v>
      </c>
      <c r="H169" s="20" t="s">
        <v>832</v>
      </c>
      <c r="I169" s="33" t="s">
        <v>833</v>
      </c>
      <c r="J169" s="49" t="s">
        <v>834</v>
      </c>
      <c r="K169" s="46" t="s">
        <v>835</v>
      </c>
      <c r="L169" s="29" t="s">
        <v>836</v>
      </c>
      <c r="M169" s="16" t="s">
        <v>41</v>
      </c>
      <c r="N169" s="28" t="s">
        <v>458</v>
      </c>
      <c r="O169" s="16"/>
      <c r="P169" s="16" t="s">
        <v>43</v>
      </c>
      <c r="Q169" s="24" t="s">
        <v>17</v>
      </c>
      <c r="R169" s="22" t="s">
        <v>44</v>
      </c>
      <c r="S169" s="49" t="s">
        <v>68</v>
      </c>
      <c r="T169" s="57" t="s">
        <v>837</v>
      </c>
      <c r="U169" s="57" t="s">
        <v>838</v>
      </c>
      <c r="V169" s="47" t="s">
        <v>47</v>
      </c>
      <c r="W169" s="28" t="s">
        <v>669</v>
      </c>
      <c r="X169" s="16">
        <v>1</v>
      </c>
      <c r="Y169" s="29">
        <v>1</v>
      </c>
      <c r="Z169" s="18" t="s">
        <v>49</v>
      </c>
      <c r="AA169" s="18" t="s">
        <v>50</v>
      </c>
      <c r="AB169" s="17">
        <v>2020</v>
      </c>
      <c r="AC169" s="16" t="s">
        <v>51</v>
      </c>
      <c r="AD169" s="30"/>
      <c r="AE169" s="44"/>
      <c r="AF169" s="35" t="s">
        <v>53</v>
      </c>
      <c r="AG169" s="34" t="s">
        <v>87</v>
      </c>
    </row>
    <row r="170" spans="1:33" x14ac:dyDescent="0.4">
      <c r="A170" s="15" t="s">
        <v>451</v>
      </c>
      <c r="B170" s="69">
        <v>40</v>
      </c>
      <c r="C170" s="17">
        <v>168</v>
      </c>
      <c r="D170" s="18" t="s">
        <v>839</v>
      </c>
      <c r="E170" s="46">
        <v>839847</v>
      </c>
      <c r="F170" s="48"/>
      <c r="G170" s="80" t="s">
        <v>779</v>
      </c>
      <c r="H170" s="20" t="s">
        <v>832</v>
      </c>
      <c r="I170" s="33" t="s">
        <v>833</v>
      </c>
      <c r="J170" s="49" t="s">
        <v>834</v>
      </c>
      <c r="K170" s="46" t="s">
        <v>835</v>
      </c>
      <c r="L170" s="29" t="s">
        <v>840</v>
      </c>
      <c r="M170" s="16" t="s">
        <v>41</v>
      </c>
      <c r="N170" s="28" t="s">
        <v>458</v>
      </c>
      <c r="O170" s="16"/>
      <c r="P170" s="16" t="s">
        <v>43</v>
      </c>
      <c r="Q170" s="24" t="s">
        <v>17</v>
      </c>
      <c r="R170" s="22" t="s">
        <v>44</v>
      </c>
      <c r="S170" s="49" t="s">
        <v>68</v>
      </c>
      <c r="T170" s="57" t="s">
        <v>837</v>
      </c>
      <c r="U170" s="57" t="s">
        <v>838</v>
      </c>
      <c r="V170" s="47" t="s">
        <v>47</v>
      </c>
      <c r="W170" s="28" t="s">
        <v>669</v>
      </c>
      <c r="X170" s="16">
        <v>1</v>
      </c>
      <c r="Y170" s="29">
        <v>1</v>
      </c>
      <c r="Z170" s="18" t="s">
        <v>49</v>
      </c>
      <c r="AA170" s="18" t="s">
        <v>50</v>
      </c>
      <c r="AB170" s="17">
        <v>2020</v>
      </c>
      <c r="AC170" s="16" t="s">
        <v>51</v>
      </c>
      <c r="AD170" s="30"/>
      <c r="AE170" s="44"/>
      <c r="AF170" s="37"/>
      <c r="AG170" s="34"/>
    </row>
    <row r="171" spans="1:33" ht="24.75" customHeight="1" x14ac:dyDescent="0.4">
      <c r="A171" s="15" t="s">
        <v>451</v>
      </c>
      <c r="B171" s="69">
        <v>41</v>
      </c>
      <c r="C171" s="17">
        <v>169</v>
      </c>
      <c r="D171" s="18" t="s">
        <v>841</v>
      </c>
      <c r="E171" s="46">
        <v>839850</v>
      </c>
      <c r="F171" s="46"/>
      <c r="G171" s="80" t="s">
        <v>779</v>
      </c>
      <c r="H171" s="20" t="s">
        <v>842</v>
      </c>
      <c r="I171" s="33" t="s">
        <v>843</v>
      </c>
      <c r="J171" s="49" t="s">
        <v>844</v>
      </c>
      <c r="K171" s="46" t="s">
        <v>845</v>
      </c>
      <c r="L171" s="29" t="s">
        <v>846</v>
      </c>
      <c r="M171" s="16" t="s">
        <v>41</v>
      </c>
      <c r="N171" s="28" t="s">
        <v>515</v>
      </c>
      <c r="O171" s="16"/>
      <c r="P171" s="16" t="s">
        <v>43</v>
      </c>
      <c r="Q171" s="24" t="s">
        <v>17</v>
      </c>
      <c r="R171" s="22" t="s">
        <v>44</v>
      </c>
      <c r="S171" s="49" t="s">
        <v>45</v>
      </c>
      <c r="T171" s="57" t="s">
        <v>847</v>
      </c>
      <c r="U171" s="57" t="s">
        <v>848</v>
      </c>
      <c r="V171" s="47" t="s">
        <v>47</v>
      </c>
      <c r="W171" s="28" t="s">
        <v>669</v>
      </c>
      <c r="X171" s="16">
        <v>1</v>
      </c>
      <c r="Y171" s="29">
        <v>1</v>
      </c>
      <c r="Z171" s="18" t="s">
        <v>49</v>
      </c>
      <c r="AA171" s="18" t="s">
        <v>50</v>
      </c>
      <c r="AB171" s="17">
        <v>2020</v>
      </c>
      <c r="AC171" s="16" t="s">
        <v>51</v>
      </c>
      <c r="AD171" s="30"/>
      <c r="AE171" s="44"/>
      <c r="AF171" s="35" t="s">
        <v>97</v>
      </c>
      <c r="AG171" s="34" t="s">
        <v>98</v>
      </c>
    </row>
    <row r="172" spans="1:33" ht="30" customHeight="1" x14ac:dyDescent="0.4">
      <c r="A172" s="15" t="s">
        <v>451</v>
      </c>
      <c r="B172" s="69">
        <v>41</v>
      </c>
      <c r="C172" s="17">
        <v>170</v>
      </c>
      <c r="D172" s="18" t="s">
        <v>849</v>
      </c>
      <c r="E172" s="46">
        <v>839850</v>
      </c>
      <c r="F172" s="59"/>
      <c r="G172" s="80" t="s">
        <v>779</v>
      </c>
      <c r="H172" s="20" t="s">
        <v>842</v>
      </c>
      <c r="I172" s="33" t="s">
        <v>843</v>
      </c>
      <c r="J172" s="49" t="s">
        <v>844</v>
      </c>
      <c r="K172" s="46" t="s">
        <v>845</v>
      </c>
      <c r="L172" s="29" t="s">
        <v>850</v>
      </c>
      <c r="M172" s="16" t="s">
        <v>41</v>
      </c>
      <c r="N172" s="28" t="s">
        <v>458</v>
      </c>
      <c r="O172" s="16"/>
      <c r="P172" s="16" t="s">
        <v>43</v>
      </c>
      <c r="Q172" s="24" t="s">
        <v>17</v>
      </c>
      <c r="R172" s="22" t="s">
        <v>44</v>
      </c>
      <c r="S172" s="49" t="s">
        <v>68</v>
      </c>
      <c r="T172" s="57" t="s">
        <v>847</v>
      </c>
      <c r="U172" s="57" t="s">
        <v>848</v>
      </c>
      <c r="V172" s="47" t="s">
        <v>47</v>
      </c>
      <c r="W172" s="28" t="s">
        <v>669</v>
      </c>
      <c r="X172" s="16">
        <v>1</v>
      </c>
      <c r="Y172" s="29">
        <v>1</v>
      </c>
      <c r="Z172" s="18" t="s">
        <v>49</v>
      </c>
      <c r="AA172" s="18" t="s">
        <v>50</v>
      </c>
      <c r="AB172" s="17">
        <v>2020</v>
      </c>
      <c r="AC172" s="16" t="s">
        <v>51</v>
      </c>
      <c r="AD172" s="30"/>
      <c r="AE172" s="44"/>
      <c r="AF172" s="39"/>
      <c r="AG172" s="34"/>
    </row>
    <row r="173" spans="1:33" ht="35.25" customHeight="1" x14ac:dyDescent="0.4">
      <c r="A173" s="15" t="s">
        <v>451</v>
      </c>
      <c r="B173" s="69">
        <v>41</v>
      </c>
      <c r="C173" s="17">
        <v>171</v>
      </c>
      <c r="D173" s="18" t="s">
        <v>851</v>
      </c>
      <c r="E173" s="46">
        <v>839850</v>
      </c>
      <c r="F173" s="48"/>
      <c r="G173" s="80" t="s">
        <v>779</v>
      </c>
      <c r="H173" s="20" t="s">
        <v>842</v>
      </c>
      <c r="I173" s="33" t="s">
        <v>843</v>
      </c>
      <c r="J173" s="49" t="s">
        <v>844</v>
      </c>
      <c r="K173" s="46" t="s">
        <v>845</v>
      </c>
      <c r="L173" s="29" t="s">
        <v>852</v>
      </c>
      <c r="M173" s="16" t="s">
        <v>41</v>
      </c>
      <c r="N173" s="28" t="s">
        <v>458</v>
      </c>
      <c r="O173" s="16"/>
      <c r="P173" s="16" t="s">
        <v>43</v>
      </c>
      <c r="Q173" s="24" t="s">
        <v>17</v>
      </c>
      <c r="R173" s="22" t="s">
        <v>44</v>
      </c>
      <c r="S173" s="49" t="s">
        <v>68</v>
      </c>
      <c r="T173" s="57" t="s">
        <v>847</v>
      </c>
      <c r="U173" s="57" t="s">
        <v>848</v>
      </c>
      <c r="V173" s="47" t="s">
        <v>47</v>
      </c>
      <c r="W173" s="28" t="s">
        <v>669</v>
      </c>
      <c r="X173" s="16">
        <v>1</v>
      </c>
      <c r="Y173" s="29">
        <v>1</v>
      </c>
      <c r="Z173" s="18" t="s">
        <v>49</v>
      </c>
      <c r="AA173" s="18" t="s">
        <v>50</v>
      </c>
      <c r="AB173" s="17">
        <v>2020</v>
      </c>
      <c r="AC173" s="16" t="s">
        <v>51</v>
      </c>
      <c r="AD173" s="30"/>
      <c r="AE173" s="44"/>
      <c r="AF173" s="37"/>
      <c r="AG173" s="34"/>
    </row>
    <row r="174" spans="1:33" x14ac:dyDescent="0.4">
      <c r="A174" s="15" t="s">
        <v>451</v>
      </c>
      <c r="B174" s="69">
        <v>42</v>
      </c>
      <c r="C174" s="17">
        <v>172</v>
      </c>
      <c r="D174" s="18" t="s">
        <v>853</v>
      </c>
      <c r="E174" s="46">
        <v>839851</v>
      </c>
      <c r="F174" s="46"/>
      <c r="G174" s="80" t="s">
        <v>779</v>
      </c>
      <c r="H174" s="20" t="s">
        <v>854</v>
      </c>
      <c r="I174" s="20" t="s">
        <v>855</v>
      </c>
      <c r="J174" s="49" t="s">
        <v>856</v>
      </c>
      <c r="K174" s="46" t="s">
        <v>857</v>
      </c>
      <c r="L174" s="29" t="s">
        <v>858</v>
      </c>
      <c r="M174" s="16" t="s">
        <v>41</v>
      </c>
      <c r="N174" s="28" t="s">
        <v>515</v>
      </c>
      <c r="O174" s="16"/>
      <c r="P174" s="16" t="s">
        <v>43</v>
      </c>
      <c r="Q174" s="24" t="s">
        <v>17</v>
      </c>
      <c r="R174" s="22" t="s">
        <v>44</v>
      </c>
      <c r="S174" s="49" t="s">
        <v>45</v>
      </c>
      <c r="T174" s="57" t="s">
        <v>859</v>
      </c>
      <c r="U174" s="57" t="s">
        <v>860</v>
      </c>
      <c r="V174" s="47" t="s">
        <v>47</v>
      </c>
      <c r="W174" s="28" t="s">
        <v>669</v>
      </c>
      <c r="X174" s="16">
        <v>1</v>
      </c>
      <c r="Y174" s="29">
        <v>1</v>
      </c>
      <c r="Z174" s="18" t="s">
        <v>49</v>
      </c>
      <c r="AA174" s="18" t="s">
        <v>50</v>
      </c>
      <c r="AB174" s="17">
        <v>2020</v>
      </c>
      <c r="AC174" s="16" t="s">
        <v>51</v>
      </c>
      <c r="AD174" s="30"/>
      <c r="AE174" s="44"/>
      <c r="AF174" s="35" t="s">
        <v>53</v>
      </c>
      <c r="AG174" s="34" t="s">
        <v>87</v>
      </c>
    </row>
    <row r="175" spans="1:33" x14ac:dyDescent="0.4">
      <c r="A175" s="15" t="s">
        <v>451</v>
      </c>
      <c r="B175" s="69">
        <v>42</v>
      </c>
      <c r="C175" s="17">
        <v>173</v>
      </c>
      <c r="D175" s="18" t="s">
        <v>861</v>
      </c>
      <c r="E175" s="46">
        <v>839851</v>
      </c>
      <c r="F175" s="48"/>
      <c r="G175" s="80" t="s">
        <v>779</v>
      </c>
      <c r="H175" s="20" t="s">
        <v>854</v>
      </c>
      <c r="I175" s="20" t="s">
        <v>855</v>
      </c>
      <c r="J175" s="49" t="s">
        <v>856</v>
      </c>
      <c r="K175" s="46" t="s">
        <v>857</v>
      </c>
      <c r="L175" s="29" t="s">
        <v>862</v>
      </c>
      <c r="M175" s="16" t="s">
        <v>41</v>
      </c>
      <c r="N175" s="28" t="s">
        <v>458</v>
      </c>
      <c r="O175" s="16"/>
      <c r="P175" s="16" t="s">
        <v>43</v>
      </c>
      <c r="Q175" s="24" t="s">
        <v>17</v>
      </c>
      <c r="R175" s="22" t="s">
        <v>44</v>
      </c>
      <c r="S175" s="49" t="s">
        <v>68</v>
      </c>
      <c r="T175" s="57" t="s">
        <v>859</v>
      </c>
      <c r="U175" s="57" t="s">
        <v>860</v>
      </c>
      <c r="V175" s="47" t="s">
        <v>47</v>
      </c>
      <c r="W175" s="28" t="s">
        <v>669</v>
      </c>
      <c r="X175" s="16">
        <v>1</v>
      </c>
      <c r="Y175" s="29">
        <v>1</v>
      </c>
      <c r="Z175" s="18" t="s">
        <v>49</v>
      </c>
      <c r="AA175" s="18" t="s">
        <v>50</v>
      </c>
      <c r="AB175" s="17">
        <v>2020</v>
      </c>
      <c r="AC175" s="16" t="s">
        <v>51</v>
      </c>
      <c r="AD175" s="30"/>
      <c r="AE175" s="44"/>
      <c r="AF175" s="37"/>
      <c r="AG175" s="34"/>
    </row>
    <row r="176" spans="1:33" x14ac:dyDescent="0.4">
      <c r="A176" s="15" t="s">
        <v>451</v>
      </c>
      <c r="B176" s="49">
        <v>43</v>
      </c>
      <c r="C176" s="17">
        <v>174</v>
      </c>
      <c r="D176" s="18" t="s">
        <v>863</v>
      </c>
      <c r="E176" s="49">
        <v>839852</v>
      </c>
      <c r="F176" s="29"/>
      <c r="G176" s="80" t="s">
        <v>779</v>
      </c>
      <c r="H176" s="61" t="s">
        <v>864</v>
      </c>
      <c r="I176" s="79" t="s">
        <v>865</v>
      </c>
      <c r="J176" s="49" t="s">
        <v>866</v>
      </c>
      <c r="K176" s="49" t="s">
        <v>867</v>
      </c>
      <c r="L176" s="29" t="s">
        <v>868</v>
      </c>
      <c r="M176" s="16" t="s">
        <v>41</v>
      </c>
      <c r="N176" s="28" t="s">
        <v>515</v>
      </c>
      <c r="O176" s="16"/>
      <c r="P176" s="16" t="s">
        <v>43</v>
      </c>
      <c r="Q176" s="24" t="s">
        <v>17</v>
      </c>
      <c r="R176" s="22" t="s">
        <v>44</v>
      </c>
      <c r="S176" s="49" t="s">
        <v>45</v>
      </c>
      <c r="T176" s="57" t="s">
        <v>869</v>
      </c>
      <c r="U176" s="57" t="s">
        <v>870</v>
      </c>
      <c r="V176" s="49" t="s">
        <v>47</v>
      </c>
      <c r="W176" s="28" t="s">
        <v>669</v>
      </c>
      <c r="X176" s="16">
        <v>1</v>
      </c>
      <c r="Y176" s="29">
        <v>1</v>
      </c>
      <c r="Z176" s="18" t="s">
        <v>49</v>
      </c>
      <c r="AA176" s="18" t="s">
        <v>50</v>
      </c>
      <c r="AB176" s="17">
        <v>2020</v>
      </c>
      <c r="AC176" s="16" t="s">
        <v>51</v>
      </c>
      <c r="AD176" s="30"/>
      <c r="AE176" s="29"/>
      <c r="AF176" s="16" t="s">
        <v>52</v>
      </c>
      <c r="AG176" s="16" t="s">
        <v>53</v>
      </c>
    </row>
    <row r="177" spans="1:33" x14ac:dyDescent="0.4">
      <c r="A177" s="15" t="s">
        <v>451</v>
      </c>
      <c r="B177" s="49">
        <v>44</v>
      </c>
      <c r="C177" s="17">
        <v>175</v>
      </c>
      <c r="D177" s="18" t="s">
        <v>871</v>
      </c>
      <c r="E177" s="49">
        <v>839853</v>
      </c>
      <c r="F177" s="29"/>
      <c r="G177" s="25" t="s">
        <v>872</v>
      </c>
      <c r="H177" s="61" t="s">
        <v>873</v>
      </c>
      <c r="I177" s="61" t="s">
        <v>874</v>
      </c>
      <c r="J177" s="49" t="s">
        <v>875</v>
      </c>
      <c r="K177" s="49" t="s">
        <v>876</v>
      </c>
      <c r="L177" s="29" t="s">
        <v>877</v>
      </c>
      <c r="M177" s="16" t="s">
        <v>41</v>
      </c>
      <c r="N177" s="16" t="s">
        <v>515</v>
      </c>
      <c r="O177" s="16"/>
      <c r="P177" s="16" t="s">
        <v>43</v>
      </c>
      <c r="Q177" s="24" t="s">
        <v>17</v>
      </c>
      <c r="R177" s="22" t="s">
        <v>44</v>
      </c>
      <c r="S177" s="49" t="s">
        <v>45</v>
      </c>
      <c r="T177" s="57" t="s">
        <v>878</v>
      </c>
      <c r="U177" s="57" t="s">
        <v>879</v>
      </c>
      <c r="V177" s="49" t="s">
        <v>47</v>
      </c>
      <c r="W177" s="28" t="s">
        <v>669</v>
      </c>
      <c r="X177" s="28"/>
      <c r="Y177" s="29">
        <v>1</v>
      </c>
      <c r="Z177" s="18" t="s">
        <v>49</v>
      </c>
      <c r="AA177" s="18" t="s">
        <v>50</v>
      </c>
      <c r="AB177" s="17">
        <v>2020</v>
      </c>
      <c r="AC177" s="16" t="s">
        <v>51</v>
      </c>
      <c r="AD177" s="30"/>
      <c r="AE177" s="29"/>
      <c r="AF177" s="16" t="s">
        <v>52</v>
      </c>
      <c r="AG177" s="16" t="s">
        <v>53</v>
      </c>
    </row>
    <row r="178" spans="1:33" x14ac:dyDescent="0.4">
      <c r="A178" s="15" t="s">
        <v>451</v>
      </c>
      <c r="B178" s="69">
        <v>45</v>
      </c>
      <c r="C178" s="17">
        <v>176</v>
      </c>
      <c r="D178" s="18" t="s">
        <v>880</v>
      </c>
      <c r="E178" s="46">
        <v>839855</v>
      </c>
      <c r="F178" s="46"/>
      <c r="G178" s="25" t="s">
        <v>872</v>
      </c>
      <c r="H178" s="20" t="s">
        <v>881</v>
      </c>
      <c r="I178" s="33" t="s">
        <v>882</v>
      </c>
      <c r="J178" s="49" t="s">
        <v>883</v>
      </c>
      <c r="K178" s="46" t="s">
        <v>884</v>
      </c>
      <c r="L178" s="29" t="s">
        <v>885</v>
      </c>
      <c r="M178" s="16" t="s">
        <v>41</v>
      </c>
      <c r="N178" s="16" t="s">
        <v>515</v>
      </c>
      <c r="O178" s="16"/>
      <c r="P178" s="16" t="s">
        <v>43</v>
      </c>
      <c r="Q178" s="24" t="s">
        <v>17</v>
      </c>
      <c r="R178" s="22" t="s">
        <v>44</v>
      </c>
      <c r="S178" s="49" t="s">
        <v>45</v>
      </c>
      <c r="T178" s="57" t="s">
        <v>886</v>
      </c>
      <c r="U178" s="57" t="s">
        <v>887</v>
      </c>
      <c r="V178" s="47" t="s">
        <v>47</v>
      </c>
      <c r="W178" s="28" t="s">
        <v>669</v>
      </c>
      <c r="X178" s="16">
        <v>1</v>
      </c>
      <c r="Y178" s="29">
        <v>1</v>
      </c>
      <c r="Z178" s="18" t="s">
        <v>49</v>
      </c>
      <c r="AA178" s="18" t="s">
        <v>50</v>
      </c>
      <c r="AB178" s="17">
        <v>2020</v>
      </c>
      <c r="AC178" s="16" t="s">
        <v>51</v>
      </c>
      <c r="AD178" s="30"/>
      <c r="AE178" s="44"/>
      <c r="AF178" s="35" t="s">
        <v>53</v>
      </c>
      <c r="AG178" s="34" t="s">
        <v>87</v>
      </c>
    </row>
    <row r="179" spans="1:33" x14ac:dyDescent="0.4">
      <c r="A179" s="15" t="s">
        <v>451</v>
      </c>
      <c r="B179" s="69">
        <v>45</v>
      </c>
      <c r="C179" s="18">
        <v>177</v>
      </c>
      <c r="D179" s="41"/>
      <c r="E179" s="46">
        <v>839855</v>
      </c>
      <c r="F179" s="48"/>
      <c r="G179" s="25" t="s">
        <v>872</v>
      </c>
      <c r="H179" s="20" t="s">
        <v>881</v>
      </c>
      <c r="I179" s="33" t="s">
        <v>882</v>
      </c>
      <c r="J179" s="49" t="s">
        <v>883</v>
      </c>
      <c r="K179" s="46" t="s">
        <v>884</v>
      </c>
      <c r="L179" s="29" t="s">
        <v>888</v>
      </c>
      <c r="M179" s="16" t="s">
        <v>41</v>
      </c>
      <c r="N179" s="16" t="s">
        <v>458</v>
      </c>
      <c r="O179" s="16"/>
      <c r="P179" s="16" t="s">
        <v>43</v>
      </c>
      <c r="Q179" s="24" t="s">
        <v>116</v>
      </c>
      <c r="R179" s="22" t="s">
        <v>44</v>
      </c>
      <c r="S179" s="49" t="s">
        <v>68</v>
      </c>
      <c r="T179" s="57" t="s">
        <v>886</v>
      </c>
      <c r="U179" s="57" t="s">
        <v>887</v>
      </c>
      <c r="V179" s="47" t="s">
        <v>47</v>
      </c>
      <c r="W179" s="28" t="s">
        <v>669</v>
      </c>
      <c r="X179" s="16">
        <v>1</v>
      </c>
      <c r="Y179" s="29">
        <v>1</v>
      </c>
      <c r="Z179" s="18" t="s">
        <v>49</v>
      </c>
      <c r="AA179" s="18" t="s">
        <v>50</v>
      </c>
      <c r="AB179" s="17">
        <v>2020</v>
      </c>
      <c r="AC179" s="16" t="s">
        <v>51</v>
      </c>
      <c r="AD179" s="30"/>
      <c r="AE179" s="44"/>
      <c r="AF179" s="37"/>
      <c r="AG179" s="34"/>
    </row>
    <row r="180" spans="1:33" ht="30.75" customHeight="1" x14ac:dyDescent="0.4">
      <c r="A180" s="15" t="s">
        <v>451</v>
      </c>
      <c r="B180" s="69">
        <v>46</v>
      </c>
      <c r="C180" s="17">
        <v>178</v>
      </c>
      <c r="D180" s="18" t="s">
        <v>889</v>
      </c>
      <c r="E180" s="46">
        <v>839856</v>
      </c>
      <c r="F180" s="46"/>
      <c r="G180" s="25" t="s">
        <v>872</v>
      </c>
      <c r="H180" s="24" t="s">
        <v>890</v>
      </c>
      <c r="I180" s="24" t="s">
        <v>891</v>
      </c>
      <c r="J180" s="49" t="s">
        <v>892</v>
      </c>
      <c r="K180" s="49" t="s">
        <v>893</v>
      </c>
      <c r="L180" s="29" t="s">
        <v>894</v>
      </c>
      <c r="M180" s="16" t="s">
        <v>41</v>
      </c>
      <c r="N180" s="16" t="s">
        <v>515</v>
      </c>
      <c r="O180" s="16"/>
      <c r="P180" s="16" t="s">
        <v>43</v>
      </c>
      <c r="Q180" s="24" t="s">
        <v>17</v>
      </c>
      <c r="R180" s="22" t="s">
        <v>44</v>
      </c>
      <c r="S180" s="49" t="s">
        <v>45</v>
      </c>
      <c r="T180" s="57" t="s">
        <v>895</v>
      </c>
      <c r="U180" s="57" t="s">
        <v>896</v>
      </c>
      <c r="V180" s="47" t="s">
        <v>47</v>
      </c>
      <c r="W180" s="16" t="s">
        <v>669</v>
      </c>
      <c r="X180" s="28"/>
      <c r="Y180" s="29">
        <v>1</v>
      </c>
      <c r="Z180" s="18" t="s">
        <v>49</v>
      </c>
      <c r="AA180" s="18" t="s">
        <v>50</v>
      </c>
      <c r="AB180" s="17">
        <v>2020</v>
      </c>
      <c r="AC180" s="16" t="s">
        <v>51</v>
      </c>
      <c r="AD180" s="30"/>
      <c r="AE180" s="44"/>
      <c r="AF180" s="35" t="s">
        <v>97</v>
      </c>
      <c r="AG180" s="34" t="s">
        <v>98</v>
      </c>
    </row>
    <row r="181" spans="1:33" x14ac:dyDescent="0.4">
      <c r="A181" s="15" t="s">
        <v>451</v>
      </c>
      <c r="B181" s="69">
        <v>46</v>
      </c>
      <c r="C181" s="17">
        <v>179</v>
      </c>
      <c r="D181" s="18" t="s">
        <v>897</v>
      </c>
      <c r="E181" s="46">
        <v>839856</v>
      </c>
      <c r="F181" s="59"/>
      <c r="G181" s="25" t="s">
        <v>872</v>
      </c>
      <c r="H181" s="24" t="s">
        <v>890</v>
      </c>
      <c r="I181" s="24" t="s">
        <v>891</v>
      </c>
      <c r="J181" s="49" t="s">
        <v>892</v>
      </c>
      <c r="K181" s="49" t="s">
        <v>893</v>
      </c>
      <c r="L181" s="29" t="s">
        <v>898</v>
      </c>
      <c r="M181" s="16" t="s">
        <v>41</v>
      </c>
      <c r="N181" s="16" t="s">
        <v>458</v>
      </c>
      <c r="O181" s="16"/>
      <c r="P181" s="16" t="s">
        <v>43</v>
      </c>
      <c r="Q181" s="24" t="s">
        <v>17</v>
      </c>
      <c r="R181" s="22" t="s">
        <v>44</v>
      </c>
      <c r="S181" s="49" t="s">
        <v>68</v>
      </c>
      <c r="T181" s="57" t="s">
        <v>895</v>
      </c>
      <c r="U181" s="57" t="s">
        <v>896</v>
      </c>
      <c r="V181" s="47" t="s">
        <v>47</v>
      </c>
      <c r="W181" s="16" t="s">
        <v>669</v>
      </c>
      <c r="X181" s="28"/>
      <c r="Y181" s="29">
        <v>1</v>
      </c>
      <c r="Z181" s="18" t="s">
        <v>49</v>
      </c>
      <c r="AA181" s="18" t="s">
        <v>50</v>
      </c>
      <c r="AB181" s="17">
        <v>2020</v>
      </c>
      <c r="AC181" s="16" t="s">
        <v>51</v>
      </c>
      <c r="AD181" s="30"/>
      <c r="AE181" s="44"/>
      <c r="AF181" s="39"/>
      <c r="AG181" s="34"/>
    </row>
    <row r="182" spans="1:33" x14ac:dyDescent="0.4">
      <c r="A182" s="15" t="s">
        <v>451</v>
      </c>
      <c r="B182" s="69">
        <v>46</v>
      </c>
      <c r="C182" s="17">
        <v>180</v>
      </c>
      <c r="D182" s="18" t="s">
        <v>899</v>
      </c>
      <c r="E182" s="46">
        <v>839856</v>
      </c>
      <c r="F182" s="48"/>
      <c r="G182" s="25" t="s">
        <v>872</v>
      </c>
      <c r="H182" s="24" t="s">
        <v>890</v>
      </c>
      <c r="I182" s="24" t="s">
        <v>891</v>
      </c>
      <c r="J182" s="49" t="s">
        <v>892</v>
      </c>
      <c r="K182" s="49" t="s">
        <v>893</v>
      </c>
      <c r="L182" s="29" t="s">
        <v>900</v>
      </c>
      <c r="M182" s="16" t="s">
        <v>41</v>
      </c>
      <c r="N182" s="16" t="s">
        <v>458</v>
      </c>
      <c r="O182" s="16"/>
      <c r="P182" s="16" t="s">
        <v>43</v>
      </c>
      <c r="Q182" s="24" t="s">
        <v>17</v>
      </c>
      <c r="R182" s="22" t="s">
        <v>44</v>
      </c>
      <c r="S182" s="49" t="s">
        <v>68</v>
      </c>
      <c r="T182" s="57" t="s">
        <v>895</v>
      </c>
      <c r="U182" s="57" t="s">
        <v>896</v>
      </c>
      <c r="V182" s="47" t="s">
        <v>47</v>
      </c>
      <c r="W182" s="16" t="s">
        <v>669</v>
      </c>
      <c r="X182" s="28"/>
      <c r="Y182" s="29">
        <v>1</v>
      </c>
      <c r="Z182" s="18" t="s">
        <v>49</v>
      </c>
      <c r="AA182" s="18" t="s">
        <v>50</v>
      </c>
      <c r="AB182" s="17">
        <v>2020</v>
      </c>
      <c r="AC182" s="16" t="s">
        <v>51</v>
      </c>
      <c r="AD182" s="30"/>
      <c r="AE182" s="44"/>
      <c r="AF182" s="37"/>
      <c r="AG182" s="34"/>
    </row>
    <row r="183" spans="1:33" ht="25.5" customHeight="1" x14ac:dyDescent="0.4">
      <c r="A183" s="15" t="s">
        <v>451</v>
      </c>
      <c r="B183" s="69">
        <v>47</v>
      </c>
      <c r="C183" s="18">
        <v>181</v>
      </c>
      <c r="D183" s="18"/>
      <c r="E183" s="81">
        <v>839860</v>
      </c>
      <c r="F183" s="46"/>
      <c r="G183" s="25" t="s">
        <v>872</v>
      </c>
      <c r="H183" s="20" t="s">
        <v>901</v>
      </c>
      <c r="I183" s="33" t="s">
        <v>902</v>
      </c>
      <c r="J183" s="49" t="s">
        <v>903</v>
      </c>
      <c r="K183" s="46" t="s">
        <v>904</v>
      </c>
      <c r="L183" s="29" t="s">
        <v>905</v>
      </c>
      <c r="M183" s="16" t="s">
        <v>41</v>
      </c>
      <c r="N183" s="16" t="s">
        <v>515</v>
      </c>
      <c r="O183" s="16"/>
      <c r="P183" s="16" t="s">
        <v>43</v>
      </c>
      <c r="Q183" s="24" t="s">
        <v>116</v>
      </c>
      <c r="R183" s="22" t="s">
        <v>44</v>
      </c>
      <c r="S183" s="49" t="s">
        <v>45</v>
      </c>
      <c r="T183" s="57" t="s">
        <v>906</v>
      </c>
      <c r="U183" s="57" t="s">
        <v>907</v>
      </c>
      <c r="V183" s="47" t="s">
        <v>47</v>
      </c>
      <c r="W183" s="28" t="s">
        <v>669</v>
      </c>
      <c r="X183" s="28"/>
      <c r="Y183" s="29">
        <v>1</v>
      </c>
      <c r="Z183" s="18" t="s">
        <v>49</v>
      </c>
      <c r="AA183" s="18" t="s">
        <v>50</v>
      </c>
      <c r="AB183" s="17">
        <v>2020</v>
      </c>
      <c r="AC183" s="16" t="s">
        <v>131</v>
      </c>
      <c r="AD183" s="30" t="s">
        <v>908</v>
      </c>
      <c r="AE183" s="44"/>
      <c r="AF183" s="35" t="s">
        <v>97</v>
      </c>
      <c r="AG183" s="34" t="s">
        <v>98</v>
      </c>
    </row>
    <row r="184" spans="1:33" ht="25.5" customHeight="1" x14ac:dyDescent="0.4">
      <c r="A184" s="15" t="s">
        <v>451</v>
      </c>
      <c r="B184" s="69">
        <v>47</v>
      </c>
      <c r="C184" s="18">
        <v>182</v>
      </c>
      <c r="D184" s="18"/>
      <c r="E184" s="81">
        <v>839860</v>
      </c>
      <c r="F184" s="59"/>
      <c r="G184" s="25" t="s">
        <v>872</v>
      </c>
      <c r="H184" s="20" t="s">
        <v>901</v>
      </c>
      <c r="I184" s="33" t="s">
        <v>902</v>
      </c>
      <c r="J184" s="49" t="s">
        <v>903</v>
      </c>
      <c r="K184" s="46" t="s">
        <v>904</v>
      </c>
      <c r="L184" s="29" t="s">
        <v>909</v>
      </c>
      <c r="M184" s="16" t="s">
        <v>41</v>
      </c>
      <c r="N184" s="16" t="s">
        <v>458</v>
      </c>
      <c r="O184" s="16"/>
      <c r="P184" s="16" t="s">
        <v>43</v>
      </c>
      <c r="Q184" s="24" t="s">
        <v>116</v>
      </c>
      <c r="R184" s="22" t="s">
        <v>44</v>
      </c>
      <c r="S184" s="49" t="s">
        <v>68</v>
      </c>
      <c r="T184" s="57" t="s">
        <v>906</v>
      </c>
      <c r="U184" s="57" t="s">
        <v>907</v>
      </c>
      <c r="V184" s="47" t="s">
        <v>47</v>
      </c>
      <c r="W184" s="28" t="s">
        <v>669</v>
      </c>
      <c r="X184" s="28"/>
      <c r="Y184" s="29">
        <v>1</v>
      </c>
      <c r="Z184" s="18" t="s">
        <v>49</v>
      </c>
      <c r="AA184" s="18" t="s">
        <v>50</v>
      </c>
      <c r="AB184" s="17">
        <v>2020</v>
      </c>
      <c r="AC184" s="16" t="s">
        <v>131</v>
      </c>
      <c r="AD184" s="30" t="s">
        <v>910</v>
      </c>
      <c r="AE184" s="44"/>
      <c r="AF184" s="39"/>
      <c r="AG184" s="34"/>
    </row>
    <row r="185" spans="1:33" ht="25.5" customHeight="1" x14ac:dyDescent="0.4">
      <c r="A185" s="15" t="s">
        <v>451</v>
      </c>
      <c r="B185" s="69">
        <v>47</v>
      </c>
      <c r="C185" s="18">
        <v>183</v>
      </c>
      <c r="D185" s="18"/>
      <c r="E185" s="81">
        <v>839860</v>
      </c>
      <c r="F185" s="48"/>
      <c r="G185" s="25" t="s">
        <v>872</v>
      </c>
      <c r="H185" s="24" t="s">
        <v>901</v>
      </c>
      <c r="I185" s="24" t="s">
        <v>902</v>
      </c>
      <c r="J185" s="49" t="s">
        <v>903</v>
      </c>
      <c r="K185" s="49" t="s">
        <v>904</v>
      </c>
      <c r="L185" s="29" t="s">
        <v>911</v>
      </c>
      <c r="M185" s="16" t="s">
        <v>41</v>
      </c>
      <c r="N185" s="16" t="s">
        <v>458</v>
      </c>
      <c r="O185" s="16"/>
      <c r="P185" s="16" t="s">
        <v>43</v>
      </c>
      <c r="Q185" s="24" t="s">
        <v>116</v>
      </c>
      <c r="R185" s="22" t="s">
        <v>44</v>
      </c>
      <c r="S185" s="49" t="s">
        <v>68</v>
      </c>
      <c r="T185" s="57" t="s">
        <v>906</v>
      </c>
      <c r="U185" s="57" t="s">
        <v>907</v>
      </c>
      <c r="V185" s="47" t="s">
        <v>47</v>
      </c>
      <c r="W185" s="28" t="s">
        <v>669</v>
      </c>
      <c r="X185" s="28"/>
      <c r="Y185" s="29">
        <v>1</v>
      </c>
      <c r="Z185" s="18" t="s">
        <v>49</v>
      </c>
      <c r="AA185" s="18" t="s">
        <v>50</v>
      </c>
      <c r="AB185" s="17">
        <v>2020</v>
      </c>
      <c r="AC185" s="16" t="s">
        <v>131</v>
      </c>
      <c r="AD185" s="30" t="s">
        <v>912</v>
      </c>
      <c r="AE185" s="44"/>
      <c r="AF185" s="37"/>
      <c r="AG185" s="34"/>
    </row>
    <row r="186" spans="1:33" ht="32.25" customHeight="1" x14ac:dyDescent="0.4">
      <c r="A186" s="15" t="s">
        <v>451</v>
      </c>
      <c r="B186" s="69">
        <v>48</v>
      </c>
      <c r="C186" s="17">
        <v>184</v>
      </c>
      <c r="D186" s="18" t="s">
        <v>913</v>
      </c>
      <c r="E186" s="46">
        <v>839863</v>
      </c>
      <c r="F186" s="46"/>
      <c r="G186" s="25" t="s">
        <v>872</v>
      </c>
      <c r="H186" s="20" t="s">
        <v>914</v>
      </c>
      <c r="I186" s="33" t="s">
        <v>915</v>
      </c>
      <c r="J186" s="49" t="s">
        <v>916</v>
      </c>
      <c r="K186" s="46" t="s">
        <v>917</v>
      </c>
      <c r="L186" s="29" t="s">
        <v>918</v>
      </c>
      <c r="M186" s="16" t="s">
        <v>41</v>
      </c>
      <c r="N186" s="16" t="s">
        <v>515</v>
      </c>
      <c r="O186" s="16"/>
      <c r="P186" s="16" t="s">
        <v>43</v>
      </c>
      <c r="Q186" s="24" t="s">
        <v>17</v>
      </c>
      <c r="R186" s="22" t="s">
        <v>44</v>
      </c>
      <c r="S186" s="49" t="s">
        <v>45</v>
      </c>
      <c r="T186" s="57" t="s">
        <v>919</v>
      </c>
      <c r="U186" s="57" t="s">
        <v>920</v>
      </c>
      <c r="V186" s="47" t="s">
        <v>47</v>
      </c>
      <c r="W186" s="28" t="s">
        <v>669</v>
      </c>
      <c r="X186" s="28"/>
      <c r="Y186" s="29">
        <v>1</v>
      </c>
      <c r="Z186" s="18" t="s">
        <v>49</v>
      </c>
      <c r="AA186" s="18" t="s">
        <v>50</v>
      </c>
      <c r="AB186" s="17">
        <v>2020</v>
      </c>
      <c r="AC186" s="16" t="s">
        <v>51</v>
      </c>
      <c r="AD186" s="30"/>
      <c r="AE186" s="44"/>
      <c r="AF186" s="35" t="s">
        <v>53</v>
      </c>
      <c r="AG186" s="34" t="s">
        <v>87</v>
      </c>
    </row>
    <row r="187" spans="1:33" x14ac:dyDescent="0.4">
      <c r="A187" s="15" t="s">
        <v>451</v>
      </c>
      <c r="B187" s="69">
        <v>48</v>
      </c>
      <c r="C187" s="17">
        <v>185</v>
      </c>
      <c r="D187" s="18" t="s">
        <v>921</v>
      </c>
      <c r="E187" s="46">
        <v>839863</v>
      </c>
      <c r="F187" s="48"/>
      <c r="G187" s="25" t="s">
        <v>872</v>
      </c>
      <c r="H187" s="20" t="s">
        <v>914</v>
      </c>
      <c r="I187" s="33" t="s">
        <v>915</v>
      </c>
      <c r="J187" s="49" t="s">
        <v>916</v>
      </c>
      <c r="K187" s="46" t="s">
        <v>917</v>
      </c>
      <c r="L187" s="29" t="s">
        <v>922</v>
      </c>
      <c r="M187" s="16" t="s">
        <v>41</v>
      </c>
      <c r="N187" s="16" t="s">
        <v>458</v>
      </c>
      <c r="O187" s="16"/>
      <c r="P187" s="16" t="s">
        <v>43</v>
      </c>
      <c r="Q187" s="24" t="s">
        <v>17</v>
      </c>
      <c r="R187" s="22" t="s">
        <v>44</v>
      </c>
      <c r="S187" s="49" t="s">
        <v>68</v>
      </c>
      <c r="T187" s="57" t="s">
        <v>919</v>
      </c>
      <c r="U187" s="57" t="s">
        <v>920</v>
      </c>
      <c r="V187" s="47" t="s">
        <v>47</v>
      </c>
      <c r="W187" s="28" t="s">
        <v>669</v>
      </c>
      <c r="X187" s="28"/>
      <c r="Y187" s="29">
        <v>1</v>
      </c>
      <c r="Z187" s="18" t="s">
        <v>49</v>
      </c>
      <c r="AA187" s="18" t="s">
        <v>50</v>
      </c>
      <c r="AB187" s="17">
        <v>2020</v>
      </c>
      <c r="AC187" s="16" t="s">
        <v>51</v>
      </c>
      <c r="AD187" s="30"/>
      <c r="AE187" s="44"/>
      <c r="AF187" s="37"/>
      <c r="AG187" s="34"/>
    </row>
    <row r="188" spans="1:33" ht="26.25" customHeight="1" x14ac:dyDescent="0.4">
      <c r="A188" s="15" t="s">
        <v>451</v>
      </c>
      <c r="B188" s="69">
        <v>49</v>
      </c>
      <c r="C188" s="17">
        <v>186</v>
      </c>
      <c r="D188" s="18" t="s">
        <v>923</v>
      </c>
      <c r="E188" s="46">
        <v>839864</v>
      </c>
      <c r="F188" s="46"/>
      <c r="G188" s="25" t="s">
        <v>872</v>
      </c>
      <c r="H188" s="20" t="s">
        <v>873</v>
      </c>
      <c r="I188" s="33" t="s">
        <v>924</v>
      </c>
      <c r="J188" s="49" t="s">
        <v>925</v>
      </c>
      <c r="K188" s="46" t="s">
        <v>926</v>
      </c>
      <c r="L188" s="29" t="s">
        <v>927</v>
      </c>
      <c r="M188" s="16" t="s">
        <v>41</v>
      </c>
      <c r="N188" s="16" t="s">
        <v>515</v>
      </c>
      <c r="O188" s="16"/>
      <c r="P188" s="16" t="s">
        <v>43</v>
      </c>
      <c r="Q188" s="24" t="s">
        <v>17</v>
      </c>
      <c r="R188" s="22" t="s">
        <v>44</v>
      </c>
      <c r="S188" s="49" t="s">
        <v>45</v>
      </c>
      <c r="T188" s="57" t="s">
        <v>928</v>
      </c>
      <c r="U188" s="57" t="s">
        <v>879</v>
      </c>
      <c r="V188" s="47" t="s">
        <v>47</v>
      </c>
      <c r="W188" s="28" t="s">
        <v>669</v>
      </c>
      <c r="X188" s="28"/>
      <c r="Y188" s="29">
        <v>1</v>
      </c>
      <c r="Z188" s="18" t="s">
        <v>49</v>
      </c>
      <c r="AA188" s="18" t="s">
        <v>50</v>
      </c>
      <c r="AB188" s="17">
        <v>2020</v>
      </c>
      <c r="AC188" s="16" t="s">
        <v>51</v>
      </c>
      <c r="AD188" s="30"/>
      <c r="AE188" s="44"/>
      <c r="AF188" s="35" t="s">
        <v>53</v>
      </c>
      <c r="AG188" s="34" t="s">
        <v>87</v>
      </c>
    </row>
    <row r="189" spans="1:33" x14ac:dyDescent="0.4">
      <c r="A189" s="15" t="s">
        <v>451</v>
      </c>
      <c r="B189" s="69">
        <v>49</v>
      </c>
      <c r="C189" s="17">
        <v>187</v>
      </c>
      <c r="D189" s="18" t="s">
        <v>929</v>
      </c>
      <c r="E189" s="46">
        <v>839864</v>
      </c>
      <c r="F189" s="48"/>
      <c r="G189" s="25" t="s">
        <v>872</v>
      </c>
      <c r="H189" s="20" t="s">
        <v>873</v>
      </c>
      <c r="I189" s="33" t="s">
        <v>924</v>
      </c>
      <c r="J189" s="49" t="s">
        <v>925</v>
      </c>
      <c r="K189" s="46" t="s">
        <v>926</v>
      </c>
      <c r="L189" s="29" t="s">
        <v>930</v>
      </c>
      <c r="M189" s="16" t="s">
        <v>41</v>
      </c>
      <c r="N189" s="16" t="s">
        <v>458</v>
      </c>
      <c r="O189" s="16"/>
      <c r="P189" s="16" t="s">
        <v>43</v>
      </c>
      <c r="Q189" s="24" t="s">
        <v>17</v>
      </c>
      <c r="R189" s="22" t="s">
        <v>44</v>
      </c>
      <c r="S189" s="49" t="s">
        <v>68</v>
      </c>
      <c r="T189" s="57" t="s">
        <v>928</v>
      </c>
      <c r="U189" s="57" t="s">
        <v>879</v>
      </c>
      <c r="V189" s="47" t="s">
        <v>47</v>
      </c>
      <c r="W189" s="28" t="s">
        <v>669</v>
      </c>
      <c r="X189" s="28"/>
      <c r="Y189" s="29">
        <v>1</v>
      </c>
      <c r="Z189" s="18" t="s">
        <v>49</v>
      </c>
      <c r="AA189" s="18" t="s">
        <v>50</v>
      </c>
      <c r="AB189" s="17">
        <v>2020</v>
      </c>
      <c r="AC189" s="16" t="s">
        <v>131</v>
      </c>
      <c r="AD189" s="30"/>
      <c r="AE189" s="44"/>
      <c r="AF189" s="37"/>
      <c r="AG189" s="34"/>
    </row>
    <row r="190" spans="1:33" ht="27.75" customHeight="1" x14ac:dyDescent="0.4">
      <c r="A190" s="15" t="s">
        <v>451</v>
      </c>
      <c r="B190" s="69">
        <v>50</v>
      </c>
      <c r="C190" s="17">
        <v>188</v>
      </c>
      <c r="D190" s="18" t="s">
        <v>931</v>
      </c>
      <c r="E190" s="46">
        <v>839867</v>
      </c>
      <c r="F190" s="46"/>
      <c r="G190" s="25" t="s">
        <v>872</v>
      </c>
      <c r="H190" s="20" t="s">
        <v>932</v>
      </c>
      <c r="I190" s="33" t="s">
        <v>933</v>
      </c>
      <c r="J190" s="49" t="s">
        <v>934</v>
      </c>
      <c r="K190" s="46" t="s">
        <v>935</v>
      </c>
      <c r="L190" s="29" t="s">
        <v>936</v>
      </c>
      <c r="M190" s="16" t="s">
        <v>41</v>
      </c>
      <c r="N190" s="16" t="s">
        <v>515</v>
      </c>
      <c r="O190" s="16"/>
      <c r="P190" s="16" t="s">
        <v>43</v>
      </c>
      <c r="Q190" s="24" t="s">
        <v>17</v>
      </c>
      <c r="R190" s="22" t="s">
        <v>44</v>
      </c>
      <c r="S190" s="49" t="s">
        <v>45</v>
      </c>
      <c r="T190" s="57" t="s">
        <v>937</v>
      </c>
      <c r="U190" s="57" t="s">
        <v>938</v>
      </c>
      <c r="V190" s="47" t="s">
        <v>47</v>
      </c>
      <c r="W190" s="28" t="s">
        <v>669</v>
      </c>
      <c r="X190" s="16">
        <v>1</v>
      </c>
      <c r="Y190" s="29">
        <v>1</v>
      </c>
      <c r="Z190" s="18" t="s">
        <v>49</v>
      </c>
      <c r="AA190" s="18" t="s">
        <v>50</v>
      </c>
      <c r="AB190" s="17">
        <v>2020</v>
      </c>
      <c r="AC190" s="16" t="s">
        <v>51</v>
      </c>
      <c r="AD190" s="30" t="s">
        <v>939</v>
      </c>
      <c r="AE190" s="44"/>
      <c r="AF190" s="35" t="s">
        <v>53</v>
      </c>
      <c r="AG190" s="34" t="s">
        <v>87</v>
      </c>
    </row>
    <row r="191" spans="1:33" x14ac:dyDescent="0.4">
      <c r="A191" s="15" t="s">
        <v>451</v>
      </c>
      <c r="B191" s="69">
        <v>50</v>
      </c>
      <c r="C191" s="17">
        <v>189</v>
      </c>
      <c r="D191" s="18" t="s">
        <v>940</v>
      </c>
      <c r="E191" s="46">
        <v>839867</v>
      </c>
      <c r="F191" s="48"/>
      <c r="G191" s="25" t="s">
        <v>872</v>
      </c>
      <c r="H191" s="20" t="s">
        <v>932</v>
      </c>
      <c r="I191" s="33" t="s">
        <v>933</v>
      </c>
      <c r="J191" s="49" t="s">
        <v>934</v>
      </c>
      <c r="K191" s="46" t="s">
        <v>935</v>
      </c>
      <c r="L191" s="29" t="s">
        <v>941</v>
      </c>
      <c r="M191" s="16" t="s">
        <v>41</v>
      </c>
      <c r="N191" s="16" t="s">
        <v>458</v>
      </c>
      <c r="O191" s="16"/>
      <c r="P191" s="16" t="s">
        <v>43</v>
      </c>
      <c r="Q191" s="24" t="s">
        <v>17</v>
      </c>
      <c r="R191" s="22" t="s">
        <v>44</v>
      </c>
      <c r="S191" s="49" t="s">
        <v>68</v>
      </c>
      <c r="T191" s="57" t="s">
        <v>937</v>
      </c>
      <c r="U191" s="57" t="s">
        <v>938</v>
      </c>
      <c r="V191" s="47" t="s">
        <v>47</v>
      </c>
      <c r="W191" s="28" t="s">
        <v>669</v>
      </c>
      <c r="X191" s="16">
        <v>1</v>
      </c>
      <c r="Y191" s="29">
        <v>1</v>
      </c>
      <c r="Z191" s="18" t="s">
        <v>49</v>
      </c>
      <c r="AA191" s="18" t="s">
        <v>50</v>
      </c>
      <c r="AB191" s="17">
        <v>2020</v>
      </c>
      <c r="AC191" s="16" t="s">
        <v>51</v>
      </c>
      <c r="AD191" s="30"/>
      <c r="AE191" s="44"/>
      <c r="AF191" s="37"/>
      <c r="AG191" s="34"/>
    </row>
    <row r="192" spans="1:33" x14ac:dyDescent="0.4">
      <c r="A192" s="15" t="s">
        <v>451</v>
      </c>
      <c r="B192" s="49">
        <v>51</v>
      </c>
      <c r="C192" s="18">
        <v>190</v>
      </c>
      <c r="D192" s="41"/>
      <c r="E192" s="49">
        <v>839870</v>
      </c>
      <c r="F192" s="29"/>
      <c r="G192" s="25" t="s">
        <v>872</v>
      </c>
      <c r="H192" s="61" t="s">
        <v>942</v>
      </c>
      <c r="I192" s="61" t="s">
        <v>943</v>
      </c>
      <c r="J192" s="49" t="s">
        <v>944</v>
      </c>
      <c r="K192" s="49" t="s">
        <v>945</v>
      </c>
      <c r="L192" s="29" t="s">
        <v>946</v>
      </c>
      <c r="M192" s="16" t="s">
        <v>41</v>
      </c>
      <c r="N192" s="16" t="s">
        <v>515</v>
      </c>
      <c r="O192" s="16"/>
      <c r="P192" s="16" t="s">
        <v>43</v>
      </c>
      <c r="Q192" s="24" t="s">
        <v>116</v>
      </c>
      <c r="R192" s="22" t="s">
        <v>44</v>
      </c>
      <c r="S192" s="49" t="s">
        <v>45</v>
      </c>
      <c r="T192" s="57" t="s">
        <v>947</v>
      </c>
      <c r="U192" s="57" t="s">
        <v>948</v>
      </c>
      <c r="V192" s="49" t="s">
        <v>47</v>
      </c>
      <c r="W192" s="28" t="s">
        <v>669</v>
      </c>
      <c r="X192" s="28"/>
      <c r="Y192" s="29">
        <v>1</v>
      </c>
      <c r="Z192" s="18" t="s">
        <v>49</v>
      </c>
      <c r="AA192" s="18" t="s">
        <v>50</v>
      </c>
      <c r="AB192" s="17">
        <v>2020</v>
      </c>
      <c r="AC192" s="16" t="s">
        <v>51</v>
      </c>
      <c r="AD192" s="30" t="s">
        <v>949</v>
      </c>
      <c r="AE192" s="29"/>
      <c r="AF192" s="16" t="s">
        <v>52</v>
      </c>
      <c r="AG192" s="16" t="s">
        <v>53</v>
      </c>
    </row>
    <row r="193" spans="1:33" ht="28.5" customHeight="1" x14ac:dyDescent="0.4">
      <c r="A193" s="15" t="s">
        <v>451</v>
      </c>
      <c r="B193" s="69">
        <v>52</v>
      </c>
      <c r="C193" s="17">
        <v>191</v>
      </c>
      <c r="D193" s="18" t="s">
        <v>950</v>
      </c>
      <c r="E193" s="46">
        <v>839873</v>
      </c>
      <c r="F193" s="46"/>
      <c r="G193" s="25" t="s">
        <v>872</v>
      </c>
      <c r="H193" s="20" t="s">
        <v>951</v>
      </c>
      <c r="I193" s="33" t="s">
        <v>952</v>
      </c>
      <c r="J193" s="49" t="s">
        <v>953</v>
      </c>
      <c r="K193" s="46" t="s">
        <v>954</v>
      </c>
      <c r="L193" s="29" t="s">
        <v>955</v>
      </c>
      <c r="M193" s="16" t="s">
        <v>41</v>
      </c>
      <c r="N193" s="16" t="s">
        <v>515</v>
      </c>
      <c r="O193" s="16"/>
      <c r="P193" s="16" t="s">
        <v>43</v>
      </c>
      <c r="Q193" s="24" t="s">
        <v>17</v>
      </c>
      <c r="R193" s="22" t="s">
        <v>44</v>
      </c>
      <c r="S193" s="49" t="s">
        <v>45</v>
      </c>
      <c r="T193" s="57" t="s">
        <v>956</v>
      </c>
      <c r="U193" s="57" t="s">
        <v>957</v>
      </c>
      <c r="V193" s="47" t="s">
        <v>47</v>
      </c>
      <c r="W193" s="28" t="s">
        <v>669</v>
      </c>
      <c r="X193" s="16">
        <v>1</v>
      </c>
      <c r="Y193" s="29">
        <v>1</v>
      </c>
      <c r="Z193" s="18" t="s">
        <v>49</v>
      </c>
      <c r="AA193" s="18" t="s">
        <v>50</v>
      </c>
      <c r="AB193" s="17">
        <v>2020</v>
      </c>
      <c r="AC193" s="16" t="s">
        <v>51</v>
      </c>
      <c r="AD193" s="30"/>
      <c r="AE193" s="44"/>
      <c r="AF193" s="35" t="s">
        <v>53</v>
      </c>
      <c r="AG193" s="34" t="s">
        <v>87</v>
      </c>
    </row>
    <row r="194" spans="1:33" x14ac:dyDescent="0.4">
      <c r="A194" s="15" t="s">
        <v>451</v>
      </c>
      <c r="B194" s="69">
        <v>52</v>
      </c>
      <c r="C194" s="17">
        <v>192</v>
      </c>
      <c r="D194" s="18" t="s">
        <v>958</v>
      </c>
      <c r="E194" s="46">
        <v>839873</v>
      </c>
      <c r="F194" s="48"/>
      <c r="G194" s="25" t="s">
        <v>872</v>
      </c>
      <c r="H194" s="20" t="s">
        <v>951</v>
      </c>
      <c r="I194" s="33" t="s">
        <v>952</v>
      </c>
      <c r="J194" s="49" t="s">
        <v>953</v>
      </c>
      <c r="K194" s="46" t="s">
        <v>954</v>
      </c>
      <c r="L194" s="29" t="s">
        <v>959</v>
      </c>
      <c r="M194" s="16" t="s">
        <v>41</v>
      </c>
      <c r="N194" s="16" t="s">
        <v>458</v>
      </c>
      <c r="O194" s="16"/>
      <c r="P194" s="16" t="s">
        <v>43</v>
      </c>
      <c r="Q194" s="24" t="s">
        <v>17</v>
      </c>
      <c r="R194" s="22" t="s">
        <v>44</v>
      </c>
      <c r="S194" s="49" t="s">
        <v>68</v>
      </c>
      <c r="T194" s="57" t="s">
        <v>956</v>
      </c>
      <c r="U194" s="57" t="s">
        <v>957</v>
      </c>
      <c r="V194" s="47" t="s">
        <v>47</v>
      </c>
      <c r="W194" s="28" t="s">
        <v>669</v>
      </c>
      <c r="X194" s="16">
        <v>1</v>
      </c>
      <c r="Y194" s="29">
        <v>1</v>
      </c>
      <c r="Z194" s="18" t="s">
        <v>49</v>
      </c>
      <c r="AA194" s="18" t="s">
        <v>50</v>
      </c>
      <c r="AB194" s="17">
        <v>2020</v>
      </c>
      <c r="AC194" s="16" t="s">
        <v>51</v>
      </c>
      <c r="AD194" s="30"/>
      <c r="AE194" s="44"/>
      <c r="AF194" s="37"/>
      <c r="AG194" s="34"/>
    </row>
    <row r="195" spans="1:33" x14ac:dyDescent="0.4">
      <c r="A195" s="15" t="s">
        <v>451</v>
      </c>
      <c r="B195" s="49">
        <v>53</v>
      </c>
      <c r="C195" s="17">
        <v>193</v>
      </c>
      <c r="D195" s="18" t="s">
        <v>960</v>
      </c>
      <c r="E195" s="49">
        <v>839874</v>
      </c>
      <c r="F195" s="29"/>
      <c r="G195" s="25" t="s">
        <v>872</v>
      </c>
      <c r="H195" s="61" t="s">
        <v>961</v>
      </c>
      <c r="I195" s="61" t="s">
        <v>962</v>
      </c>
      <c r="J195" s="49" t="s">
        <v>963</v>
      </c>
      <c r="K195" s="49" t="s">
        <v>964</v>
      </c>
      <c r="L195" s="29" t="s">
        <v>965</v>
      </c>
      <c r="M195" s="16" t="s">
        <v>41</v>
      </c>
      <c r="N195" s="16" t="s">
        <v>515</v>
      </c>
      <c r="O195" s="16"/>
      <c r="P195" s="16" t="s">
        <v>43</v>
      </c>
      <c r="Q195" s="24" t="s">
        <v>17</v>
      </c>
      <c r="R195" s="22" t="s">
        <v>44</v>
      </c>
      <c r="S195" s="49" t="s">
        <v>45</v>
      </c>
      <c r="T195" s="57" t="s">
        <v>966</v>
      </c>
      <c r="U195" s="57" t="s">
        <v>967</v>
      </c>
      <c r="V195" s="49" t="s">
        <v>47</v>
      </c>
      <c r="W195" s="28" t="s">
        <v>669</v>
      </c>
      <c r="X195" s="28"/>
      <c r="Y195" s="29">
        <v>1</v>
      </c>
      <c r="Z195" s="18" t="s">
        <v>49</v>
      </c>
      <c r="AA195" s="18" t="s">
        <v>50</v>
      </c>
      <c r="AB195" s="17">
        <v>2020</v>
      </c>
      <c r="AC195" s="16" t="s">
        <v>51</v>
      </c>
      <c r="AD195" s="30"/>
      <c r="AE195" s="29"/>
      <c r="AF195" s="16" t="s">
        <v>52</v>
      </c>
      <c r="AG195" s="16" t="s">
        <v>53</v>
      </c>
    </row>
    <row r="196" spans="1:33" ht="30.75" customHeight="1" x14ac:dyDescent="0.4">
      <c r="A196" s="15" t="s">
        <v>451</v>
      </c>
      <c r="B196" s="69">
        <v>54</v>
      </c>
      <c r="C196" s="18">
        <v>194</v>
      </c>
      <c r="D196" s="41"/>
      <c r="E196" s="46">
        <v>839877</v>
      </c>
      <c r="F196" s="46"/>
      <c r="G196" s="25" t="s">
        <v>872</v>
      </c>
      <c r="H196" s="20" t="s">
        <v>968</v>
      </c>
      <c r="I196" s="33" t="s">
        <v>969</v>
      </c>
      <c r="J196" s="49" t="s">
        <v>970</v>
      </c>
      <c r="K196" s="46" t="s">
        <v>971</v>
      </c>
      <c r="L196" s="29" t="s">
        <v>972</v>
      </c>
      <c r="M196" s="16" t="s">
        <v>41</v>
      </c>
      <c r="N196" s="16" t="s">
        <v>515</v>
      </c>
      <c r="O196" s="16"/>
      <c r="P196" s="16" t="s">
        <v>43</v>
      </c>
      <c r="Q196" s="24" t="s">
        <v>116</v>
      </c>
      <c r="R196" s="22" t="s">
        <v>44</v>
      </c>
      <c r="S196" s="49" t="s">
        <v>45</v>
      </c>
      <c r="T196" s="57" t="s">
        <v>973</v>
      </c>
      <c r="U196" s="57" t="s">
        <v>974</v>
      </c>
      <c r="V196" s="47" t="s">
        <v>47</v>
      </c>
      <c r="W196" s="28" t="s">
        <v>669</v>
      </c>
      <c r="X196" s="16">
        <v>1</v>
      </c>
      <c r="Y196" s="29">
        <v>1</v>
      </c>
      <c r="Z196" s="18" t="s">
        <v>49</v>
      </c>
      <c r="AA196" s="18" t="s">
        <v>50</v>
      </c>
      <c r="AB196" s="17">
        <v>2020</v>
      </c>
      <c r="AC196" s="16" t="s">
        <v>51</v>
      </c>
      <c r="AD196" s="30"/>
      <c r="AE196" s="44"/>
      <c r="AF196" s="35" t="s">
        <v>53</v>
      </c>
      <c r="AG196" s="34" t="s">
        <v>87</v>
      </c>
    </row>
    <row r="197" spans="1:33" x14ac:dyDescent="0.4">
      <c r="A197" s="15" t="s">
        <v>451</v>
      </c>
      <c r="B197" s="69">
        <v>54</v>
      </c>
      <c r="C197" s="18">
        <v>195</v>
      </c>
      <c r="D197" s="41"/>
      <c r="E197" s="46">
        <v>839877</v>
      </c>
      <c r="F197" s="48"/>
      <c r="G197" s="25" t="s">
        <v>872</v>
      </c>
      <c r="H197" s="20" t="s">
        <v>968</v>
      </c>
      <c r="I197" s="33" t="s">
        <v>969</v>
      </c>
      <c r="J197" s="49" t="s">
        <v>970</v>
      </c>
      <c r="K197" s="46" t="s">
        <v>971</v>
      </c>
      <c r="L197" s="29" t="s">
        <v>975</v>
      </c>
      <c r="M197" s="16" t="s">
        <v>41</v>
      </c>
      <c r="N197" s="16" t="s">
        <v>458</v>
      </c>
      <c r="O197" s="16"/>
      <c r="P197" s="16" t="s">
        <v>43</v>
      </c>
      <c r="Q197" s="24" t="s">
        <v>116</v>
      </c>
      <c r="R197" s="22" t="s">
        <v>44</v>
      </c>
      <c r="S197" s="49" t="s">
        <v>68</v>
      </c>
      <c r="T197" s="57" t="s">
        <v>973</v>
      </c>
      <c r="U197" s="57" t="s">
        <v>974</v>
      </c>
      <c r="V197" s="47" t="s">
        <v>47</v>
      </c>
      <c r="W197" s="28" t="s">
        <v>669</v>
      </c>
      <c r="X197" s="16">
        <v>1</v>
      </c>
      <c r="Y197" s="29">
        <v>1</v>
      </c>
      <c r="Z197" s="18" t="s">
        <v>49</v>
      </c>
      <c r="AA197" s="18" t="s">
        <v>50</v>
      </c>
      <c r="AB197" s="17">
        <v>2020</v>
      </c>
      <c r="AC197" s="16" t="s">
        <v>51</v>
      </c>
      <c r="AD197" s="30"/>
      <c r="AE197" s="44"/>
      <c r="AF197" s="37"/>
      <c r="AG197" s="34"/>
    </row>
    <row r="198" spans="1:33" x14ac:dyDescent="0.4">
      <c r="A198" s="15" t="s">
        <v>451</v>
      </c>
      <c r="B198" s="69">
        <v>55</v>
      </c>
      <c r="C198" s="17">
        <v>196</v>
      </c>
      <c r="D198" s="18" t="s">
        <v>976</v>
      </c>
      <c r="E198" s="49">
        <v>839880</v>
      </c>
      <c r="F198" s="49"/>
      <c r="G198" s="25" t="s">
        <v>872</v>
      </c>
      <c r="H198" s="24" t="s">
        <v>977</v>
      </c>
      <c r="I198" s="24" t="s">
        <v>978</v>
      </c>
      <c r="J198" s="49" t="s">
        <v>979</v>
      </c>
      <c r="K198" s="49" t="s">
        <v>980</v>
      </c>
      <c r="L198" s="29" t="s">
        <v>981</v>
      </c>
      <c r="M198" s="16" t="s">
        <v>41</v>
      </c>
      <c r="N198" s="16" t="s">
        <v>515</v>
      </c>
      <c r="O198" s="16"/>
      <c r="P198" s="16" t="s">
        <v>43</v>
      </c>
      <c r="Q198" s="24" t="s">
        <v>17</v>
      </c>
      <c r="R198" s="22" t="s">
        <v>44</v>
      </c>
      <c r="S198" s="49" t="s">
        <v>45</v>
      </c>
      <c r="T198" s="57" t="s">
        <v>982</v>
      </c>
      <c r="U198" s="57" t="s">
        <v>967</v>
      </c>
      <c r="V198" s="47" t="s">
        <v>47</v>
      </c>
      <c r="W198" s="16" t="s">
        <v>669</v>
      </c>
      <c r="X198" s="28"/>
      <c r="Y198" s="29">
        <v>1</v>
      </c>
      <c r="Z198" s="18" t="s">
        <v>49</v>
      </c>
      <c r="AA198" s="18" t="s">
        <v>50</v>
      </c>
      <c r="AB198" s="17">
        <v>2020</v>
      </c>
      <c r="AC198" s="16" t="s">
        <v>131</v>
      </c>
      <c r="AD198" s="30"/>
      <c r="AE198" s="44"/>
      <c r="AF198" s="35" t="s">
        <v>97</v>
      </c>
      <c r="AG198" s="34" t="s">
        <v>98</v>
      </c>
    </row>
    <row r="199" spans="1:33" x14ac:dyDescent="0.4">
      <c r="A199" s="15" t="s">
        <v>451</v>
      </c>
      <c r="B199" s="69">
        <v>55</v>
      </c>
      <c r="C199" s="17">
        <v>197</v>
      </c>
      <c r="D199" s="18" t="s">
        <v>983</v>
      </c>
      <c r="E199" s="49">
        <v>839880</v>
      </c>
      <c r="F199" s="59"/>
      <c r="G199" s="25" t="s">
        <v>872</v>
      </c>
      <c r="H199" s="24" t="s">
        <v>977</v>
      </c>
      <c r="I199" s="24" t="s">
        <v>978</v>
      </c>
      <c r="J199" s="49" t="s">
        <v>979</v>
      </c>
      <c r="K199" s="49" t="s">
        <v>980</v>
      </c>
      <c r="L199" s="29" t="s">
        <v>984</v>
      </c>
      <c r="M199" s="16" t="s">
        <v>41</v>
      </c>
      <c r="N199" s="16" t="s">
        <v>458</v>
      </c>
      <c r="O199" s="16"/>
      <c r="P199" s="16" t="s">
        <v>43</v>
      </c>
      <c r="Q199" s="24" t="s">
        <v>17</v>
      </c>
      <c r="R199" s="22" t="s">
        <v>44</v>
      </c>
      <c r="S199" s="49" t="s">
        <v>68</v>
      </c>
      <c r="T199" s="57" t="s">
        <v>982</v>
      </c>
      <c r="U199" s="57" t="s">
        <v>967</v>
      </c>
      <c r="V199" s="47" t="s">
        <v>47</v>
      </c>
      <c r="W199" s="16" t="s">
        <v>669</v>
      </c>
      <c r="X199" s="28"/>
      <c r="Y199" s="29">
        <v>1</v>
      </c>
      <c r="Z199" s="18" t="s">
        <v>49</v>
      </c>
      <c r="AA199" s="18" t="s">
        <v>50</v>
      </c>
      <c r="AB199" s="17">
        <v>2020</v>
      </c>
      <c r="AC199" s="16" t="s">
        <v>131</v>
      </c>
      <c r="AD199" s="30"/>
      <c r="AE199" s="44"/>
      <c r="AF199" s="39"/>
      <c r="AG199" s="34"/>
    </row>
    <row r="200" spans="1:33" x14ac:dyDescent="0.4">
      <c r="A200" s="15" t="s">
        <v>451</v>
      </c>
      <c r="B200" s="69">
        <v>55</v>
      </c>
      <c r="C200" s="17">
        <v>198</v>
      </c>
      <c r="D200" s="18" t="s">
        <v>985</v>
      </c>
      <c r="E200" s="49">
        <v>839880</v>
      </c>
      <c r="F200" s="48"/>
      <c r="G200" s="25" t="s">
        <v>872</v>
      </c>
      <c r="H200" s="24" t="s">
        <v>977</v>
      </c>
      <c r="I200" s="24" t="s">
        <v>978</v>
      </c>
      <c r="J200" s="49" t="s">
        <v>979</v>
      </c>
      <c r="K200" s="49" t="s">
        <v>980</v>
      </c>
      <c r="L200" s="29" t="s">
        <v>986</v>
      </c>
      <c r="M200" s="16" t="s">
        <v>41</v>
      </c>
      <c r="N200" s="16" t="s">
        <v>458</v>
      </c>
      <c r="O200" s="16"/>
      <c r="P200" s="16" t="s">
        <v>43</v>
      </c>
      <c r="Q200" s="24" t="s">
        <v>17</v>
      </c>
      <c r="R200" s="22" t="s">
        <v>44</v>
      </c>
      <c r="S200" s="49" t="s">
        <v>68</v>
      </c>
      <c r="T200" s="57" t="s">
        <v>982</v>
      </c>
      <c r="U200" s="57" t="s">
        <v>967</v>
      </c>
      <c r="V200" s="47" t="s">
        <v>47</v>
      </c>
      <c r="W200" s="16" t="s">
        <v>669</v>
      </c>
      <c r="X200" s="28"/>
      <c r="Y200" s="29">
        <v>1</v>
      </c>
      <c r="Z200" s="18" t="s">
        <v>49</v>
      </c>
      <c r="AA200" s="18" t="s">
        <v>50</v>
      </c>
      <c r="AB200" s="17">
        <v>2020</v>
      </c>
      <c r="AC200" s="16" t="s">
        <v>51</v>
      </c>
      <c r="AD200" s="30"/>
      <c r="AE200" s="44"/>
      <c r="AF200" s="37"/>
      <c r="AG200" s="34"/>
    </row>
    <row r="201" spans="1:33" x14ac:dyDescent="0.4">
      <c r="A201" s="15" t="s">
        <v>451</v>
      </c>
      <c r="B201" s="69">
        <v>56</v>
      </c>
      <c r="C201" s="17">
        <v>199</v>
      </c>
      <c r="D201" s="18" t="s">
        <v>987</v>
      </c>
      <c r="E201" s="46">
        <v>839882</v>
      </c>
      <c r="F201" s="46"/>
      <c r="G201" s="24" t="s">
        <v>988</v>
      </c>
      <c r="H201" s="82" t="s">
        <v>989</v>
      </c>
      <c r="I201" s="33" t="s">
        <v>990</v>
      </c>
      <c r="J201" s="49" t="s">
        <v>991</v>
      </c>
      <c r="K201" s="46" t="s">
        <v>992</v>
      </c>
      <c r="L201" s="29" t="s">
        <v>993</v>
      </c>
      <c r="M201" s="16" t="s">
        <v>41</v>
      </c>
      <c r="N201" s="16" t="s">
        <v>515</v>
      </c>
      <c r="O201" s="16"/>
      <c r="P201" s="16" t="s">
        <v>43</v>
      </c>
      <c r="Q201" s="24" t="s">
        <v>17</v>
      </c>
      <c r="R201" s="22" t="s">
        <v>44</v>
      </c>
      <c r="S201" s="49" t="s">
        <v>45</v>
      </c>
      <c r="T201" s="57" t="s">
        <v>994</v>
      </c>
      <c r="U201" s="57" t="s">
        <v>995</v>
      </c>
      <c r="V201" s="47" t="s">
        <v>47</v>
      </c>
      <c r="W201" s="28" t="s">
        <v>669</v>
      </c>
      <c r="X201" s="16">
        <v>1</v>
      </c>
      <c r="Y201" s="29">
        <v>1</v>
      </c>
      <c r="Z201" s="18" t="s">
        <v>49</v>
      </c>
      <c r="AA201" s="18" t="s">
        <v>50</v>
      </c>
      <c r="AB201" s="17">
        <v>2020</v>
      </c>
      <c r="AC201" s="16" t="s">
        <v>51</v>
      </c>
      <c r="AD201" s="30"/>
      <c r="AE201" s="44"/>
      <c r="AF201" s="35" t="s">
        <v>53</v>
      </c>
      <c r="AG201" s="34" t="s">
        <v>87</v>
      </c>
    </row>
    <row r="202" spans="1:33" x14ac:dyDescent="0.4">
      <c r="A202" s="15" t="s">
        <v>451</v>
      </c>
      <c r="B202" s="69">
        <v>56</v>
      </c>
      <c r="C202" s="17">
        <v>200</v>
      </c>
      <c r="D202" s="18" t="s">
        <v>996</v>
      </c>
      <c r="E202" s="46">
        <v>839882</v>
      </c>
      <c r="F202" s="48"/>
      <c r="G202" s="24" t="s">
        <v>988</v>
      </c>
      <c r="H202" s="20" t="s">
        <v>989</v>
      </c>
      <c r="I202" s="33" t="s">
        <v>990</v>
      </c>
      <c r="J202" s="49" t="s">
        <v>991</v>
      </c>
      <c r="K202" s="46" t="s">
        <v>992</v>
      </c>
      <c r="L202" s="29" t="s">
        <v>997</v>
      </c>
      <c r="M202" s="16" t="s">
        <v>41</v>
      </c>
      <c r="N202" s="16" t="s">
        <v>458</v>
      </c>
      <c r="O202" s="16"/>
      <c r="P202" s="16" t="s">
        <v>43</v>
      </c>
      <c r="Q202" s="24" t="s">
        <v>17</v>
      </c>
      <c r="R202" s="22" t="s">
        <v>44</v>
      </c>
      <c r="S202" s="49" t="s">
        <v>68</v>
      </c>
      <c r="T202" s="57" t="s">
        <v>994</v>
      </c>
      <c r="U202" s="57" t="s">
        <v>995</v>
      </c>
      <c r="V202" s="47" t="s">
        <v>47</v>
      </c>
      <c r="W202" s="28" t="s">
        <v>669</v>
      </c>
      <c r="X202" s="16">
        <v>1</v>
      </c>
      <c r="Y202" s="29">
        <v>1</v>
      </c>
      <c r="Z202" s="18" t="s">
        <v>49</v>
      </c>
      <c r="AA202" s="18" t="s">
        <v>50</v>
      </c>
      <c r="AB202" s="17">
        <v>2020</v>
      </c>
      <c r="AC202" s="16" t="s">
        <v>51</v>
      </c>
      <c r="AD202" s="30"/>
      <c r="AE202" s="44"/>
      <c r="AF202" s="37"/>
      <c r="AG202" s="34"/>
    </row>
    <row r="203" spans="1:33" ht="28.5" customHeight="1" x14ac:dyDescent="0.4">
      <c r="A203" s="15" t="s">
        <v>451</v>
      </c>
      <c r="B203" s="69">
        <v>57</v>
      </c>
      <c r="C203" s="17">
        <v>201</v>
      </c>
      <c r="D203" s="18" t="s">
        <v>998</v>
      </c>
      <c r="E203" s="46">
        <v>839883</v>
      </c>
      <c r="F203" s="46"/>
      <c r="G203" s="24" t="s">
        <v>999</v>
      </c>
      <c r="H203" s="20" t="s">
        <v>1000</v>
      </c>
      <c r="I203" s="33" t="s">
        <v>1001</v>
      </c>
      <c r="J203" s="49" t="s">
        <v>1002</v>
      </c>
      <c r="K203" s="46" t="s">
        <v>1003</v>
      </c>
      <c r="L203" s="29" t="s">
        <v>1004</v>
      </c>
      <c r="M203" s="16" t="s">
        <v>41</v>
      </c>
      <c r="N203" s="16" t="s">
        <v>515</v>
      </c>
      <c r="O203" s="16"/>
      <c r="P203" s="16" t="s">
        <v>43</v>
      </c>
      <c r="Q203" s="24" t="s">
        <v>17</v>
      </c>
      <c r="R203" s="22" t="s">
        <v>44</v>
      </c>
      <c r="S203" s="49" t="s">
        <v>45</v>
      </c>
      <c r="T203" s="57" t="s">
        <v>1005</v>
      </c>
      <c r="U203" s="57" t="s">
        <v>1006</v>
      </c>
      <c r="V203" s="47" t="s">
        <v>47</v>
      </c>
      <c r="W203" s="28" t="s">
        <v>669</v>
      </c>
      <c r="X203" s="16">
        <v>1</v>
      </c>
      <c r="Y203" s="29">
        <v>1</v>
      </c>
      <c r="Z203" s="18" t="s">
        <v>49</v>
      </c>
      <c r="AA203" s="18" t="s">
        <v>50</v>
      </c>
      <c r="AB203" s="17">
        <v>2020</v>
      </c>
      <c r="AC203" s="16" t="s">
        <v>51</v>
      </c>
      <c r="AD203" s="30"/>
      <c r="AE203" s="44"/>
      <c r="AF203" s="35" t="s">
        <v>97</v>
      </c>
      <c r="AG203" s="34" t="s">
        <v>98</v>
      </c>
    </row>
    <row r="204" spans="1:33" x14ac:dyDescent="0.4">
      <c r="A204" s="15" t="s">
        <v>451</v>
      </c>
      <c r="B204" s="69">
        <v>57</v>
      </c>
      <c r="C204" s="17">
        <v>202</v>
      </c>
      <c r="D204" s="18" t="s">
        <v>1007</v>
      </c>
      <c r="E204" s="46">
        <v>839883</v>
      </c>
      <c r="F204" s="59"/>
      <c r="G204" s="24" t="s">
        <v>999</v>
      </c>
      <c r="H204" s="20" t="s">
        <v>1000</v>
      </c>
      <c r="I204" s="33" t="s">
        <v>1001</v>
      </c>
      <c r="J204" s="49" t="s">
        <v>1002</v>
      </c>
      <c r="K204" s="46" t="s">
        <v>1003</v>
      </c>
      <c r="L204" s="29" t="s">
        <v>1008</v>
      </c>
      <c r="M204" s="16" t="s">
        <v>41</v>
      </c>
      <c r="N204" s="16" t="s">
        <v>458</v>
      </c>
      <c r="O204" s="16"/>
      <c r="P204" s="16" t="s">
        <v>43</v>
      </c>
      <c r="Q204" s="24" t="s">
        <v>17</v>
      </c>
      <c r="R204" s="22" t="s">
        <v>44</v>
      </c>
      <c r="S204" s="49" t="s">
        <v>68</v>
      </c>
      <c r="T204" s="57" t="s">
        <v>1005</v>
      </c>
      <c r="U204" s="57" t="s">
        <v>1006</v>
      </c>
      <c r="V204" s="47" t="s">
        <v>47</v>
      </c>
      <c r="W204" s="28" t="s">
        <v>669</v>
      </c>
      <c r="X204" s="16">
        <v>1</v>
      </c>
      <c r="Y204" s="29">
        <v>1</v>
      </c>
      <c r="Z204" s="18" t="s">
        <v>49</v>
      </c>
      <c r="AA204" s="18" t="s">
        <v>50</v>
      </c>
      <c r="AB204" s="17">
        <v>2020</v>
      </c>
      <c r="AC204" s="16" t="s">
        <v>51</v>
      </c>
      <c r="AD204" s="30"/>
      <c r="AE204" s="44"/>
      <c r="AF204" s="39"/>
      <c r="AG204" s="34"/>
    </row>
    <row r="205" spans="1:33" x14ac:dyDescent="0.4">
      <c r="A205" s="15" t="s">
        <v>451</v>
      </c>
      <c r="B205" s="69">
        <v>57</v>
      </c>
      <c r="C205" s="17">
        <v>203</v>
      </c>
      <c r="D205" s="18" t="s">
        <v>1009</v>
      </c>
      <c r="E205" s="46">
        <v>839883</v>
      </c>
      <c r="F205" s="48"/>
      <c r="G205" s="24" t="s">
        <v>999</v>
      </c>
      <c r="H205" s="20" t="s">
        <v>1000</v>
      </c>
      <c r="I205" s="33" t="s">
        <v>1001</v>
      </c>
      <c r="J205" s="49" t="s">
        <v>1002</v>
      </c>
      <c r="K205" s="46" t="s">
        <v>1003</v>
      </c>
      <c r="L205" s="29" t="s">
        <v>1010</v>
      </c>
      <c r="M205" s="16" t="s">
        <v>41</v>
      </c>
      <c r="N205" s="16" t="s">
        <v>458</v>
      </c>
      <c r="O205" s="16"/>
      <c r="P205" s="16" t="s">
        <v>43</v>
      </c>
      <c r="Q205" s="24" t="s">
        <v>17</v>
      </c>
      <c r="R205" s="22" t="s">
        <v>44</v>
      </c>
      <c r="S205" s="49" t="s">
        <v>68</v>
      </c>
      <c r="T205" s="57" t="s">
        <v>1005</v>
      </c>
      <c r="U205" s="57" t="s">
        <v>1006</v>
      </c>
      <c r="V205" s="47" t="s">
        <v>47</v>
      </c>
      <c r="W205" s="28" t="s">
        <v>669</v>
      </c>
      <c r="X205" s="16">
        <v>1</v>
      </c>
      <c r="Y205" s="29">
        <v>1</v>
      </c>
      <c r="Z205" s="18" t="s">
        <v>49</v>
      </c>
      <c r="AA205" s="18" t="s">
        <v>50</v>
      </c>
      <c r="AB205" s="17">
        <v>2020</v>
      </c>
      <c r="AC205" s="16" t="s">
        <v>51</v>
      </c>
      <c r="AD205" s="30"/>
      <c r="AE205" s="44"/>
      <c r="AF205" s="37"/>
      <c r="AG205" s="34"/>
    </row>
    <row r="206" spans="1:33" x14ac:dyDescent="0.4">
      <c r="A206" s="15" t="s">
        <v>1011</v>
      </c>
      <c r="B206" s="49">
        <v>58</v>
      </c>
      <c r="C206" s="18">
        <v>204</v>
      </c>
      <c r="D206" s="41"/>
      <c r="E206" s="49">
        <v>3208441</v>
      </c>
      <c r="F206" s="49"/>
      <c r="G206" s="24" t="s">
        <v>36</v>
      </c>
      <c r="H206" s="21" t="s">
        <v>1012</v>
      </c>
      <c r="I206" s="83" t="s">
        <v>1013</v>
      </c>
      <c r="J206" s="16" t="s">
        <v>1014</v>
      </c>
      <c r="K206" s="16" t="s">
        <v>1015</v>
      </c>
      <c r="L206" s="22" t="s">
        <v>1016</v>
      </c>
      <c r="M206" s="16" t="s">
        <v>41</v>
      </c>
      <c r="N206" s="16" t="s">
        <v>515</v>
      </c>
      <c r="O206" s="16"/>
      <c r="P206" s="16" t="s">
        <v>43</v>
      </c>
      <c r="Q206" s="24" t="s">
        <v>116</v>
      </c>
      <c r="R206" s="25" t="s">
        <v>44</v>
      </c>
      <c r="S206" s="16" t="s">
        <v>45</v>
      </c>
      <c r="T206" s="84" t="s">
        <v>1017</v>
      </c>
      <c r="U206" s="85" t="s">
        <v>1018</v>
      </c>
      <c r="V206" s="31"/>
      <c r="W206" s="28" t="s">
        <v>669</v>
      </c>
      <c r="X206" s="28"/>
      <c r="Y206" s="29">
        <v>1</v>
      </c>
      <c r="Z206" s="18"/>
      <c r="AA206" s="18"/>
      <c r="AB206" s="18">
        <v>2019</v>
      </c>
      <c r="AC206" s="16" t="s">
        <v>51</v>
      </c>
      <c r="AD206" s="30"/>
      <c r="AE206" s="49"/>
      <c r="AF206" s="16" t="s">
        <v>52</v>
      </c>
      <c r="AG206" s="16" t="s">
        <v>53</v>
      </c>
    </row>
    <row r="207" spans="1:33" x14ac:dyDescent="0.4">
      <c r="A207" s="6" t="s">
        <v>1012</v>
      </c>
      <c r="B207" s="16">
        <v>1</v>
      </c>
      <c r="C207" s="17">
        <v>205</v>
      </c>
      <c r="D207" s="18" t="s">
        <v>1019</v>
      </c>
      <c r="E207" s="49">
        <v>830606</v>
      </c>
      <c r="F207" s="49"/>
      <c r="G207" s="24" t="s">
        <v>36</v>
      </c>
      <c r="H207" s="21" t="s">
        <v>1012</v>
      </c>
      <c r="I207" s="21" t="s">
        <v>1020</v>
      </c>
      <c r="J207" s="16" t="s">
        <v>1021</v>
      </c>
      <c r="K207" s="16" t="s">
        <v>1022</v>
      </c>
      <c r="L207" s="22" t="s">
        <v>1023</v>
      </c>
      <c r="M207" s="16" t="s">
        <v>41</v>
      </c>
      <c r="N207" s="16" t="s">
        <v>1024</v>
      </c>
      <c r="O207" s="16"/>
      <c r="P207" s="16" t="s">
        <v>43</v>
      </c>
      <c r="Q207" s="24" t="s">
        <v>17</v>
      </c>
      <c r="R207" s="25" t="s">
        <v>44</v>
      </c>
      <c r="S207" s="16" t="s">
        <v>45</v>
      </c>
      <c r="T207" s="26" t="s">
        <v>1025</v>
      </c>
      <c r="U207" s="26" t="s">
        <v>1026</v>
      </c>
      <c r="V207" s="18" t="s">
        <v>47</v>
      </c>
      <c r="W207" s="28" t="s">
        <v>1027</v>
      </c>
      <c r="X207" s="28"/>
      <c r="Y207" s="29">
        <v>1</v>
      </c>
      <c r="Z207" s="18" t="s">
        <v>49</v>
      </c>
      <c r="AA207" s="18" t="s">
        <v>1028</v>
      </c>
      <c r="AB207" s="18">
        <v>2018</v>
      </c>
      <c r="AC207" s="16" t="s">
        <v>51</v>
      </c>
      <c r="AD207" s="30"/>
      <c r="AE207" s="49"/>
      <c r="AF207" s="49" t="s">
        <v>1029</v>
      </c>
      <c r="AG207" s="49" t="s">
        <v>1030</v>
      </c>
    </row>
    <row r="208" spans="1:33" x14ac:dyDescent="0.4">
      <c r="A208" s="6" t="s">
        <v>1012</v>
      </c>
      <c r="B208" s="16">
        <v>2</v>
      </c>
      <c r="C208" s="17">
        <v>206</v>
      </c>
      <c r="D208" s="18" t="s">
        <v>1031</v>
      </c>
      <c r="E208" s="49">
        <v>830604</v>
      </c>
      <c r="F208" s="49"/>
      <c r="G208" s="24" t="s">
        <v>36</v>
      </c>
      <c r="H208" s="21" t="s">
        <v>1012</v>
      </c>
      <c r="I208" s="21" t="s">
        <v>1032</v>
      </c>
      <c r="J208" s="16" t="s">
        <v>1033</v>
      </c>
      <c r="K208" s="16" t="s">
        <v>1034</v>
      </c>
      <c r="L208" s="22" t="s">
        <v>1035</v>
      </c>
      <c r="M208" s="16" t="s">
        <v>41</v>
      </c>
      <c r="N208" s="16" t="s">
        <v>1024</v>
      </c>
      <c r="O208" s="16"/>
      <c r="P208" s="16" t="s">
        <v>43</v>
      </c>
      <c r="Q208" s="24" t="s">
        <v>17</v>
      </c>
      <c r="R208" s="25" t="s">
        <v>44</v>
      </c>
      <c r="S208" s="16" t="s">
        <v>45</v>
      </c>
      <c r="T208" s="26" t="s">
        <v>1036</v>
      </c>
      <c r="U208" s="26" t="s">
        <v>1037</v>
      </c>
      <c r="V208" s="31"/>
      <c r="W208" s="28" t="s">
        <v>1027</v>
      </c>
      <c r="X208" s="28"/>
      <c r="Y208" s="29">
        <v>1</v>
      </c>
      <c r="Z208" s="18" t="s">
        <v>49</v>
      </c>
      <c r="AA208" s="18" t="s">
        <v>1028</v>
      </c>
      <c r="AB208" s="18">
        <v>2018</v>
      </c>
      <c r="AC208" s="16" t="s">
        <v>51</v>
      </c>
      <c r="AD208" s="30"/>
      <c r="AE208" s="49"/>
      <c r="AF208" s="49" t="s">
        <v>1029</v>
      </c>
      <c r="AG208" s="49" t="s">
        <v>1030</v>
      </c>
    </row>
    <row r="209" spans="1:33" x14ac:dyDescent="0.4">
      <c r="A209" s="6" t="s">
        <v>1012</v>
      </c>
      <c r="B209" s="16">
        <v>3</v>
      </c>
      <c r="C209" s="18">
        <v>207</v>
      </c>
      <c r="D209" s="41" t="s">
        <v>1038</v>
      </c>
      <c r="E209" s="49">
        <v>809096</v>
      </c>
      <c r="F209" s="49"/>
      <c r="G209" s="24" t="s">
        <v>36</v>
      </c>
      <c r="H209" s="21" t="s">
        <v>1012</v>
      </c>
      <c r="I209" s="86" t="s">
        <v>1039</v>
      </c>
      <c r="J209" s="16" t="s">
        <v>1040</v>
      </c>
      <c r="K209" s="16" t="s">
        <v>1041</v>
      </c>
      <c r="L209" s="22" t="s">
        <v>1042</v>
      </c>
      <c r="M209" s="16" t="s">
        <v>41</v>
      </c>
      <c r="N209" s="16" t="s">
        <v>1024</v>
      </c>
      <c r="O209" s="16"/>
      <c r="P209" s="16" t="s">
        <v>43</v>
      </c>
      <c r="Q209" s="24" t="s">
        <v>17</v>
      </c>
      <c r="R209" s="25" t="s">
        <v>44</v>
      </c>
      <c r="S209" s="16" t="s">
        <v>45</v>
      </c>
      <c r="T209" s="26" t="s">
        <v>1043</v>
      </c>
      <c r="U209" s="26" t="s">
        <v>1044</v>
      </c>
      <c r="V209" s="18" t="s">
        <v>47</v>
      </c>
      <c r="W209" s="28" t="s">
        <v>1027</v>
      </c>
      <c r="X209" s="28"/>
      <c r="Y209" s="29">
        <v>1</v>
      </c>
      <c r="Z209" s="18" t="s">
        <v>49</v>
      </c>
      <c r="AA209" s="18" t="s">
        <v>1028</v>
      </c>
      <c r="AB209" s="18">
        <v>2018</v>
      </c>
      <c r="AC209" s="16" t="s">
        <v>51</v>
      </c>
      <c r="AD209" s="30"/>
      <c r="AE209" s="49"/>
      <c r="AF209" s="49" t="s">
        <v>1029</v>
      </c>
      <c r="AG209" s="49" t="s">
        <v>1030</v>
      </c>
    </row>
    <row r="210" spans="1:33" x14ac:dyDescent="0.4">
      <c r="A210" s="6" t="s">
        <v>1012</v>
      </c>
      <c r="B210" s="16">
        <v>4</v>
      </c>
      <c r="C210" s="17">
        <v>208</v>
      </c>
      <c r="D210" s="18" t="s">
        <v>1045</v>
      </c>
      <c r="E210" s="49">
        <v>19665</v>
      </c>
      <c r="F210" s="49"/>
      <c r="G210" s="24" t="s">
        <v>36</v>
      </c>
      <c r="H210" s="21" t="s">
        <v>1012</v>
      </c>
      <c r="I210" s="21" t="s">
        <v>1046</v>
      </c>
      <c r="J210" s="16" t="s">
        <v>1047</v>
      </c>
      <c r="K210" s="16" t="s">
        <v>1048</v>
      </c>
      <c r="L210" s="22" t="s">
        <v>1049</v>
      </c>
      <c r="M210" s="16" t="s">
        <v>41</v>
      </c>
      <c r="N210" s="16" t="s">
        <v>1024</v>
      </c>
      <c r="O210" s="16"/>
      <c r="P210" s="16" t="s">
        <v>43</v>
      </c>
      <c r="Q210" s="24" t="s">
        <v>17</v>
      </c>
      <c r="R210" s="25" t="s">
        <v>44</v>
      </c>
      <c r="S210" s="16" t="s">
        <v>45</v>
      </c>
      <c r="T210" s="26" t="s">
        <v>1050</v>
      </c>
      <c r="U210" s="26" t="s">
        <v>1051</v>
      </c>
      <c r="V210" s="31"/>
      <c r="W210" s="28" t="s">
        <v>1027</v>
      </c>
      <c r="X210" s="28"/>
      <c r="Y210" s="29">
        <v>1</v>
      </c>
      <c r="Z210" s="18" t="s">
        <v>49</v>
      </c>
      <c r="AA210" s="18" t="s">
        <v>1028</v>
      </c>
      <c r="AB210" s="18">
        <v>2018</v>
      </c>
      <c r="AC210" s="16" t="s">
        <v>51</v>
      </c>
      <c r="AD210" s="30"/>
      <c r="AE210" s="49"/>
      <c r="AF210" s="49" t="s">
        <v>1029</v>
      </c>
      <c r="AG210" s="49" t="s">
        <v>1030</v>
      </c>
    </row>
    <row r="211" spans="1:33" x14ac:dyDescent="0.4">
      <c r="A211" s="6" t="s">
        <v>1012</v>
      </c>
      <c r="B211" s="16">
        <v>5</v>
      </c>
      <c r="C211" s="17">
        <v>209</v>
      </c>
      <c r="D211" s="18" t="s">
        <v>1052</v>
      </c>
      <c r="E211" s="49">
        <v>830615</v>
      </c>
      <c r="F211" s="49"/>
      <c r="G211" s="24" t="s">
        <v>36</v>
      </c>
      <c r="H211" s="21" t="s">
        <v>1012</v>
      </c>
      <c r="I211" s="21" t="s">
        <v>1053</v>
      </c>
      <c r="J211" s="16" t="s">
        <v>1054</v>
      </c>
      <c r="K211" s="16" t="s">
        <v>1055</v>
      </c>
      <c r="L211" s="22" t="s">
        <v>1056</v>
      </c>
      <c r="M211" s="16" t="s">
        <v>41</v>
      </c>
      <c r="N211" s="16" t="s">
        <v>1024</v>
      </c>
      <c r="O211" s="16"/>
      <c r="P211" s="16" t="s">
        <v>43</v>
      </c>
      <c r="Q211" s="24" t="s">
        <v>17</v>
      </c>
      <c r="R211" s="25" t="s">
        <v>44</v>
      </c>
      <c r="S211" s="16" t="s">
        <v>45</v>
      </c>
      <c r="T211" s="26" t="s">
        <v>1057</v>
      </c>
      <c r="U211" s="26" t="s">
        <v>1058</v>
      </c>
      <c r="V211" s="31"/>
      <c r="W211" s="28" t="s">
        <v>1027</v>
      </c>
      <c r="X211" s="16">
        <v>1</v>
      </c>
      <c r="Y211" s="29">
        <v>1</v>
      </c>
      <c r="Z211" s="18" t="s">
        <v>49</v>
      </c>
      <c r="AA211" s="18" t="s">
        <v>1028</v>
      </c>
      <c r="AB211" s="18">
        <v>2018</v>
      </c>
      <c r="AC211" s="16" t="s">
        <v>51</v>
      </c>
      <c r="AD211" s="30"/>
      <c r="AE211" s="49"/>
      <c r="AF211" s="49" t="s">
        <v>52</v>
      </c>
      <c r="AG211" s="49" t="s">
        <v>1030</v>
      </c>
    </row>
    <row r="212" spans="1:33" x14ac:dyDescent="0.4">
      <c r="A212" s="6" t="s">
        <v>1012</v>
      </c>
      <c r="B212" s="16">
        <v>6</v>
      </c>
      <c r="C212" s="17">
        <v>210</v>
      </c>
      <c r="D212" s="18" t="s">
        <v>1059</v>
      </c>
      <c r="E212" s="49">
        <v>19052</v>
      </c>
      <c r="F212" s="49"/>
      <c r="G212" s="24" t="s">
        <v>36</v>
      </c>
      <c r="H212" s="21" t="s">
        <v>1012</v>
      </c>
      <c r="I212" s="21" t="s">
        <v>1060</v>
      </c>
      <c r="J212" s="16" t="s">
        <v>1061</v>
      </c>
      <c r="K212" s="16" t="s">
        <v>1062</v>
      </c>
      <c r="L212" s="22" t="s">
        <v>1063</v>
      </c>
      <c r="M212" s="16" t="s">
        <v>41</v>
      </c>
      <c r="N212" s="16" t="s">
        <v>1024</v>
      </c>
      <c r="O212" s="16"/>
      <c r="P212" s="16" t="s">
        <v>43</v>
      </c>
      <c r="Q212" s="24" t="s">
        <v>17</v>
      </c>
      <c r="R212" s="25" t="s">
        <v>44</v>
      </c>
      <c r="S212" s="16" t="s">
        <v>45</v>
      </c>
      <c r="T212" s="26" t="s">
        <v>1064</v>
      </c>
      <c r="U212" s="26" t="s">
        <v>1065</v>
      </c>
      <c r="V212" s="31"/>
      <c r="W212" s="28" t="s">
        <v>1027</v>
      </c>
      <c r="X212" s="28"/>
      <c r="Y212" s="29">
        <v>1</v>
      </c>
      <c r="Z212" s="18" t="s">
        <v>49</v>
      </c>
      <c r="AA212" s="18" t="s">
        <v>1028</v>
      </c>
      <c r="AB212" s="18">
        <v>2018</v>
      </c>
      <c r="AC212" s="16" t="s">
        <v>51</v>
      </c>
      <c r="AD212" s="30"/>
      <c r="AE212" s="49"/>
      <c r="AF212" s="49" t="s">
        <v>1029</v>
      </c>
      <c r="AG212" s="49" t="s">
        <v>1030</v>
      </c>
    </row>
    <row r="213" spans="1:33" x14ac:dyDescent="0.4">
      <c r="A213" s="6" t="s">
        <v>1012</v>
      </c>
      <c r="B213" s="16">
        <v>7</v>
      </c>
      <c r="C213" s="17">
        <v>211</v>
      </c>
      <c r="D213" s="18" t="s">
        <v>1066</v>
      </c>
      <c r="E213" s="49">
        <v>19169</v>
      </c>
      <c r="F213" s="49"/>
      <c r="G213" s="24" t="s">
        <v>36</v>
      </c>
      <c r="H213" s="21" t="s">
        <v>1012</v>
      </c>
      <c r="I213" s="21" t="s">
        <v>1067</v>
      </c>
      <c r="J213" s="16" t="s">
        <v>1068</v>
      </c>
      <c r="K213" s="16" t="s">
        <v>1069</v>
      </c>
      <c r="L213" s="22" t="s">
        <v>1070</v>
      </c>
      <c r="M213" s="16" t="s">
        <v>41</v>
      </c>
      <c r="N213" s="16" t="s">
        <v>1024</v>
      </c>
      <c r="O213" s="16"/>
      <c r="P213" s="16" t="s">
        <v>43</v>
      </c>
      <c r="Q213" s="24" t="s">
        <v>17</v>
      </c>
      <c r="R213" s="25" t="s">
        <v>44</v>
      </c>
      <c r="S213" s="16" t="s">
        <v>45</v>
      </c>
      <c r="T213" s="26" t="s">
        <v>1071</v>
      </c>
      <c r="U213" s="26" t="s">
        <v>1072</v>
      </c>
      <c r="V213" s="18" t="s">
        <v>47</v>
      </c>
      <c r="W213" s="28" t="s">
        <v>1027</v>
      </c>
      <c r="X213" s="28"/>
      <c r="Y213" s="29">
        <v>1</v>
      </c>
      <c r="Z213" s="18" t="s">
        <v>49</v>
      </c>
      <c r="AA213" s="18" t="s">
        <v>1028</v>
      </c>
      <c r="AB213" s="18">
        <v>2018</v>
      </c>
      <c r="AC213" s="16" t="s">
        <v>51</v>
      </c>
      <c r="AD213" s="30"/>
      <c r="AE213" s="49"/>
      <c r="AF213" s="49" t="s">
        <v>1029</v>
      </c>
      <c r="AG213" s="49" t="s">
        <v>1030</v>
      </c>
    </row>
    <row r="214" spans="1:33" x14ac:dyDescent="0.4">
      <c r="A214" s="6" t="s">
        <v>1012</v>
      </c>
      <c r="B214" s="16">
        <v>8</v>
      </c>
      <c r="C214" s="17">
        <v>212</v>
      </c>
      <c r="D214" s="18" t="s">
        <v>1073</v>
      </c>
      <c r="E214" s="16">
        <v>830614</v>
      </c>
      <c r="F214" s="16"/>
      <c r="G214" s="24" t="s">
        <v>36</v>
      </c>
      <c r="H214" s="21" t="s">
        <v>1012</v>
      </c>
      <c r="I214" s="21" t="s">
        <v>1074</v>
      </c>
      <c r="J214" s="16" t="s">
        <v>1075</v>
      </c>
      <c r="K214" s="16" t="s">
        <v>1076</v>
      </c>
      <c r="L214" s="22" t="s">
        <v>1077</v>
      </c>
      <c r="M214" s="16" t="s">
        <v>41</v>
      </c>
      <c r="N214" s="16" t="s">
        <v>1024</v>
      </c>
      <c r="O214" s="16"/>
      <c r="P214" s="16" t="s">
        <v>43</v>
      </c>
      <c r="Q214" s="24" t="s">
        <v>17</v>
      </c>
      <c r="R214" s="25" t="s">
        <v>44</v>
      </c>
      <c r="S214" s="16" t="s">
        <v>45</v>
      </c>
      <c r="T214" s="26" t="s">
        <v>178</v>
      </c>
      <c r="U214" s="26" t="s">
        <v>1078</v>
      </c>
      <c r="V214" s="31"/>
      <c r="W214" s="28" t="s">
        <v>1027</v>
      </c>
      <c r="X214" s="16">
        <v>1</v>
      </c>
      <c r="Y214" s="29">
        <v>1</v>
      </c>
      <c r="Z214" s="18" t="s">
        <v>49</v>
      </c>
      <c r="AA214" s="18" t="s">
        <v>1028</v>
      </c>
      <c r="AB214" s="18">
        <v>2018</v>
      </c>
      <c r="AC214" s="16" t="s">
        <v>51</v>
      </c>
      <c r="AD214" s="30"/>
      <c r="AE214" s="16"/>
      <c r="AF214" s="49" t="s">
        <v>1029</v>
      </c>
      <c r="AG214" s="49" t="s">
        <v>1030</v>
      </c>
    </row>
    <row r="215" spans="1:33" x14ac:dyDescent="0.4">
      <c r="A215" s="6" t="s">
        <v>1012</v>
      </c>
      <c r="B215" s="16">
        <v>9</v>
      </c>
      <c r="C215" s="18">
        <v>213</v>
      </c>
      <c r="D215" s="17" t="s">
        <v>1079</v>
      </c>
      <c r="E215" s="49">
        <v>830612</v>
      </c>
      <c r="F215" s="49"/>
      <c r="G215" s="24" t="s">
        <v>36</v>
      </c>
      <c r="H215" s="21" t="s">
        <v>1012</v>
      </c>
      <c r="I215" s="21" t="s">
        <v>1080</v>
      </c>
      <c r="J215" s="16" t="s">
        <v>1081</v>
      </c>
      <c r="K215" s="16" t="s">
        <v>1082</v>
      </c>
      <c r="L215" s="22" t="s">
        <v>1083</v>
      </c>
      <c r="M215" s="16" t="s">
        <v>41</v>
      </c>
      <c r="N215" s="16" t="s">
        <v>1024</v>
      </c>
      <c r="O215" s="16"/>
      <c r="P215" s="16" t="s">
        <v>43</v>
      </c>
      <c r="Q215" s="24" t="s">
        <v>17</v>
      </c>
      <c r="R215" s="25" t="s">
        <v>44</v>
      </c>
      <c r="S215" s="16" t="s">
        <v>45</v>
      </c>
      <c r="T215" s="87" t="s">
        <v>1084</v>
      </c>
      <c r="U215" s="87" t="s">
        <v>1085</v>
      </c>
      <c r="V215" s="18" t="s">
        <v>1086</v>
      </c>
      <c r="W215" s="28" t="s">
        <v>1027</v>
      </c>
      <c r="X215" s="28"/>
      <c r="Y215" s="29">
        <v>1</v>
      </c>
      <c r="Z215" s="18" t="s">
        <v>49</v>
      </c>
      <c r="AA215" s="18" t="s">
        <v>1028</v>
      </c>
      <c r="AB215" s="18">
        <v>2018</v>
      </c>
      <c r="AC215" s="16" t="s">
        <v>51</v>
      </c>
      <c r="AD215" s="30"/>
      <c r="AE215" s="49"/>
      <c r="AF215" s="49" t="s">
        <v>1029</v>
      </c>
      <c r="AG215" s="49" t="s">
        <v>1030</v>
      </c>
    </row>
    <row r="216" spans="1:33" x14ac:dyDescent="0.4">
      <c r="A216" s="6" t="s">
        <v>1087</v>
      </c>
      <c r="B216" s="16">
        <v>10</v>
      </c>
      <c r="C216" s="17">
        <v>214</v>
      </c>
      <c r="D216" s="18" t="s">
        <v>1088</v>
      </c>
      <c r="E216" s="49">
        <v>830698</v>
      </c>
      <c r="F216" s="49"/>
      <c r="G216" s="24" t="s">
        <v>36</v>
      </c>
      <c r="H216" s="21" t="s">
        <v>1012</v>
      </c>
      <c r="I216" s="21" t="s">
        <v>1089</v>
      </c>
      <c r="J216" s="16" t="s">
        <v>1090</v>
      </c>
      <c r="K216" s="16" t="s">
        <v>1091</v>
      </c>
      <c r="L216" s="22" t="s">
        <v>1092</v>
      </c>
      <c r="M216" s="16" t="s">
        <v>41</v>
      </c>
      <c r="N216" s="16" t="s">
        <v>1024</v>
      </c>
      <c r="O216" s="16"/>
      <c r="P216" s="16" t="s">
        <v>43</v>
      </c>
      <c r="Q216" s="24" t="s">
        <v>17</v>
      </c>
      <c r="R216" s="25" t="s">
        <v>44</v>
      </c>
      <c r="S216" s="16" t="s">
        <v>45</v>
      </c>
      <c r="T216" s="85" t="s">
        <v>1093</v>
      </c>
      <c r="U216" s="85" t="s">
        <v>1094</v>
      </c>
      <c r="V216" s="31"/>
      <c r="W216" s="28" t="s">
        <v>1027</v>
      </c>
      <c r="X216" s="16">
        <v>1</v>
      </c>
      <c r="Y216" s="29">
        <v>1</v>
      </c>
      <c r="Z216" s="18" t="s">
        <v>49</v>
      </c>
      <c r="AA216" s="18" t="s">
        <v>1028</v>
      </c>
      <c r="AB216" s="18">
        <v>2018</v>
      </c>
      <c r="AC216" s="29" t="s">
        <v>51</v>
      </c>
      <c r="AD216" s="88"/>
      <c r="AE216" s="49"/>
      <c r="AF216" s="49" t="s">
        <v>1029</v>
      </c>
      <c r="AG216" s="49" t="s">
        <v>1030</v>
      </c>
    </row>
    <row r="217" spans="1:33" x14ac:dyDescent="0.4">
      <c r="A217" s="6" t="s">
        <v>1087</v>
      </c>
      <c r="B217" s="16">
        <v>11</v>
      </c>
      <c r="C217" s="18">
        <v>215</v>
      </c>
      <c r="D217" s="18"/>
      <c r="E217" s="16">
        <v>746044</v>
      </c>
      <c r="F217" s="16"/>
      <c r="G217" s="24" t="s">
        <v>36</v>
      </c>
      <c r="H217" s="21" t="s">
        <v>1012</v>
      </c>
      <c r="I217" s="21" t="s">
        <v>1095</v>
      </c>
      <c r="J217" s="16" t="s">
        <v>1096</v>
      </c>
      <c r="K217" s="16" t="s">
        <v>1097</v>
      </c>
      <c r="L217" s="22" t="s">
        <v>1098</v>
      </c>
      <c r="M217" s="16" t="s">
        <v>41</v>
      </c>
      <c r="N217" s="16" t="s">
        <v>1099</v>
      </c>
      <c r="O217" s="16"/>
      <c r="P217" s="16" t="s">
        <v>43</v>
      </c>
      <c r="Q217" s="24" t="s">
        <v>116</v>
      </c>
      <c r="R217" s="25" t="s">
        <v>44</v>
      </c>
      <c r="S217" s="16" t="s">
        <v>68</v>
      </c>
      <c r="T217" s="85" t="s">
        <v>1100</v>
      </c>
      <c r="U217" s="85" t="s">
        <v>1101</v>
      </c>
      <c r="V217" s="18" t="s">
        <v>47</v>
      </c>
      <c r="W217" s="28" t="s">
        <v>1027</v>
      </c>
      <c r="X217" s="28"/>
      <c r="Y217" s="29">
        <v>1</v>
      </c>
      <c r="Z217" s="18" t="s">
        <v>49</v>
      </c>
      <c r="AA217" s="18" t="s">
        <v>1028</v>
      </c>
      <c r="AB217" s="18">
        <v>2018</v>
      </c>
      <c r="AC217" s="29" t="s">
        <v>51</v>
      </c>
      <c r="AD217" s="88"/>
      <c r="AE217" s="16"/>
      <c r="AF217" s="16" t="s">
        <v>52</v>
      </c>
      <c r="AG217" s="16" t="s">
        <v>53</v>
      </c>
    </row>
    <row r="218" spans="1:33" x14ac:dyDescent="0.4">
      <c r="A218" s="6" t="s">
        <v>1087</v>
      </c>
      <c r="B218" s="16">
        <v>12</v>
      </c>
      <c r="C218" s="18">
        <v>216</v>
      </c>
      <c r="D218" s="18"/>
      <c r="E218" s="17">
        <v>830602</v>
      </c>
      <c r="F218" s="17"/>
      <c r="G218" s="24" t="s">
        <v>36</v>
      </c>
      <c r="H218" s="21" t="s">
        <v>1012</v>
      </c>
      <c r="I218" s="21" t="s">
        <v>1102</v>
      </c>
      <c r="J218" s="16" t="s">
        <v>1103</v>
      </c>
      <c r="K218" s="16" t="s">
        <v>1104</v>
      </c>
      <c r="L218" s="22" t="s">
        <v>1105</v>
      </c>
      <c r="M218" s="16" t="s">
        <v>41</v>
      </c>
      <c r="N218" s="16" t="s">
        <v>1106</v>
      </c>
      <c r="O218" s="16"/>
      <c r="P218" s="16" t="s">
        <v>43</v>
      </c>
      <c r="Q218" s="24" t="s">
        <v>116</v>
      </c>
      <c r="R218" s="25" t="s">
        <v>44</v>
      </c>
      <c r="S218" s="16" t="s">
        <v>45</v>
      </c>
      <c r="T218" s="85" t="s">
        <v>1107</v>
      </c>
      <c r="U218" s="85" t="s">
        <v>1108</v>
      </c>
      <c r="V218" s="18" t="s">
        <v>47</v>
      </c>
      <c r="W218" s="28" t="s">
        <v>1027</v>
      </c>
      <c r="X218" s="16">
        <v>1</v>
      </c>
      <c r="Y218" s="29">
        <v>1</v>
      </c>
      <c r="Z218" s="18" t="s">
        <v>49</v>
      </c>
      <c r="AA218" s="18" t="s">
        <v>1028</v>
      </c>
      <c r="AB218" s="18">
        <v>2018</v>
      </c>
      <c r="AC218" s="16" t="s">
        <v>51</v>
      </c>
      <c r="AD218" s="30"/>
      <c r="AE218" s="17"/>
      <c r="AF218" s="16" t="s">
        <v>52</v>
      </c>
      <c r="AG218" s="16" t="s">
        <v>53</v>
      </c>
    </row>
    <row r="219" spans="1:33" x14ac:dyDescent="0.4">
      <c r="A219" s="6" t="s">
        <v>1087</v>
      </c>
      <c r="B219" s="35">
        <v>13</v>
      </c>
      <c r="C219" s="18">
        <v>217</v>
      </c>
      <c r="D219" s="18"/>
      <c r="E219" s="46">
        <v>17359</v>
      </c>
      <c r="F219" s="46"/>
      <c r="G219" s="55" t="s">
        <v>36</v>
      </c>
      <c r="H219" s="52" t="s">
        <v>1012</v>
      </c>
      <c r="I219" s="53" t="s">
        <v>1109</v>
      </c>
      <c r="J219" s="54" t="s">
        <v>1110</v>
      </c>
      <c r="K219" s="51" t="s">
        <v>1111</v>
      </c>
      <c r="L219" s="22" t="s">
        <v>1112</v>
      </c>
      <c r="M219" s="16" t="s">
        <v>41</v>
      </c>
      <c r="N219" s="16" t="s">
        <v>1099</v>
      </c>
      <c r="O219" s="16"/>
      <c r="P219" s="16" t="s">
        <v>43</v>
      </c>
      <c r="Q219" s="24" t="s">
        <v>116</v>
      </c>
      <c r="R219" s="25" t="s">
        <v>44</v>
      </c>
      <c r="S219" s="89" t="s">
        <v>68</v>
      </c>
      <c r="T219" s="85" t="s">
        <v>1113</v>
      </c>
      <c r="U219" s="85" t="s">
        <v>1114</v>
      </c>
      <c r="V219" s="31"/>
      <c r="W219" s="28" t="s">
        <v>1027</v>
      </c>
      <c r="X219" s="16">
        <v>1</v>
      </c>
      <c r="Y219" s="29">
        <v>1</v>
      </c>
      <c r="Z219" s="18" t="s">
        <v>49</v>
      </c>
      <c r="AA219" s="18" t="s">
        <v>1028</v>
      </c>
      <c r="AB219" s="18">
        <v>2018</v>
      </c>
      <c r="AC219" s="16" t="s">
        <v>51</v>
      </c>
      <c r="AD219" s="30"/>
      <c r="AE219" s="44"/>
      <c r="AF219" s="35" t="s">
        <v>53</v>
      </c>
      <c r="AG219" s="34" t="s">
        <v>87</v>
      </c>
    </row>
    <row r="220" spans="1:33" x14ac:dyDescent="0.4">
      <c r="A220" s="6" t="s">
        <v>1087</v>
      </c>
      <c r="B220" s="37"/>
      <c r="C220" s="18">
        <v>218</v>
      </c>
      <c r="D220" s="18"/>
      <c r="E220" s="46">
        <v>17359</v>
      </c>
      <c r="F220" s="59"/>
      <c r="G220" s="55" t="s">
        <v>36</v>
      </c>
      <c r="H220" s="52" t="s">
        <v>1012</v>
      </c>
      <c r="I220" s="53" t="s">
        <v>1109</v>
      </c>
      <c r="J220" s="54" t="s">
        <v>1110</v>
      </c>
      <c r="K220" s="51" t="s">
        <v>1111</v>
      </c>
      <c r="L220" s="22" t="s">
        <v>1115</v>
      </c>
      <c r="M220" s="16" t="s">
        <v>41</v>
      </c>
      <c r="N220" s="16" t="s">
        <v>1099</v>
      </c>
      <c r="O220" s="16"/>
      <c r="P220" s="16" t="s">
        <v>43</v>
      </c>
      <c r="Q220" s="24" t="s">
        <v>116</v>
      </c>
      <c r="R220" s="25" t="s">
        <v>44</v>
      </c>
      <c r="S220" s="89" t="s">
        <v>68</v>
      </c>
      <c r="T220" s="85" t="s">
        <v>1113</v>
      </c>
      <c r="U220" s="85" t="s">
        <v>1114</v>
      </c>
      <c r="V220" s="31"/>
      <c r="W220" s="28" t="s">
        <v>1027</v>
      </c>
      <c r="X220" s="16">
        <v>1</v>
      </c>
      <c r="Y220" s="29">
        <v>1</v>
      </c>
      <c r="Z220" s="18" t="s">
        <v>49</v>
      </c>
      <c r="AA220" s="18" t="s">
        <v>1028</v>
      </c>
      <c r="AB220" s="18">
        <v>2018</v>
      </c>
      <c r="AC220" s="16" t="s">
        <v>51</v>
      </c>
      <c r="AD220" s="30"/>
      <c r="AE220" s="44"/>
      <c r="AF220" s="37"/>
      <c r="AG220" s="34"/>
    </row>
    <row r="221" spans="1:33" x14ac:dyDescent="0.4">
      <c r="A221" s="6" t="s">
        <v>1087</v>
      </c>
      <c r="B221" s="35">
        <v>14</v>
      </c>
      <c r="C221" s="18">
        <v>219</v>
      </c>
      <c r="D221" s="18"/>
      <c r="E221" s="46">
        <v>831703</v>
      </c>
      <c r="F221" s="46"/>
      <c r="G221" s="24" t="s">
        <v>36</v>
      </c>
      <c r="H221" s="20" t="s">
        <v>1012</v>
      </c>
      <c r="I221" s="24" t="s">
        <v>1116</v>
      </c>
      <c r="J221" s="16" t="s">
        <v>1117</v>
      </c>
      <c r="K221" s="32" t="s">
        <v>1118</v>
      </c>
      <c r="L221" s="22" t="s">
        <v>1119</v>
      </c>
      <c r="M221" s="16" t="s">
        <v>41</v>
      </c>
      <c r="N221" s="16" t="s">
        <v>1099</v>
      </c>
      <c r="O221" s="16"/>
      <c r="P221" s="16" t="s">
        <v>43</v>
      </c>
      <c r="Q221" s="24" t="s">
        <v>116</v>
      </c>
      <c r="R221" s="25" t="s">
        <v>44</v>
      </c>
      <c r="S221" s="89" t="s">
        <v>68</v>
      </c>
      <c r="T221" s="85" t="s">
        <v>1120</v>
      </c>
      <c r="U221" s="85" t="s">
        <v>1121</v>
      </c>
      <c r="V221" s="31"/>
      <c r="W221" s="28" t="s">
        <v>1027</v>
      </c>
      <c r="X221" s="28"/>
      <c r="Y221" s="29">
        <v>1</v>
      </c>
      <c r="Z221" s="18" t="s">
        <v>49</v>
      </c>
      <c r="AA221" s="18" t="s">
        <v>1028</v>
      </c>
      <c r="AB221" s="18">
        <v>2018</v>
      </c>
      <c r="AC221" s="16" t="s">
        <v>51</v>
      </c>
      <c r="AD221" s="30"/>
      <c r="AE221" s="47"/>
      <c r="AF221" s="35" t="s">
        <v>53</v>
      </c>
      <c r="AG221" s="34" t="s">
        <v>87</v>
      </c>
    </row>
    <row r="222" spans="1:33" x14ac:dyDescent="0.4">
      <c r="A222" s="6" t="s">
        <v>1087</v>
      </c>
      <c r="B222" s="37"/>
      <c r="C222" s="18">
        <v>220</v>
      </c>
      <c r="D222" s="18"/>
      <c r="E222" s="46">
        <v>831703</v>
      </c>
      <c r="F222" s="59"/>
      <c r="G222" s="28" t="s">
        <v>36</v>
      </c>
      <c r="H222" s="20" t="s">
        <v>1012</v>
      </c>
      <c r="I222" s="24" t="s">
        <v>1116</v>
      </c>
      <c r="J222" s="16" t="s">
        <v>1117</v>
      </c>
      <c r="K222" s="32" t="s">
        <v>1118</v>
      </c>
      <c r="L222" s="22" t="s">
        <v>1122</v>
      </c>
      <c r="M222" s="16" t="s">
        <v>41</v>
      </c>
      <c r="N222" s="16" t="s">
        <v>1099</v>
      </c>
      <c r="O222" s="16"/>
      <c r="P222" s="16" t="s">
        <v>43</v>
      </c>
      <c r="Q222" s="24" t="s">
        <v>116</v>
      </c>
      <c r="R222" s="25" t="s">
        <v>44</v>
      </c>
      <c r="S222" s="89" t="s">
        <v>68</v>
      </c>
      <c r="T222" s="85" t="s">
        <v>1120</v>
      </c>
      <c r="U222" s="85" t="s">
        <v>1121</v>
      </c>
      <c r="V222" s="31"/>
      <c r="W222" s="28" t="s">
        <v>1027</v>
      </c>
      <c r="X222" s="28"/>
      <c r="Y222" s="29">
        <v>1</v>
      </c>
      <c r="Z222" s="18" t="s">
        <v>49</v>
      </c>
      <c r="AA222" s="18" t="s">
        <v>1028</v>
      </c>
      <c r="AB222" s="18">
        <v>2018</v>
      </c>
      <c r="AC222" s="16" t="s">
        <v>51</v>
      </c>
      <c r="AD222" s="30"/>
      <c r="AE222" s="47"/>
      <c r="AF222" s="37"/>
      <c r="AG222" s="34"/>
    </row>
    <row r="223" spans="1:33" ht="26" x14ac:dyDescent="0.4">
      <c r="A223" s="6" t="s">
        <v>1087</v>
      </c>
      <c r="B223" s="16">
        <v>15</v>
      </c>
      <c r="C223" s="18">
        <v>221</v>
      </c>
      <c r="D223" s="17"/>
      <c r="E223" s="49">
        <v>17349</v>
      </c>
      <c r="F223" s="49"/>
      <c r="G223" s="24" t="s">
        <v>36</v>
      </c>
      <c r="H223" s="21" t="s">
        <v>1012</v>
      </c>
      <c r="I223" s="21" t="s">
        <v>1123</v>
      </c>
      <c r="J223" s="16" t="s">
        <v>1124</v>
      </c>
      <c r="K223" s="16" t="s">
        <v>1125</v>
      </c>
      <c r="L223" s="22" t="s">
        <v>1126</v>
      </c>
      <c r="M223" s="16" t="s">
        <v>41</v>
      </c>
      <c r="N223" s="16" t="s">
        <v>1099</v>
      </c>
      <c r="O223" s="16"/>
      <c r="P223" s="16" t="s">
        <v>43</v>
      </c>
      <c r="Q223" s="24" t="s">
        <v>116</v>
      </c>
      <c r="R223" s="25" t="s">
        <v>44</v>
      </c>
      <c r="S223" s="16" t="s">
        <v>68</v>
      </c>
      <c r="T223" s="85" t="s">
        <v>1127</v>
      </c>
      <c r="U223" s="85" t="s">
        <v>1128</v>
      </c>
      <c r="V223" s="31"/>
      <c r="W223" s="28" t="s">
        <v>1027</v>
      </c>
      <c r="X223" s="16">
        <v>1</v>
      </c>
      <c r="Y223" s="29">
        <v>1</v>
      </c>
      <c r="Z223" s="18" t="s">
        <v>49</v>
      </c>
      <c r="AA223" s="18" t="s">
        <v>1028</v>
      </c>
      <c r="AB223" s="18">
        <v>2018</v>
      </c>
      <c r="AC223" s="49" t="s">
        <v>51</v>
      </c>
      <c r="AD223" s="90"/>
      <c r="AE223" s="49"/>
      <c r="AF223" s="16" t="s">
        <v>52</v>
      </c>
      <c r="AG223" s="16" t="s">
        <v>53</v>
      </c>
    </row>
    <row r="224" spans="1:33" x14ac:dyDescent="0.4">
      <c r="A224" s="6" t="s">
        <v>1087</v>
      </c>
      <c r="B224" s="16">
        <v>16</v>
      </c>
      <c r="C224" s="17">
        <v>222</v>
      </c>
      <c r="D224" s="18" t="s">
        <v>1129</v>
      </c>
      <c r="E224" s="49">
        <v>18887</v>
      </c>
      <c r="F224" s="49"/>
      <c r="G224" s="24" t="s">
        <v>36</v>
      </c>
      <c r="H224" s="21" t="s">
        <v>1012</v>
      </c>
      <c r="I224" s="21" t="s">
        <v>1130</v>
      </c>
      <c r="J224" s="16" t="s">
        <v>1131</v>
      </c>
      <c r="K224" s="16" t="s">
        <v>1132</v>
      </c>
      <c r="L224" s="22" t="s">
        <v>1133</v>
      </c>
      <c r="M224" s="16" t="s">
        <v>41</v>
      </c>
      <c r="N224" s="16" t="s">
        <v>1024</v>
      </c>
      <c r="O224" s="16"/>
      <c r="P224" s="16" t="s">
        <v>43</v>
      </c>
      <c r="Q224" s="24" t="s">
        <v>17</v>
      </c>
      <c r="R224" s="25" t="s">
        <v>44</v>
      </c>
      <c r="S224" s="16" t="s">
        <v>45</v>
      </c>
      <c r="T224" s="85" t="s">
        <v>1134</v>
      </c>
      <c r="U224" s="85" t="s">
        <v>1135</v>
      </c>
      <c r="V224" s="31"/>
      <c r="W224" s="28" t="s">
        <v>1027</v>
      </c>
      <c r="X224" s="16">
        <v>1</v>
      </c>
      <c r="Y224" s="29">
        <v>1</v>
      </c>
      <c r="Z224" s="18" t="s">
        <v>49</v>
      </c>
      <c r="AA224" s="18" t="s">
        <v>1028</v>
      </c>
      <c r="AB224" s="18">
        <v>2018</v>
      </c>
      <c r="AC224" s="29" t="s">
        <v>51</v>
      </c>
      <c r="AD224" s="88"/>
      <c r="AE224" s="49"/>
      <c r="AF224" s="16" t="s">
        <v>52</v>
      </c>
      <c r="AG224" s="16" t="s">
        <v>53</v>
      </c>
    </row>
    <row r="225" spans="1:33" x14ac:dyDescent="0.4">
      <c r="A225" s="6" t="s">
        <v>1087</v>
      </c>
      <c r="B225" s="16">
        <v>17</v>
      </c>
      <c r="C225" s="17">
        <v>223</v>
      </c>
      <c r="D225" s="18" t="s">
        <v>1136</v>
      </c>
      <c r="E225" s="49">
        <v>18859</v>
      </c>
      <c r="F225" s="49"/>
      <c r="G225" s="24" t="s">
        <v>36</v>
      </c>
      <c r="H225" s="21" t="s">
        <v>1012</v>
      </c>
      <c r="I225" s="21" t="s">
        <v>1137</v>
      </c>
      <c r="J225" s="16" t="s">
        <v>1138</v>
      </c>
      <c r="K225" s="16" t="s">
        <v>1139</v>
      </c>
      <c r="L225" s="22" t="s">
        <v>1140</v>
      </c>
      <c r="M225" s="16" t="s">
        <v>41</v>
      </c>
      <c r="N225" s="16" t="s">
        <v>1106</v>
      </c>
      <c r="O225" s="16"/>
      <c r="P225" s="16" t="s">
        <v>43</v>
      </c>
      <c r="Q225" s="24" t="s">
        <v>17</v>
      </c>
      <c r="R225" s="25" t="s">
        <v>44</v>
      </c>
      <c r="S225" s="16" t="s">
        <v>45</v>
      </c>
      <c r="T225" s="85" t="s">
        <v>1141</v>
      </c>
      <c r="U225" s="85" t="s">
        <v>1142</v>
      </c>
      <c r="V225" s="31"/>
      <c r="W225" s="28" t="s">
        <v>1027</v>
      </c>
      <c r="X225" s="16">
        <v>1</v>
      </c>
      <c r="Y225" s="29">
        <v>1</v>
      </c>
      <c r="Z225" s="18" t="s">
        <v>49</v>
      </c>
      <c r="AA225" s="18" t="s">
        <v>1028</v>
      </c>
      <c r="AB225" s="18">
        <v>2018</v>
      </c>
      <c r="AC225" s="29" t="s">
        <v>51</v>
      </c>
      <c r="AD225" s="88"/>
      <c r="AE225" s="49"/>
      <c r="AF225" s="16" t="s">
        <v>52</v>
      </c>
      <c r="AG225" s="16" t="s">
        <v>53</v>
      </c>
    </row>
    <row r="226" spans="1:33" x14ac:dyDescent="0.4">
      <c r="A226" s="15" t="s">
        <v>1143</v>
      </c>
      <c r="B226" s="16">
        <v>1</v>
      </c>
      <c r="C226" s="18">
        <v>224</v>
      </c>
      <c r="D226" s="41"/>
      <c r="E226" s="49">
        <v>2083725</v>
      </c>
      <c r="F226" s="49"/>
      <c r="G226" s="24" t="s">
        <v>36</v>
      </c>
      <c r="H226" s="21" t="s">
        <v>1144</v>
      </c>
      <c r="I226" s="21" t="s">
        <v>1145</v>
      </c>
      <c r="J226" s="16" t="s">
        <v>1146</v>
      </c>
      <c r="K226" s="16" t="s">
        <v>1147</v>
      </c>
      <c r="L226" s="16" t="s">
        <v>1148</v>
      </c>
      <c r="M226" s="16" t="s">
        <v>41</v>
      </c>
      <c r="N226" s="16" t="s">
        <v>1149</v>
      </c>
      <c r="O226" s="16"/>
      <c r="P226" s="16" t="s">
        <v>43</v>
      </c>
      <c r="Q226" s="24" t="s">
        <v>116</v>
      </c>
      <c r="R226" s="25" t="s">
        <v>44</v>
      </c>
      <c r="S226" s="16" t="s">
        <v>45</v>
      </c>
      <c r="T226" s="85" t="s">
        <v>1150</v>
      </c>
      <c r="U226" s="85" t="s">
        <v>1151</v>
      </c>
      <c r="V226" s="31"/>
      <c r="W226" s="28" t="s">
        <v>1027</v>
      </c>
      <c r="X226" s="16">
        <v>1</v>
      </c>
      <c r="Y226" s="29">
        <v>1</v>
      </c>
      <c r="Z226" s="18" t="s">
        <v>49</v>
      </c>
      <c r="AA226" s="18" t="s">
        <v>1152</v>
      </c>
      <c r="AB226" s="17">
        <v>2019</v>
      </c>
      <c r="AC226" s="16" t="s">
        <v>131</v>
      </c>
      <c r="AD226" s="30"/>
      <c r="AE226" s="49"/>
      <c r="AF226" s="49" t="s">
        <v>1029</v>
      </c>
      <c r="AG226" s="49" t="s">
        <v>1030</v>
      </c>
    </row>
    <row r="227" spans="1:33" x14ac:dyDescent="0.4">
      <c r="A227" s="15" t="s">
        <v>1143</v>
      </c>
      <c r="B227" s="16">
        <v>2</v>
      </c>
      <c r="C227" s="17">
        <v>225</v>
      </c>
      <c r="D227" s="18" t="s">
        <v>1153</v>
      </c>
      <c r="E227" s="49">
        <v>709185</v>
      </c>
      <c r="F227" s="49"/>
      <c r="G227" s="28" t="s">
        <v>999</v>
      </c>
      <c r="H227" s="21" t="s">
        <v>1154</v>
      </c>
      <c r="I227" s="21" t="s">
        <v>1155</v>
      </c>
      <c r="J227" s="16" t="s">
        <v>1156</v>
      </c>
      <c r="K227" s="16" t="s">
        <v>1157</v>
      </c>
      <c r="L227" s="22" t="s">
        <v>1158</v>
      </c>
      <c r="M227" s="16" t="s">
        <v>41</v>
      </c>
      <c r="N227" s="16" t="s">
        <v>1149</v>
      </c>
      <c r="O227" s="16"/>
      <c r="P227" s="16" t="s">
        <v>43</v>
      </c>
      <c r="Q227" s="24" t="s">
        <v>17</v>
      </c>
      <c r="R227" s="25" t="s">
        <v>44</v>
      </c>
      <c r="S227" s="16" t="s">
        <v>45</v>
      </c>
      <c r="T227" s="85" t="s">
        <v>1159</v>
      </c>
      <c r="U227" s="85" t="s">
        <v>1160</v>
      </c>
      <c r="V227" s="31"/>
      <c r="W227" s="28" t="s">
        <v>1027</v>
      </c>
      <c r="X227" s="16">
        <v>1</v>
      </c>
      <c r="Y227" s="29">
        <v>1</v>
      </c>
      <c r="Z227" s="18" t="s">
        <v>49</v>
      </c>
      <c r="AA227" s="18" t="s">
        <v>1152</v>
      </c>
      <c r="AB227" s="18">
        <v>2019</v>
      </c>
      <c r="AC227" s="16" t="s">
        <v>51</v>
      </c>
      <c r="AD227" s="30"/>
      <c r="AE227" s="49"/>
      <c r="AF227" s="49" t="s">
        <v>1029</v>
      </c>
      <c r="AG227" s="49" t="s">
        <v>1030</v>
      </c>
    </row>
    <row r="228" spans="1:33" x14ac:dyDescent="0.4">
      <c r="A228" s="15" t="s">
        <v>1143</v>
      </c>
      <c r="B228" s="16">
        <v>3</v>
      </c>
      <c r="C228" s="17">
        <v>226</v>
      </c>
      <c r="D228" s="18" t="s">
        <v>1161</v>
      </c>
      <c r="E228" s="49">
        <v>718340</v>
      </c>
      <c r="F228" s="49"/>
      <c r="G228" s="28" t="s">
        <v>999</v>
      </c>
      <c r="H228" s="21" t="s">
        <v>1162</v>
      </c>
      <c r="I228" s="21" t="s">
        <v>1163</v>
      </c>
      <c r="J228" s="16" t="s">
        <v>1164</v>
      </c>
      <c r="K228" s="16" t="s">
        <v>1165</v>
      </c>
      <c r="L228" s="22" t="s">
        <v>1166</v>
      </c>
      <c r="M228" s="16" t="s">
        <v>41</v>
      </c>
      <c r="N228" s="16" t="s">
        <v>1149</v>
      </c>
      <c r="O228" s="16"/>
      <c r="P228" s="16" t="s">
        <v>43</v>
      </c>
      <c r="Q228" s="24" t="s">
        <v>17</v>
      </c>
      <c r="R228" s="25" t="s">
        <v>44</v>
      </c>
      <c r="S228" s="16" t="s">
        <v>45</v>
      </c>
      <c r="T228" s="85" t="s">
        <v>1167</v>
      </c>
      <c r="U228" s="85" t="s">
        <v>1168</v>
      </c>
      <c r="V228" s="31"/>
      <c r="W228" s="28" t="s">
        <v>1027</v>
      </c>
      <c r="X228" s="16">
        <v>1</v>
      </c>
      <c r="Y228" s="29">
        <v>1</v>
      </c>
      <c r="Z228" s="18" t="s">
        <v>49</v>
      </c>
      <c r="AA228" s="18" t="s">
        <v>1152</v>
      </c>
      <c r="AB228" s="18">
        <v>2019</v>
      </c>
      <c r="AC228" s="16" t="s">
        <v>51</v>
      </c>
      <c r="AD228" s="30"/>
      <c r="AE228" s="49"/>
      <c r="AF228" s="49" t="s">
        <v>1029</v>
      </c>
      <c r="AG228" s="49" t="s">
        <v>1030</v>
      </c>
    </row>
    <row r="229" spans="1:33" x14ac:dyDescent="0.4">
      <c r="A229" s="15" t="s">
        <v>1143</v>
      </c>
      <c r="B229" s="16">
        <v>4</v>
      </c>
      <c r="C229" s="17">
        <v>227</v>
      </c>
      <c r="D229" s="18" t="s">
        <v>1169</v>
      </c>
      <c r="E229" s="49">
        <v>238323</v>
      </c>
      <c r="F229" s="49"/>
      <c r="G229" s="28" t="s">
        <v>1170</v>
      </c>
      <c r="H229" s="21" t="s">
        <v>1171</v>
      </c>
      <c r="I229" s="21" t="s">
        <v>1172</v>
      </c>
      <c r="J229" s="16" t="s">
        <v>1173</v>
      </c>
      <c r="K229" s="16" t="s">
        <v>1174</v>
      </c>
      <c r="L229" s="22" t="s">
        <v>1175</v>
      </c>
      <c r="M229" s="16" t="s">
        <v>41</v>
      </c>
      <c r="N229" s="16" t="s">
        <v>1149</v>
      </c>
      <c r="O229" s="16"/>
      <c r="P229" s="16" t="s">
        <v>43</v>
      </c>
      <c r="Q229" s="24" t="s">
        <v>17</v>
      </c>
      <c r="R229" s="25" t="s">
        <v>44</v>
      </c>
      <c r="S229" s="16" t="s">
        <v>45</v>
      </c>
      <c r="T229" s="85" t="s">
        <v>1176</v>
      </c>
      <c r="U229" s="85" t="s">
        <v>1177</v>
      </c>
      <c r="V229" s="31"/>
      <c r="W229" s="28" t="s">
        <v>1027</v>
      </c>
      <c r="X229" s="16">
        <v>1</v>
      </c>
      <c r="Y229" s="29">
        <v>1</v>
      </c>
      <c r="Z229" s="18" t="s">
        <v>49</v>
      </c>
      <c r="AA229" s="18" t="s">
        <v>1152</v>
      </c>
      <c r="AB229" s="18">
        <v>2019</v>
      </c>
      <c r="AC229" s="16" t="s">
        <v>51</v>
      </c>
      <c r="AD229" s="30"/>
      <c r="AE229" s="49"/>
      <c r="AF229" s="49" t="s">
        <v>1029</v>
      </c>
      <c r="AG229" s="49" t="s">
        <v>1030</v>
      </c>
    </row>
    <row r="230" spans="1:33" x14ac:dyDescent="0.4">
      <c r="A230" s="15" t="s">
        <v>1143</v>
      </c>
      <c r="B230" s="16">
        <v>5</v>
      </c>
      <c r="C230" s="17">
        <v>228</v>
      </c>
      <c r="D230" s="18" t="s">
        <v>1178</v>
      </c>
      <c r="E230" s="49">
        <v>830620</v>
      </c>
      <c r="F230" s="49"/>
      <c r="G230" s="91" t="s">
        <v>716</v>
      </c>
      <c r="H230" s="21" t="s">
        <v>1179</v>
      </c>
      <c r="I230" s="86" t="s">
        <v>1180</v>
      </c>
      <c r="J230" s="16" t="s">
        <v>1181</v>
      </c>
      <c r="K230" s="16" t="s">
        <v>1182</v>
      </c>
      <c r="L230" s="16" t="s">
        <v>1183</v>
      </c>
      <c r="M230" s="16" t="s">
        <v>41</v>
      </c>
      <c r="N230" s="16" t="s">
        <v>1149</v>
      </c>
      <c r="O230" s="16"/>
      <c r="P230" s="16" t="s">
        <v>43</v>
      </c>
      <c r="Q230" s="24" t="s">
        <v>17</v>
      </c>
      <c r="R230" s="24" t="s">
        <v>44</v>
      </c>
      <c r="S230" s="16" t="s">
        <v>45</v>
      </c>
      <c r="T230" s="85" t="s">
        <v>1184</v>
      </c>
      <c r="U230" s="85" t="s">
        <v>1185</v>
      </c>
      <c r="V230" s="31"/>
      <c r="W230" s="28" t="s">
        <v>1027</v>
      </c>
      <c r="X230" s="16">
        <v>1</v>
      </c>
      <c r="Y230" s="29">
        <v>1</v>
      </c>
      <c r="Z230" s="18" t="s">
        <v>49</v>
      </c>
      <c r="AA230" s="18" t="s">
        <v>1186</v>
      </c>
      <c r="AB230" s="17">
        <v>2019</v>
      </c>
      <c r="AC230" s="16" t="s">
        <v>51</v>
      </c>
      <c r="AD230" s="30"/>
      <c r="AE230" s="49"/>
      <c r="AF230" s="49" t="s">
        <v>52</v>
      </c>
      <c r="AG230" s="49" t="s">
        <v>1030</v>
      </c>
    </row>
    <row r="231" spans="1:33" x14ac:dyDescent="0.4">
      <c r="A231" s="15" t="s">
        <v>1143</v>
      </c>
      <c r="B231" s="16">
        <v>6</v>
      </c>
      <c r="C231" s="17">
        <v>229</v>
      </c>
      <c r="D231" s="18" t="s">
        <v>1187</v>
      </c>
      <c r="E231" s="49" t="s">
        <v>1188</v>
      </c>
      <c r="F231" s="49"/>
      <c r="G231" s="28" t="s">
        <v>1170</v>
      </c>
      <c r="H231" s="21" t="s">
        <v>1189</v>
      </c>
      <c r="I231" s="21" t="s">
        <v>1190</v>
      </c>
      <c r="J231" s="16" t="s">
        <v>1191</v>
      </c>
      <c r="K231" s="16" t="s">
        <v>1192</v>
      </c>
      <c r="L231" s="22" t="s">
        <v>1193</v>
      </c>
      <c r="M231" s="16" t="s">
        <v>41</v>
      </c>
      <c r="N231" s="16" t="s">
        <v>1149</v>
      </c>
      <c r="O231" s="16"/>
      <c r="P231" s="16" t="s">
        <v>43</v>
      </c>
      <c r="Q231" s="24" t="s">
        <v>17</v>
      </c>
      <c r="R231" s="25" t="s">
        <v>44</v>
      </c>
      <c r="S231" s="16" t="s">
        <v>45</v>
      </c>
      <c r="T231" s="85" t="s">
        <v>1194</v>
      </c>
      <c r="U231" s="85" t="s">
        <v>1195</v>
      </c>
      <c r="V231" s="31"/>
      <c r="W231" s="28" t="s">
        <v>1027</v>
      </c>
      <c r="X231" s="16">
        <v>1</v>
      </c>
      <c r="Y231" s="29">
        <v>1</v>
      </c>
      <c r="Z231" s="18" t="s">
        <v>49</v>
      </c>
      <c r="AA231" s="18" t="s">
        <v>1152</v>
      </c>
      <c r="AB231" s="18">
        <v>2019</v>
      </c>
      <c r="AC231" s="16" t="s">
        <v>51</v>
      </c>
      <c r="AD231" s="30"/>
      <c r="AE231" s="49"/>
      <c r="AF231" s="49" t="s">
        <v>1029</v>
      </c>
      <c r="AG231" s="49" t="s">
        <v>1030</v>
      </c>
    </row>
    <row r="232" spans="1:33" x14ac:dyDescent="0.4">
      <c r="A232" s="15" t="s">
        <v>1143</v>
      </c>
      <c r="B232" s="16">
        <v>7</v>
      </c>
      <c r="C232" s="17">
        <v>230</v>
      </c>
      <c r="D232" s="18" t="s">
        <v>1196</v>
      </c>
      <c r="E232" s="49">
        <v>809076</v>
      </c>
      <c r="F232" s="49"/>
      <c r="G232" s="28" t="s">
        <v>36</v>
      </c>
      <c r="H232" s="21" t="s">
        <v>1197</v>
      </c>
      <c r="I232" s="21" t="s">
        <v>1198</v>
      </c>
      <c r="J232" s="16" t="s">
        <v>1199</v>
      </c>
      <c r="K232" s="16" t="s">
        <v>1200</v>
      </c>
      <c r="L232" s="22" t="s">
        <v>1201</v>
      </c>
      <c r="M232" s="16" t="s">
        <v>41</v>
      </c>
      <c r="N232" s="16" t="s">
        <v>1149</v>
      </c>
      <c r="O232" s="16"/>
      <c r="P232" s="16" t="s">
        <v>43</v>
      </c>
      <c r="Q232" s="24" t="s">
        <v>17</v>
      </c>
      <c r="R232" s="25" t="s">
        <v>44</v>
      </c>
      <c r="S232" s="16" t="s">
        <v>45</v>
      </c>
      <c r="T232" s="85" t="s">
        <v>1202</v>
      </c>
      <c r="U232" s="85" t="s">
        <v>1203</v>
      </c>
      <c r="V232" s="31"/>
      <c r="W232" s="28" t="s">
        <v>1027</v>
      </c>
      <c r="X232" s="16">
        <v>1</v>
      </c>
      <c r="Y232" s="29">
        <v>1</v>
      </c>
      <c r="Z232" s="18" t="s">
        <v>49</v>
      </c>
      <c r="AA232" s="18" t="s">
        <v>1152</v>
      </c>
      <c r="AB232" s="18">
        <v>2019</v>
      </c>
      <c r="AC232" s="16" t="s">
        <v>51</v>
      </c>
      <c r="AD232" s="30"/>
      <c r="AE232" s="49"/>
      <c r="AF232" s="49" t="s">
        <v>1029</v>
      </c>
      <c r="AG232" s="49" t="s">
        <v>1030</v>
      </c>
    </row>
    <row r="233" spans="1:33" x14ac:dyDescent="0.4">
      <c r="A233" s="15" t="s">
        <v>1143</v>
      </c>
      <c r="B233" s="16">
        <v>8</v>
      </c>
      <c r="C233" s="18">
        <v>231</v>
      </c>
      <c r="D233" s="42"/>
      <c r="E233" s="49">
        <v>809080</v>
      </c>
      <c r="F233" s="49"/>
      <c r="G233" s="28" t="s">
        <v>36</v>
      </c>
      <c r="H233" s="21" t="s">
        <v>1204</v>
      </c>
      <c r="I233" s="21" t="s">
        <v>1205</v>
      </c>
      <c r="J233" s="16" t="s">
        <v>1206</v>
      </c>
      <c r="K233" s="16" t="s">
        <v>1207</v>
      </c>
      <c r="L233" s="22" t="s">
        <v>1208</v>
      </c>
      <c r="M233" s="16" t="s">
        <v>41</v>
      </c>
      <c r="N233" s="16" t="s">
        <v>1149</v>
      </c>
      <c r="O233" s="16"/>
      <c r="P233" s="16" t="s">
        <v>43</v>
      </c>
      <c r="Q233" s="24" t="s">
        <v>116</v>
      </c>
      <c r="R233" s="25" t="s">
        <v>44</v>
      </c>
      <c r="S233" s="16" t="s">
        <v>45</v>
      </c>
      <c r="T233" s="85" t="s">
        <v>1209</v>
      </c>
      <c r="U233" s="85" t="s">
        <v>1210</v>
      </c>
      <c r="V233" s="31"/>
      <c r="W233" s="28" t="s">
        <v>1027</v>
      </c>
      <c r="X233" s="16">
        <v>1</v>
      </c>
      <c r="Y233" s="29">
        <v>1</v>
      </c>
      <c r="Z233" s="18" t="s">
        <v>49</v>
      </c>
      <c r="AA233" s="18" t="s">
        <v>1152</v>
      </c>
      <c r="AB233" s="18">
        <v>2019</v>
      </c>
      <c r="AC233" s="16" t="s">
        <v>51</v>
      </c>
      <c r="AD233" s="30"/>
      <c r="AE233" s="49"/>
      <c r="AF233" s="49" t="s">
        <v>1029</v>
      </c>
      <c r="AG233" s="49" t="s">
        <v>1030</v>
      </c>
    </row>
    <row r="234" spans="1:33" x14ac:dyDescent="0.4">
      <c r="A234" s="15" t="s">
        <v>1143</v>
      </c>
      <c r="B234" s="16">
        <v>9</v>
      </c>
      <c r="C234" s="18">
        <v>232</v>
      </c>
      <c r="D234" s="18"/>
      <c r="E234" s="49">
        <v>809089</v>
      </c>
      <c r="F234" s="49"/>
      <c r="G234" s="28" t="s">
        <v>872</v>
      </c>
      <c r="H234" s="21" t="s">
        <v>968</v>
      </c>
      <c r="I234" s="21" t="s">
        <v>1211</v>
      </c>
      <c r="J234" s="16" t="s">
        <v>1212</v>
      </c>
      <c r="K234" s="16" t="s">
        <v>1213</v>
      </c>
      <c r="L234" s="22" t="s">
        <v>1214</v>
      </c>
      <c r="M234" s="16" t="s">
        <v>41</v>
      </c>
      <c r="N234" s="16" t="s">
        <v>1149</v>
      </c>
      <c r="O234" s="16"/>
      <c r="P234" s="16" t="s">
        <v>43</v>
      </c>
      <c r="Q234" s="24" t="s">
        <v>116</v>
      </c>
      <c r="R234" s="25" t="s">
        <v>44</v>
      </c>
      <c r="S234" s="16" t="s">
        <v>45</v>
      </c>
      <c r="T234" s="85" t="s">
        <v>1215</v>
      </c>
      <c r="U234" s="85" t="s">
        <v>1216</v>
      </c>
      <c r="V234" s="31"/>
      <c r="W234" s="28" t="s">
        <v>1027</v>
      </c>
      <c r="X234" s="16">
        <v>1</v>
      </c>
      <c r="Y234" s="29">
        <v>1</v>
      </c>
      <c r="Z234" s="18" t="s">
        <v>49</v>
      </c>
      <c r="AA234" s="18" t="s">
        <v>1152</v>
      </c>
      <c r="AB234" s="18">
        <v>2019</v>
      </c>
      <c r="AC234" s="16" t="s">
        <v>51</v>
      </c>
      <c r="AD234" s="30"/>
      <c r="AE234" s="49"/>
      <c r="AF234" s="49" t="s">
        <v>1029</v>
      </c>
      <c r="AG234" s="49" t="s">
        <v>1030</v>
      </c>
    </row>
    <row r="235" spans="1:33" x14ac:dyDescent="0.4">
      <c r="A235" s="15" t="s">
        <v>1143</v>
      </c>
      <c r="B235" s="16">
        <v>10</v>
      </c>
      <c r="C235" s="18">
        <v>233</v>
      </c>
      <c r="D235" s="18"/>
      <c r="E235" s="49">
        <v>809051</v>
      </c>
      <c r="F235" s="49"/>
      <c r="G235" s="28" t="s">
        <v>716</v>
      </c>
      <c r="H235" s="21" t="s">
        <v>1217</v>
      </c>
      <c r="I235" s="21" t="s">
        <v>1218</v>
      </c>
      <c r="J235" s="16" t="s">
        <v>1219</v>
      </c>
      <c r="K235" s="16" t="s">
        <v>1220</v>
      </c>
      <c r="L235" s="22" t="s">
        <v>1221</v>
      </c>
      <c r="M235" s="16" t="s">
        <v>41</v>
      </c>
      <c r="N235" s="16" t="s">
        <v>1149</v>
      </c>
      <c r="O235" s="16"/>
      <c r="P235" s="16" t="s">
        <v>43</v>
      </c>
      <c r="Q235" s="24" t="s">
        <v>116</v>
      </c>
      <c r="R235" s="25" t="s">
        <v>44</v>
      </c>
      <c r="S235" s="16" t="s">
        <v>45</v>
      </c>
      <c r="T235" s="85" t="s">
        <v>1222</v>
      </c>
      <c r="U235" s="85" t="s">
        <v>1223</v>
      </c>
      <c r="V235" s="31"/>
      <c r="W235" s="28" t="s">
        <v>1027</v>
      </c>
      <c r="X235" s="16">
        <v>1</v>
      </c>
      <c r="Y235" s="29">
        <v>1</v>
      </c>
      <c r="Z235" s="18" t="s">
        <v>49</v>
      </c>
      <c r="AA235" s="18" t="s">
        <v>1152</v>
      </c>
      <c r="AB235" s="18">
        <v>2019</v>
      </c>
      <c r="AC235" s="16" t="s">
        <v>51</v>
      </c>
      <c r="AD235" s="30"/>
      <c r="AE235" s="49"/>
      <c r="AF235" s="49" t="s">
        <v>1029</v>
      </c>
      <c r="AG235" s="49" t="s">
        <v>1030</v>
      </c>
    </row>
    <row r="236" spans="1:33" x14ac:dyDescent="0.4">
      <c r="A236" s="15" t="s">
        <v>1143</v>
      </c>
      <c r="B236" s="16">
        <v>11</v>
      </c>
      <c r="C236" s="18">
        <v>234</v>
      </c>
      <c r="D236" s="18"/>
      <c r="E236" s="49">
        <v>809052</v>
      </c>
      <c r="F236" s="49"/>
      <c r="G236" s="28" t="s">
        <v>716</v>
      </c>
      <c r="H236" s="21" t="s">
        <v>1224</v>
      </c>
      <c r="I236" s="21" t="s">
        <v>1225</v>
      </c>
      <c r="J236" s="16" t="s">
        <v>1226</v>
      </c>
      <c r="K236" s="16" t="s">
        <v>1227</v>
      </c>
      <c r="L236" s="22" t="s">
        <v>1228</v>
      </c>
      <c r="M236" s="16" t="s">
        <v>41</v>
      </c>
      <c r="N236" s="16" t="s">
        <v>1149</v>
      </c>
      <c r="O236" s="16"/>
      <c r="P236" s="16" t="s">
        <v>43</v>
      </c>
      <c r="Q236" s="24" t="s">
        <v>116</v>
      </c>
      <c r="R236" s="25" t="s">
        <v>44</v>
      </c>
      <c r="S236" s="16" t="s">
        <v>45</v>
      </c>
      <c r="T236" s="85" t="s">
        <v>1229</v>
      </c>
      <c r="U236" s="85" t="s">
        <v>1230</v>
      </c>
      <c r="V236" s="31"/>
      <c r="W236" s="28" t="s">
        <v>1027</v>
      </c>
      <c r="X236" s="16">
        <v>1</v>
      </c>
      <c r="Y236" s="29">
        <v>1</v>
      </c>
      <c r="Z236" s="18" t="s">
        <v>49</v>
      </c>
      <c r="AA236" s="18" t="s">
        <v>1152</v>
      </c>
      <c r="AB236" s="18">
        <v>2019</v>
      </c>
      <c r="AC236" s="16" t="s">
        <v>51</v>
      </c>
      <c r="AD236" s="30"/>
      <c r="AE236" s="49"/>
      <c r="AF236" s="49" t="s">
        <v>1029</v>
      </c>
      <c r="AG236" s="49" t="s">
        <v>1030</v>
      </c>
    </row>
    <row r="237" spans="1:33" ht="26" x14ac:dyDescent="0.4">
      <c r="A237" s="15" t="s">
        <v>1143</v>
      </c>
      <c r="B237" s="16">
        <v>12</v>
      </c>
      <c r="C237" s="18">
        <v>235</v>
      </c>
      <c r="D237" s="43"/>
      <c r="E237" s="49">
        <v>809056</v>
      </c>
      <c r="F237" s="49"/>
      <c r="G237" s="28" t="s">
        <v>716</v>
      </c>
      <c r="H237" s="21" t="s">
        <v>1231</v>
      </c>
      <c r="I237" s="21" t="s">
        <v>1232</v>
      </c>
      <c r="J237" s="16" t="s">
        <v>1233</v>
      </c>
      <c r="K237" s="16" t="s">
        <v>1234</v>
      </c>
      <c r="L237" s="22" t="s">
        <v>1235</v>
      </c>
      <c r="M237" s="16" t="s">
        <v>41</v>
      </c>
      <c r="N237" s="16" t="s">
        <v>1149</v>
      </c>
      <c r="O237" s="16"/>
      <c r="P237" s="16" t="s">
        <v>43</v>
      </c>
      <c r="Q237" s="24" t="s">
        <v>116</v>
      </c>
      <c r="R237" s="25" t="s">
        <v>44</v>
      </c>
      <c r="S237" s="16" t="s">
        <v>45</v>
      </c>
      <c r="T237" s="85" t="s">
        <v>1236</v>
      </c>
      <c r="U237" s="85" t="s">
        <v>1237</v>
      </c>
      <c r="V237" s="31"/>
      <c r="W237" s="28" t="s">
        <v>1027</v>
      </c>
      <c r="X237" s="28"/>
      <c r="Y237" s="29">
        <v>1</v>
      </c>
      <c r="Z237" s="18" t="s">
        <v>49</v>
      </c>
      <c r="AA237" s="18" t="s">
        <v>1152</v>
      </c>
      <c r="AB237" s="18">
        <v>2019</v>
      </c>
      <c r="AC237" s="16" t="s">
        <v>51</v>
      </c>
      <c r="AD237" s="30"/>
      <c r="AE237" s="49"/>
      <c r="AF237" s="49" t="s">
        <v>1029</v>
      </c>
      <c r="AG237" s="49" t="s">
        <v>1030</v>
      </c>
    </row>
    <row r="238" spans="1:33" x14ac:dyDescent="0.4">
      <c r="A238" s="15" t="s">
        <v>1143</v>
      </c>
      <c r="B238" s="16">
        <v>13</v>
      </c>
      <c r="C238" s="17">
        <v>236</v>
      </c>
      <c r="D238" s="18" t="s">
        <v>1238</v>
      </c>
      <c r="E238" s="49">
        <v>809059</v>
      </c>
      <c r="F238" s="49"/>
      <c r="G238" s="91" t="s">
        <v>542</v>
      </c>
      <c r="H238" s="21" t="s">
        <v>1239</v>
      </c>
      <c r="I238" s="21" t="s">
        <v>1239</v>
      </c>
      <c r="J238" s="16" t="s">
        <v>1240</v>
      </c>
      <c r="K238" s="16" t="s">
        <v>1241</v>
      </c>
      <c r="L238" s="22" t="s">
        <v>1242</v>
      </c>
      <c r="M238" s="16" t="s">
        <v>41</v>
      </c>
      <c r="N238" s="16" t="s">
        <v>1149</v>
      </c>
      <c r="O238" s="16" t="s">
        <v>1243</v>
      </c>
      <c r="P238" s="16" t="s">
        <v>43</v>
      </c>
      <c r="Q238" s="24" t="s">
        <v>17</v>
      </c>
      <c r="R238" s="25" t="s">
        <v>44</v>
      </c>
      <c r="S238" s="16" t="s">
        <v>45</v>
      </c>
      <c r="T238" s="85" t="s">
        <v>1244</v>
      </c>
      <c r="U238" s="85" t="s">
        <v>1245</v>
      </c>
      <c r="V238" s="31"/>
      <c r="W238" s="28" t="s">
        <v>1027</v>
      </c>
      <c r="X238" s="16">
        <v>1</v>
      </c>
      <c r="Y238" s="29">
        <v>1</v>
      </c>
      <c r="Z238" s="18" t="s">
        <v>49</v>
      </c>
      <c r="AA238" s="18" t="s">
        <v>1152</v>
      </c>
      <c r="AB238" s="18" t="s">
        <v>1152</v>
      </c>
      <c r="AC238" s="16" t="s">
        <v>51</v>
      </c>
      <c r="AD238" s="30"/>
      <c r="AE238" s="49"/>
      <c r="AF238" s="49" t="s">
        <v>1029</v>
      </c>
      <c r="AG238" s="49" t="s">
        <v>1030</v>
      </c>
    </row>
    <row r="239" spans="1:33" x14ac:dyDescent="0.4">
      <c r="A239" s="15" t="s">
        <v>1143</v>
      </c>
      <c r="B239" s="16">
        <v>14</v>
      </c>
      <c r="C239" s="18">
        <v>237</v>
      </c>
      <c r="D239" s="42"/>
      <c r="E239" s="77">
        <v>809061</v>
      </c>
      <c r="F239" s="42"/>
      <c r="G239" s="28" t="s">
        <v>716</v>
      </c>
      <c r="H239" s="21" t="s">
        <v>1246</v>
      </c>
      <c r="I239" s="21" t="s">
        <v>1247</v>
      </c>
      <c r="J239" s="16" t="s">
        <v>1248</v>
      </c>
      <c r="K239" s="16" t="s">
        <v>1249</v>
      </c>
      <c r="L239" s="22" t="s">
        <v>1250</v>
      </c>
      <c r="M239" s="16" t="s">
        <v>41</v>
      </c>
      <c r="N239" s="16" t="s">
        <v>1149</v>
      </c>
      <c r="O239" s="16"/>
      <c r="P239" s="16" t="s">
        <v>43</v>
      </c>
      <c r="Q239" s="24" t="s">
        <v>116</v>
      </c>
      <c r="R239" s="25" t="s">
        <v>44</v>
      </c>
      <c r="S239" s="16" t="s">
        <v>45</v>
      </c>
      <c r="T239" s="85" t="s">
        <v>1251</v>
      </c>
      <c r="U239" s="85" t="s">
        <v>1252</v>
      </c>
      <c r="V239" s="31"/>
      <c r="W239" s="28" t="s">
        <v>1027</v>
      </c>
      <c r="X239" s="16">
        <v>1</v>
      </c>
      <c r="Y239" s="29">
        <v>1</v>
      </c>
      <c r="Z239" s="18" t="s">
        <v>49</v>
      </c>
      <c r="AA239" s="18" t="s">
        <v>1152</v>
      </c>
      <c r="AB239" s="18">
        <v>2019</v>
      </c>
      <c r="AC239" s="16" t="s">
        <v>51</v>
      </c>
      <c r="AD239" s="30"/>
      <c r="AE239" s="49"/>
      <c r="AF239" s="49" t="s">
        <v>1029</v>
      </c>
      <c r="AG239" s="49" t="s">
        <v>1030</v>
      </c>
    </row>
    <row r="240" spans="1:33" x14ac:dyDescent="0.4">
      <c r="A240" s="15" t="s">
        <v>1143</v>
      </c>
      <c r="B240" s="16">
        <v>15</v>
      </c>
      <c r="C240" s="18">
        <v>238</v>
      </c>
      <c r="D240" s="43"/>
      <c r="E240" s="49">
        <v>17628</v>
      </c>
      <c r="F240" s="49"/>
      <c r="G240" s="28" t="s">
        <v>716</v>
      </c>
      <c r="H240" s="21" t="s">
        <v>1246</v>
      </c>
      <c r="I240" s="21" t="s">
        <v>1253</v>
      </c>
      <c r="J240" s="16" t="s">
        <v>1254</v>
      </c>
      <c r="K240" s="16" t="s">
        <v>1255</v>
      </c>
      <c r="L240" s="22" t="s">
        <v>1256</v>
      </c>
      <c r="M240" s="16" t="s">
        <v>41</v>
      </c>
      <c r="N240" s="16" t="s">
        <v>1149</v>
      </c>
      <c r="O240" s="16"/>
      <c r="P240" s="16" t="s">
        <v>43</v>
      </c>
      <c r="Q240" s="24" t="s">
        <v>116</v>
      </c>
      <c r="R240" s="25" t="s">
        <v>44</v>
      </c>
      <c r="S240" s="16" t="s">
        <v>45</v>
      </c>
      <c r="T240" s="85" t="s">
        <v>1257</v>
      </c>
      <c r="U240" s="85" t="s">
        <v>1258</v>
      </c>
      <c r="V240" s="31"/>
      <c r="W240" s="28" t="s">
        <v>1027</v>
      </c>
      <c r="X240" s="16">
        <v>1</v>
      </c>
      <c r="Y240" s="29">
        <v>1</v>
      </c>
      <c r="Z240" s="18" t="s">
        <v>49</v>
      </c>
      <c r="AA240" s="18" t="s">
        <v>1152</v>
      </c>
      <c r="AB240" s="18">
        <v>2019</v>
      </c>
      <c r="AC240" s="16" t="s">
        <v>51</v>
      </c>
      <c r="AD240" s="30"/>
      <c r="AE240" s="49"/>
      <c r="AF240" s="49" t="s">
        <v>1029</v>
      </c>
      <c r="AG240" s="49" t="s">
        <v>1030</v>
      </c>
    </row>
    <row r="241" spans="1:33" x14ac:dyDescent="0.4">
      <c r="A241" s="15" t="s">
        <v>1143</v>
      </c>
      <c r="B241" s="16">
        <v>16</v>
      </c>
      <c r="C241" s="17">
        <v>239</v>
      </c>
      <c r="D241" s="18" t="s">
        <v>1259</v>
      </c>
      <c r="E241" s="49">
        <v>809028</v>
      </c>
      <c r="F241" s="49"/>
      <c r="G241" s="91" t="s">
        <v>542</v>
      </c>
      <c r="H241" s="21" t="s">
        <v>1260</v>
      </c>
      <c r="I241" s="21" t="s">
        <v>1260</v>
      </c>
      <c r="J241" s="16" t="s">
        <v>1261</v>
      </c>
      <c r="K241" s="16" t="s">
        <v>1262</v>
      </c>
      <c r="L241" s="22" t="s">
        <v>1263</v>
      </c>
      <c r="M241" s="16" t="s">
        <v>41</v>
      </c>
      <c r="N241" s="16" t="s">
        <v>1149</v>
      </c>
      <c r="O241" s="16" t="s">
        <v>1264</v>
      </c>
      <c r="P241" s="16" t="s">
        <v>43</v>
      </c>
      <c r="Q241" s="24" t="s">
        <v>17</v>
      </c>
      <c r="R241" s="25" t="s">
        <v>44</v>
      </c>
      <c r="S241" s="16" t="s">
        <v>45</v>
      </c>
      <c r="T241" s="85" t="s">
        <v>1265</v>
      </c>
      <c r="U241" s="85" t="s">
        <v>1266</v>
      </c>
      <c r="V241" s="31"/>
      <c r="W241" s="28" t="s">
        <v>1027</v>
      </c>
      <c r="X241" s="28"/>
      <c r="Y241" s="29">
        <v>1</v>
      </c>
      <c r="Z241" s="18" t="s">
        <v>49</v>
      </c>
      <c r="AA241" s="18" t="s">
        <v>1152</v>
      </c>
      <c r="AB241" s="18">
        <v>2019</v>
      </c>
      <c r="AC241" s="16" t="s">
        <v>51</v>
      </c>
      <c r="AD241" s="30"/>
      <c r="AE241" s="49"/>
      <c r="AF241" s="49" t="s">
        <v>1029</v>
      </c>
      <c r="AG241" s="49" t="s">
        <v>1030</v>
      </c>
    </row>
    <row r="242" spans="1:33" x14ac:dyDescent="0.4">
      <c r="A242" s="15" t="s">
        <v>1143</v>
      </c>
      <c r="B242" s="16">
        <v>17</v>
      </c>
      <c r="C242" s="17">
        <v>240</v>
      </c>
      <c r="D242" s="18" t="s">
        <v>1267</v>
      </c>
      <c r="E242" s="49">
        <v>809029</v>
      </c>
      <c r="F242" s="49"/>
      <c r="G242" s="28" t="s">
        <v>872</v>
      </c>
      <c r="H242" s="21" t="s">
        <v>1268</v>
      </c>
      <c r="I242" s="21" t="s">
        <v>1269</v>
      </c>
      <c r="J242" s="16" t="s">
        <v>1270</v>
      </c>
      <c r="K242" s="16" t="s">
        <v>1271</v>
      </c>
      <c r="L242" s="22" t="s">
        <v>1272</v>
      </c>
      <c r="M242" s="16" t="s">
        <v>41</v>
      </c>
      <c r="N242" s="16" t="s">
        <v>1149</v>
      </c>
      <c r="O242" s="16"/>
      <c r="P242" s="16" t="s">
        <v>43</v>
      </c>
      <c r="Q242" s="24" t="s">
        <v>17</v>
      </c>
      <c r="R242" s="25" t="s">
        <v>44</v>
      </c>
      <c r="S242" s="16" t="s">
        <v>45</v>
      </c>
      <c r="T242" s="85" t="s">
        <v>1273</v>
      </c>
      <c r="U242" s="85" t="s">
        <v>1274</v>
      </c>
      <c r="V242" s="31"/>
      <c r="W242" s="28" t="s">
        <v>1027</v>
      </c>
      <c r="X242" s="16">
        <v>1</v>
      </c>
      <c r="Y242" s="29">
        <v>1</v>
      </c>
      <c r="Z242" s="18" t="s">
        <v>49</v>
      </c>
      <c r="AA242" s="18" t="s">
        <v>1152</v>
      </c>
      <c r="AB242" s="18">
        <v>2019</v>
      </c>
      <c r="AC242" s="16" t="s">
        <v>51</v>
      </c>
      <c r="AD242" s="30"/>
      <c r="AE242" s="49"/>
      <c r="AF242" s="49" t="s">
        <v>1029</v>
      </c>
      <c r="AG242" s="49" t="s">
        <v>1030</v>
      </c>
    </row>
    <row r="243" spans="1:33" x14ac:dyDescent="0.4">
      <c r="A243" s="15" t="s">
        <v>1143</v>
      </c>
      <c r="B243" s="16">
        <v>18</v>
      </c>
      <c r="C243" s="17">
        <v>241</v>
      </c>
      <c r="D243" s="18" t="s">
        <v>1275</v>
      </c>
      <c r="E243" s="49">
        <v>809033</v>
      </c>
      <c r="F243" s="49"/>
      <c r="G243" s="91" t="s">
        <v>542</v>
      </c>
      <c r="H243" s="21" t="s">
        <v>1276</v>
      </c>
      <c r="I243" s="21" t="s">
        <v>1277</v>
      </c>
      <c r="J243" s="16" t="s">
        <v>1278</v>
      </c>
      <c r="K243" s="16" t="s">
        <v>1279</v>
      </c>
      <c r="L243" s="22" t="s">
        <v>1280</v>
      </c>
      <c r="M243" s="16" t="s">
        <v>41</v>
      </c>
      <c r="N243" s="16" t="s">
        <v>1149</v>
      </c>
      <c r="O243" s="16" t="s">
        <v>1281</v>
      </c>
      <c r="P243" s="16" t="s">
        <v>43</v>
      </c>
      <c r="Q243" s="24" t="s">
        <v>17</v>
      </c>
      <c r="R243" s="25" t="s">
        <v>44</v>
      </c>
      <c r="S243" s="16" t="s">
        <v>45</v>
      </c>
      <c r="T243" s="85" t="s">
        <v>1282</v>
      </c>
      <c r="U243" s="85" t="s">
        <v>1283</v>
      </c>
      <c r="V243" s="31"/>
      <c r="W243" s="28" t="s">
        <v>1027</v>
      </c>
      <c r="X243" s="28"/>
      <c r="Y243" s="29">
        <v>1</v>
      </c>
      <c r="Z243" s="18" t="s">
        <v>49</v>
      </c>
      <c r="AA243" s="18" t="s">
        <v>1152</v>
      </c>
      <c r="AB243" s="18">
        <v>2019</v>
      </c>
      <c r="AC243" s="16" t="s">
        <v>51</v>
      </c>
      <c r="AD243" s="30"/>
      <c r="AE243" s="49"/>
      <c r="AF243" s="49" t="s">
        <v>1029</v>
      </c>
      <c r="AG243" s="49" t="s">
        <v>1030</v>
      </c>
    </row>
    <row r="244" spans="1:33" x14ac:dyDescent="0.4">
      <c r="A244" s="15" t="s">
        <v>1143</v>
      </c>
      <c r="B244" s="16">
        <v>19</v>
      </c>
      <c r="C244" s="17">
        <v>242</v>
      </c>
      <c r="D244" s="18" t="s">
        <v>1284</v>
      </c>
      <c r="E244" s="49">
        <v>809034</v>
      </c>
      <c r="F244" s="49"/>
      <c r="G244" s="91" t="s">
        <v>542</v>
      </c>
      <c r="H244" s="21" t="s">
        <v>1285</v>
      </c>
      <c r="I244" s="21" t="s">
        <v>1285</v>
      </c>
      <c r="J244" s="16" t="s">
        <v>1286</v>
      </c>
      <c r="K244" s="16" t="s">
        <v>1287</v>
      </c>
      <c r="L244" s="22" t="s">
        <v>1288</v>
      </c>
      <c r="M244" s="16" t="s">
        <v>41</v>
      </c>
      <c r="N244" s="16" t="s">
        <v>1149</v>
      </c>
      <c r="O244" s="16" t="s">
        <v>1289</v>
      </c>
      <c r="P244" s="16" t="s">
        <v>43</v>
      </c>
      <c r="Q244" s="24" t="s">
        <v>17</v>
      </c>
      <c r="R244" s="25" t="s">
        <v>44</v>
      </c>
      <c r="S244" s="16" t="s">
        <v>45</v>
      </c>
      <c r="T244" s="85" t="s">
        <v>1290</v>
      </c>
      <c r="U244" s="85" t="s">
        <v>1291</v>
      </c>
      <c r="V244" s="31"/>
      <c r="W244" s="28" t="s">
        <v>1027</v>
      </c>
      <c r="X244" s="28"/>
      <c r="Y244" s="29">
        <v>1</v>
      </c>
      <c r="Z244" s="18" t="s">
        <v>49</v>
      </c>
      <c r="AA244" s="18" t="s">
        <v>1152</v>
      </c>
      <c r="AB244" s="18">
        <v>2019</v>
      </c>
      <c r="AC244" s="16" t="s">
        <v>51</v>
      </c>
      <c r="AD244" s="30"/>
      <c r="AE244" s="49"/>
      <c r="AF244" s="49" t="s">
        <v>1029</v>
      </c>
      <c r="AG244" s="49" t="s">
        <v>1030</v>
      </c>
    </row>
    <row r="245" spans="1:33" ht="26" x14ac:dyDescent="0.4">
      <c r="A245" s="15" t="s">
        <v>1143</v>
      </c>
      <c r="B245" s="16">
        <v>20</v>
      </c>
      <c r="C245" s="18">
        <v>243</v>
      </c>
      <c r="D245" s="42"/>
      <c r="E245" s="49">
        <v>718095</v>
      </c>
      <c r="F245" s="49"/>
      <c r="G245" s="28" t="s">
        <v>779</v>
      </c>
      <c r="H245" s="21" t="s">
        <v>779</v>
      </c>
      <c r="I245" s="21" t="s">
        <v>1292</v>
      </c>
      <c r="J245" s="16" t="s">
        <v>1293</v>
      </c>
      <c r="K245" s="16" t="s">
        <v>1294</v>
      </c>
      <c r="L245" s="22" t="s">
        <v>1295</v>
      </c>
      <c r="M245" s="16" t="s">
        <v>41</v>
      </c>
      <c r="N245" s="16" t="s">
        <v>1149</v>
      </c>
      <c r="O245" s="16"/>
      <c r="P245" s="16" t="s">
        <v>43</v>
      </c>
      <c r="Q245" s="24" t="s">
        <v>116</v>
      </c>
      <c r="R245" s="25" t="s">
        <v>44</v>
      </c>
      <c r="S245" s="16" t="s">
        <v>45</v>
      </c>
      <c r="T245" s="85" t="s">
        <v>1296</v>
      </c>
      <c r="U245" s="85" t="s">
        <v>1297</v>
      </c>
      <c r="V245" s="31"/>
      <c r="W245" s="28" t="s">
        <v>1027</v>
      </c>
      <c r="X245" s="16">
        <v>1</v>
      </c>
      <c r="Y245" s="29">
        <v>1</v>
      </c>
      <c r="Z245" s="18" t="s">
        <v>49</v>
      </c>
      <c r="AA245" s="18" t="s">
        <v>1152</v>
      </c>
      <c r="AB245" s="18">
        <v>2019</v>
      </c>
      <c r="AC245" s="16" t="s">
        <v>51</v>
      </c>
      <c r="AD245" s="30" t="s">
        <v>1298</v>
      </c>
      <c r="AE245" s="49"/>
      <c r="AF245" s="49" t="s">
        <v>1029</v>
      </c>
      <c r="AG245" s="49" t="s">
        <v>1030</v>
      </c>
    </row>
    <row r="246" spans="1:33" ht="26" x14ac:dyDescent="0.4">
      <c r="A246" s="15" t="s">
        <v>1143</v>
      </c>
      <c r="B246" s="16">
        <v>21</v>
      </c>
      <c r="C246" s="18">
        <v>244</v>
      </c>
      <c r="D246" s="92"/>
      <c r="E246" s="49">
        <v>787653</v>
      </c>
      <c r="F246" s="49"/>
      <c r="G246" s="28" t="s">
        <v>779</v>
      </c>
      <c r="H246" s="21" t="s">
        <v>779</v>
      </c>
      <c r="I246" s="21" t="s">
        <v>1299</v>
      </c>
      <c r="J246" s="16" t="s">
        <v>1300</v>
      </c>
      <c r="K246" s="16" t="s">
        <v>1301</v>
      </c>
      <c r="L246" s="22" t="s">
        <v>1302</v>
      </c>
      <c r="M246" s="16" t="s">
        <v>41</v>
      </c>
      <c r="N246" s="16" t="s">
        <v>1149</v>
      </c>
      <c r="O246" s="16"/>
      <c r="P246" s="16" t="s">
        <v>43</v>
      </c>
      <c r="Q246" s="24" t="s">
        <v>116</v>
      </c>
      <c r="R246" s="25" t="s">
        <v>44</v>
      </c>
      <c r="S246" s="16" t="s">
        <v>45</v>
      </c>
      <c r="T246" s="85" t="s">
        <v>1303</v>
      </c>
      <c r="U246" s="85" t="s">
        <v>1304</v>
      </c>
      <c r="V246" s="31"/>
      <c r="W246" s="28" t="s">
        <v>1027</v>
      </c>
      <c r="X246" s="16">
        <v>1</v>
      </c>
      <c r="Y246" s="29">
        <v>1</v>
      </c>
      <c r="Z246" s="18" t="s">
        <v>49</v>
      </c>
      <c r="AA246" s="18" t="s">
        <v>1152</v>
      </c>
      <c r="AB246" s="18">
        <v>2019</v>
      </c>
      <c r="AC246" s="16" t="s">
        <v>51</v>
      </c>
      <c r="AD246" s="30" t="s">
        <v>1298</v>
      </c>
      <c r="AE246" s="31"/>
      <c r="AF246" s="49" t="s">
        <v>1029</v>
      </c>
      <c r="AG246" s="49" t="s">
        <v>1030</v>
      </c>
    </row>
    <row r="247" spans="1:33" x14ac:dyDescent="0.4">
      <c r="A247" s="15" t="s">
        <v>1143</v>
      </c>
      <c r="B247" s="16">
        <v>22</v>
      </c>
      <c r="C247" s="18">
        <v>245</v>
      </c>
      <c r="D247" s="43"/>
      <c r="E247" s="49">
        <v>505862</v>
      </c>
      <c r="F247" s="49"/>
      <c r="G247" s="28" t="s">
        <v>1170</v>
      </c>
      <c r="H247" s="21" t="s">
        <v>1305</v>
      </c>
      <c r="I247" s="21" t="s">
        <v>1306</v>
      </c>
      <c r="J247" s="16" t="s">
        <v>1307</v>
      </c>
      <c r="K247" s="16" t="s">
        <v>1308</v>
      </c>
      <c r="L247" s="22" t="s">
        <v>1309</v>
      </c>
      <c r="M247" s="16" t="s">
        <v>41</v>
      </c>
      <c r="N247" s="16" t="s">
        <v>1149</v>
      </c>
      <c r="O247" s="16"/>
      <c r="P247" s="16" t="s">
        <v>43</v>
      </c>
      <c r="Q247" s="24" t="s">
        <v>116</v>
      </c>
      <c r="R247" s="25" t="s">
        <v>44</v>
      </c>
      <c r="S247" s="16" t="s">
        <v>45</v>
      </c>
      <c r="T247" s="85" t="s">
        <v>1310</v>
      </c>
      <c r="U247" s="85" t="s">
        <v>1311</v>
      </c>
      <c r="V247" s="31"/>
      <c r="W247" s="28" t="s">
        <v>1027</v>
      </c>
      <c r="X247" s="16">
        <v>1</v>
      </c>
      <c r="Y247" s="29">
        <v>1</v>
      </c>
      <c r="Z247" s="18" t="s">
        <v>49</v>
      </c>
      <c r="AA247" s="18" t="s">
        <v>1152</v>
      </c>
      <c r="AB247" s="18">
        <v>2019</v>
      </c>
      <c r="AC247" s="16" t="s">
        <v>131</v>
      </c>
      <c r="AD247" s="30" t="s">
        <v>1298</v>
      </c>
      <c r="AE247" s="49"/>
      <c r="AF247" s="49" t="s">
        <v>1029</v>
      </c>
      <c r="AG247" s="49" t="s">
        <v>1030</v>
      </c>
    </row>
    <row r="248" spans="1:33" x14ac:dyDescent="0.4">
      <c r="A248" s="15" t="s">
        <v>1143</v>
      </c>
      <c r="B248" s="16">
        <v>23</v>
      </c>
      <c r="C248" s="17">
        <v>246</v>
      </c>
      <c r="D248" s="18"/>
      <c r="E248" s="49">
        <v>505861</v>
      </c>
      <c r="F248" s="49"/>
      <c r="G248" s="28" t="s">
        <v>1170</v>
      </c>
      <c r="H248" s="21" t="s">
        <v>1305</v>
      </c>
      <c r="I248" s="21" t="s">
        <v>1312</v>
      </c>
      <c r="J248" s="16" t="s">
        <v>1313</v>
      </c>
      <c r="K248" s="16" t="s">
        <v>1314</v>
      </c>
      <c r="L248" s="22" t="s">
        <v>1315</v>
      </c>
      <c r="M248" s="16" t="s">
        <v>41</v>
      </c>
      <c r="N248" s="16" t="s">
        <v>1149</v>
      </c>
      <c r="O248" s="16" t="s">
        <v>1316</v>
      </c>
      <c r="P248" s="16" t="s">
        <v>43</v>
      </c>
      <c r="Q248" s="24" t="s">
        <v>116</v>
      </c>
      <c r="R248" s="25" t="s">
        <v>44</v>
      </c>
      <c r="S248" s="16" t="s">
        <v>45</v>
      </c>
      <c r="T248" s="85" t="s">
        <v>1317</v>
      </c>
      <c r="U248" s="85" t="s">
        <v>1318</v>
      </c>
      <c r="V248" s="31"/>
      <c r="W248" s="28" t="s">
        <v>1027</v>
      </c>
      <c r="X248" s="16">
        <v>1</v>
      </c>
      <c r="Y248" s="29">
        <v>1</v>
      </c>
      <c r="Z248" s="18" t="s">
        <v>49</v>
      </c>
      <c r="AA248" s="18" t="s">
        <v>1152</v>
      </c>
      <c r="AB248" s="18">
        <v>2019</v>
      </c>
      <c r="AC248" s="16" t="s">
        <v>131</v>
      </c>
      <c r="AD248" s="30"/>
      <c r="AE248" s="49"/>
      <c r="AF248" s="49" t="s">
        <v>1029</v>
      </c>
      <c r="AG248" s="49" t="s">
        <v>1030</v>
      </c>
    </row>
    <row r="249" spans="1:33" ht="26" x14ac:dyDescent="0.4">
      <c r="A249" s="15" t="s">
        <v>1319</v>
      </c>
      <c r="B249" s="16">
        <v>1</v>
      </c>
      <c r="C249" s="93">
        <v>247</v>
      </c>
      <c r="D249" s="94" t="s">
        <v>1320</v>
      </c>
      <c r="E249" s="95">
        <v>2052221</v>
      </c>
      <c r="F249" s="95"/>
      <c r="G249" s="19" t="s">
        <v>716</v>
      </c>
      <c r="H249" s="83" t="s">
        <v>1319</v>
      </c>
      <c r="I249" s="21" t="s">
        <v>1321</v>
      </c>
      <c r="J249" s="28" t="s">
        <v>1322</v>
      </c>
      <c r="K249" s="16" t="s">
        <v>1323</v>
      </c>
      <c r="L249" s="22" t="s">
        <v>1324</v>
      </c>
      <c r="M249" s="16" t="s">
        <v>41</v>
      </c>
      <c r="N249" s="16" t="s">
        <v>1325</v>
      </c>
      <c r="O249" s="16"/>
      <c r="P249" s="16" t="s">
        <v>43</v>
      </c>
      <c r="Q249" s="24" t="s">
        <v>17</v>
      </c>
      <c r="R249" s="25" t="s">
        <v>44</v>
      </c>
      <c r="S249" s="16" t="s">
        <v>45</v>
      </c>
      <c r="T249" s="85" t="s">
        <v>1326</v>
      </c>
      <c r="U249" s="85" t="s">
        <v>1327</v>
      </c>
      <c r="V249" s="18" t="s">
        <v>47</v>
      </c>
      <c r="W249" s="28" t="s">
        <v>1328</v>
      </c>
      <c r="X249" s="16">
        <v>1</v>
      </c>
      <c r="Y249" s="29">
        <v>1</v>
      </c>
      <c r="Z249" s="18" t="s">
        <v>49</v>
      </c>
      <c r="AA249" s="18" t="s">
        <v>1329</v>
      </c>
      <c r="AB249" s="18">
        <v>2018</v>
      </c>
      <c r="AC249" s="16" t="s">
        <v>51</v>
      </c>
      <c r="AD249" s="30"/>
      <c r="AE249" s="16"/>
      <c r="AF249" s="16"/>
      <c r="AG249" s="16"/>
    </row>
    <row r="250" spans="1:33" ht="26" x14ac:dyDescent="0.4">
      <c r="A250" s="15" t="s">
        <v>1319</v>
      </c>
      <c r="B250" s="16">
        <v>2</v>
      </c>
      <c r="C250" s="93">
        <v>248</v>
      </c>
      <c r="D250" s="94" t="s">
        <v>1330</v>
      </c>
      <c r="E250" s="95">
        <v>2052221</v>
      </c>
      <c r="F250" s="95"/>
      <c r="G250" s="19" t="s">
        <v>716</v>
      </c>
      <c r="H250" s="83" t="s">
        <v>1319</v>
      </c>
      <c r="I250" s="21" t="s">
        <v>1331</v>
      </c>
      <c r="J250" s="28" t="s">
        <v>1322</v>
      </c>
      <c r="K250" s="16" t="s">
        <v>1323</v>
      </c>
      <c r="L250" s="22" t="s">
        <v>1332</v>
      </c>
      <c r="M250" s="16" t="s">
        <v>41</v>
      </c>
      <c r="N250" s="16" t="s">
        <v>1325</v>
      </c>
      <c r="O250" s="16"/>
      <c r="P250" s="16" t="s">
        <v>43</v>
      </c>
      <c r="Q250" s="24" t="s">
        <v>17</v>
      </c>
      <c r="R250" s="25" t="s">
        <v>44</v>
      </c>
      <c r="S250" s="16" t="s">
        <v>45</v>
      </c>
      <c r="T250" s="85" t="s">
        <v>1333</v>
      </c>
      <c r="U250" s="85" t="s">
        <v>1334</v>
      </c>
      <c r="V250" s="18" t="s">
        <v>47</v>
      </c>
      <c r="W250" s="28" t="s">
        <v>1328</v>
      </c>
      <c r="X250" s="16">
        <v>1</v>
      </c>
      <c r="Y250" s="29">
        <v>1</v>
      </c>
      <c r="Z250" s="18" t="s">
        <v>49</v>
      </c>
      <c r="AA250" s="18" t="s">
        <v>1329</v>
      </c>
      <c r="AB250" s="18">
        <v>2018</v>
      </c>
      <c r="AC250" s="16" t="s">
        <v>51</v>
      </c>
      <c r="AD250" s="30"/>
      <c r="AE250" s="16"/>
      <c r="AF250" s="16"/>
      <c r="AG250" s="16"/>
    </row>
    <row r="251" spans="1:33" ht="26" x14ac:dyDescent="0.4">
      <c r="A251" s="15" t="s">
        <v>1319</v>
      </c>
      <c r="B251" s="16">
        <v>3</v>
      </c>
      <c r="C251" s="93">
        <v>249</v>
      </c>
      <c r="D251" s="94" t="s">
        <v>1335</v>
      </c>
      <c r="E251" s="95">
        <v>2052221</v>
      </c>
      <c r="F251" s="95"/>
      <c r="G251" s="91" t="s">
        <v>716</v>
      </c>
      <c r="H251" s="83" t="s">
        <v>1319</v>
      </c>
      <c r="I251" s="21" t="s">
        <v>1336</v>
      </c>
      <c r="J251" s="28" t="s">
        <v>1322</v>
      </c>
      <c r="K251" s="16" t="s">
        <v>1323</v>
      </c>
      <c r="L251" s="22" t="s">
        <v>1337</v>
      </c>
      <c r="M251" s="16" t="s">
        <v>41</v>
      </c>
      <c r="N251" s="16" t="s">
        <v>1325</v>
      </c>
      <c r="O251" s="16"/>
      <c r="P251" s="16" t="s">
        <v>43</v>
      </c>
      <c r="Q251" s="24" t="s">
        <v>17</v>
      </c>
      <c r="R251" s="25" t="s">
        <v>44</v>
      </c>
      <c r="S251" s="16" t="s">
        <v>45</v>
      </c>
      <c r="T251" s="85" t="s">
        <v>1338</v>
      </c>
      <c r="U251" s="85" t="s">
        <v>1339</v>
      </c>
      <c r="V251" s="18" t="s">
        <v>47</v>
      </c>
      <c r="W251" s="28" t="s">
        <v>1328</v>
      </c>
      <c r="X251" s="16">
        <v>1</v>
      </c>
      <c r="Y251" s="29">
        <v>1</v>
      </c>
      <c r="Z251" s="18" t="s">
        <v>49</v>
      </c>
      <c r="AA251" s="18" t="s">
        <v>1329</v>
      </c>
      <c r="AB251" s="18">
        <v>2018</v>
      </c>
      <c r="AC251" s="16" t="s">
        <v>51</v>
      </c>
      <c r="AD251" s="30"/>
      <c r="AE251" s="16"/>
      <c r="AF251" s="16"/>
      <c r="AG251" s="16"/>
    </row>
    <row r="252" spans="1:33" ht="26" x14ac:dyDescent="0.4">
      <c r="A252" s="15" t="s">
        <v>1319</v>
      </c>
      <c r="B252" s="16">
        <v>4</v>
      </c>
      <c r="C252" s="93">
        <v>250</v>
      </c>
      <c r="D252" s="94" t="s">
        <v>1340</v>
      </c>
      <c r="E252" s="95">
        <v>2052221</v>
      </c>
      <c r="F252" s="95"/>
      <c r="G252" s="19" t="s">
        <v>716</v>
      </c>
      <c r="H252" s="83" t="s">
        <v>1319</v>
      </c>
      <c r="I252" s="21" t="s">
        <v>1341</v>
      </c>
      <c r="J252" s="28" t="s">
        <v>1322</v>
      </c>
      <c r="K252" s="16" t="s">
        <v>1323</v>
      </c>
      <c r="L252" s="22" t="s">
        <v>1342</v>
      </c>
      <c r="M252" s="16" t="s">
        <v>41</v>
      </c>
      <c r="N252" s="16" t="s">
        <v>1325</v>
      </c>
      <c r="O252" s="16"/>
      <c r="P252" s="16" t="s">
        <v>43</v>
      </c>
      <c r="Q252" s="24" t="s">
        <v>17</v>
      </c>
      <c r="R252" s="25" t="s">
        <v>44</v>
      </c>
      <c r="S252" s="16" t="s">
        <v>45</v>
      </c>
      <c r="T252" s="85" t="s">
        <v>1343</v>
      </c>
      <c r="U252" s="85" t="s">
        <v>1344</v>
      </c>
      <c r="V252" s="18" t="s">
        <v>47</v>
      </c>
      <c r="W252" s="28" t="s">
        <v>1328</v>
      </c>
      <c r="X252" s="16">
        <v>1</v>
      </c>
      <c r="Y252" s="29">
        <v>1</v>
      </c>
      <c r="Z252" s="18" t="s">
        <v>49</v>
      </c>
      <c r="AA252" s="18" t="s">
        <v>1329</v>
      </c>
      <c r="AB252" s="18">
        <v>2018</v>
      </c>
      <c r="AC252" s="16" t="s">
        <v>51</v>
      </c>
      <c r="AD252" s="30"/>
      <c r="AE252" s="16"/>
      <c r="AF252" s="16"/>
      <c r="AG252" s="16"/>
    </row>
    <row r="253" spans="1:33" ht="26" x14ac:dyDescent="0.4">
      <c r="A253" s="15" t="s">
        <v>1319</v>
      </c>
      <c r="B253" s="16">
        <v>5</v>
      </c>
      <c r="C253" s="93">
        <v>251</v>
      </c>
      <c r="D253" s="94" t="s">
        <v>1345</v>
      </c>
      <c r="E253" s="95">
        <v>2052221</v>
      </c>
      <c r="F253" s="95"/>
      <c r="G253" s="19" t="s">
        <v>716</v>
      </c>
      <c r="H253" s="83" t="s">
        <v>1319</v>
      </c>
      <c r="I253" s="21" t="s">
        <v>1346</v>
      </c>
      <c r="J253" s="28" t="s">
        <v>1322</v>
      </c>
      <c r="K253" s="16" t="s">
        <v>1323</v>
      </c>
      <c r="L253" s="22" t="s">
        <v>1347</v>
      </c>
      <c r="M253" s="16" t="s">
        <v>41</v>
      </c>
      <c r="N253" s="16" t="s">
        <v>1325</v>
      </c>
      <c r="O253" s="16"/>
      <c r="P253" s="16" t="s">
        <v>43</v>
      </c>
      <c r="Q253" s="24" t="s">
        <v>17</v>
      </c>
      <c r="R253" s="25" t="s">
        <v>44</v>
      </c>
      <c r="S253" s="16" t="s">
        <v>45</v>
      </c>
      <c r="T253" s="85" t="s">
        <v>1348</v>
      </c>
      <c r="U253" s="85" t="s">
        <v>1349</v>
      </c>
      <c r="V253" s="18" t="s">
        <v>47</v>
      </c>
      <c r="W253" s="28" t="s">
        <v>1328</v>
      </c>
      <c r="X253" s="16">
        <v>1</v>
      </c>
      <c r="Y253" s="29">
        <v>1</v>
      </c>
      <c r="Z253" s="18" t="s">
        <v>49</v>
      </c>
      <c r="AA253" s="18" t="s">
        <v>1329</v>
      </c>
      <c r="AB253" s="18">
        <v>2018</v>
      </c>
      <c r="AC253" s="16" t="s">
        <v>51</v>
      </c>
      <c r="AD253" s="30"/>
      <c r="AE253" s="16"/>
      <c r="AF253" s="16"/>
      <c r="AG253" s="16"/>
    </row>
    <row r="254" spans="1:33" ht="26" x14ac:dyDescent="0.4">
      <c r="A254" s="15" t="s">
        <v>1319</v>
      </c>
      <c r="B254" s="16">
        <v>6</v>
      </c>
      <c r="C254" s="93">
        <v>252</v>
      </c>
      <c r="D254" s="94" t="s">
        <v>1350</v>
      </c>
      <c r="E254" s="95">
        <v>2052221</v>
      </c>
      <c r="F254" s="95"/>
      <c r="G254" s="91" t="s">
        <v>716</v>
      </c>
      <c r="H254" s="83" t="s">
        <v>1319</v>
      </c>
      <c r="I254" s="21" t="s">
        <v>1351</v>
      </c>
      <c r="J254" s="28" t="s">
        <v>1322</v>
      </c>
      <c r="K254" s="16" t="s">
        <v>1323</v>
      </c>
      <c r="L254" s="22" t="s">
        <v>1352</v>
      </c>
      <c r="M254" s="16" t="s">
        <v>41</v>
      </c>
      <c r="N254" s="16" t="s">
        <v>1325</v>
      </c>
      <c r="O254" s="16"/>
      <c r="P254" s="16" t="s">
        <v>43</v>
      </c>
      <c r="Q254" s="24" t="s">
        <v>17</v>
      </c>
      <c r="R254" s="25" t="s">
        <v>44</v>
      </c>
      <c r="S254" s="16" t="s">
        <v>45</v>
      </c>
      <c r="T254" s="85" t="s">
        <v>1353</v>
      </c>
      <c r="U254" s="85" t="s">
        <v>1354</v>
      </c>
      <c r="V254" s="18" t="s">
        <v>47</v>
      </c>
      <c r="W254" s="28" t="s">
        <v>1328</v>
      </c>
      <c r="X254" s="16">
        <v>1</v>
      </c>
      <c r="Y254" s="29">
        <v>1</v>
      </c>
      <c r="Z254" s="18" t="s">
        <v>49</v>
      </c>
      <c r="AA254" s="18" t="s">
        <v>1329</v>
      </c>
      <c r="AB254" s="18">
        <v>2018</v>
      </c>
      <c r="AC254" s="16" t="s">
        <v>51</v>
      </c>
      <c r="AD254" s="30"/>
      <c r="AE254" s="16"/>
      <c r="AF254" s="16"/>
      <c r="AG254" s="16"/>
    </row>
    <row r="255" spans="1:33" ht="26" x14ac:dyDescent="0.4">
      <c r="A255" s="15" t="s">
        <v>1319</v>
      </c>
      <c r="B255" s="16">
        <v>7</v>
      </c>
      <c r="C255" s="93">
        <v>253</v>
      </c>
      <c r="D255" s="94" t="s">
        <v>1355</v>
      </c>
      <c r="E255" s="95">
        <v>2052221</v>
      </c>
      <c r="F255" s="95"/>
      <c r="G255" s="19" t="s">
        <v>716</v>
      </c>
      <c r="H255" s="83" t="s">
        <v>1319</v>
      </c>
      <c r="I255" s="83" t="s">
        <v>1356</v>
      </c>
      <c r="J255" s="28" t="s">
        <v>1322</v>
      </c>
      <c r="K255" s="16" t="s">
        <v>1323</v>
      </c>
      <c r="L255" s="22" t="s">
        <v>1357</v>
      </c>
      <c r="M255" s="16" t="s">
        <v>41</v>
      </c>
      <c r="N255" s="16" t="s">
        <v>1325</v>
      </c>
      <c r="O255" s="16"/>
      <c r="P255" s="16" t="s">
        <v>43</v>
      </c>
      <c r="Q255" s="24" t="s">
        <v>17</v>
      </c>
      <c r="R255" s="25" t="s">
        <v>44</v>
      </c>
      <c r="S255" s="16" t="s">
        <v>45</v>
      </c>
      <c r="T255" s="85" t="s">
        <v>1358</v>
      </c>
      <c r="U255" s="85" t="s">
        <v>1359</v>
      </c>
      <c r="V255" s="18" t="s">
        <v>47</v>
      </c>
      <c r="W255" s="28" t="s">
        <v>1328</v>
      </c>
      <c r="X255" s="16">
        <v>1</v>
      </c>
      <c r="Y255" s="29">
        <v>1</v>
      </c>
      <c r="Z255" s="18" t="s">
        <v>49</v>
      </c>
      <c r="AA255" s="18" t="s">
        <v>1329</v>
      </c>
      <c r="AB255" s="18">
        <v>2018</v>
      </c>
      <c r="AC255" s="16" t="s">
        <v>51</v>
      </c>
      <c r="AD255" s="30"/>
      <c r="AE255" s="16"/>
      <c r="AF255" s="16"/>
      <c r="AG255" s="16"/>
    </row>
    <row r="256" spans="1:33" ht="26" x14ac:dyDescent="0.4">
      <c r="A256" s="15" t="s">
        <v>1319</v>
      </c>
      <c r="B256" s="16">
        <v>8</v>
      </c>
      <c r="C256" s="93">
        <v>254</v>
      </c>
      <c r="D256" s="94" t="s">
        <v>1360</v>
      </c>
      <c r="E256" s="95">
        <v>2052221</v>
      </c>
      <c r="F256" s="95"/>
      <c r="G256" s="19" t="s">
        <v>716</v>
      </c>
      <c r="H256" s="83" t="s">
        <v>1319</v>
      </c>
      <c r="I256" s="21" t="s">
        <v>1361</v>
      </c>
      <c r="J256" s="28" t="s">
        <v>1322</v>
      </c>
      <c r="K256" s="16" t="s">
        <v>1323</v>
      </c>
      <c r="L256" s="22" t="s">
        <v>1362</v>
      </c>
      <c r="M256" s="16" t="s">
        <v>41</v>
      </c>
      <c r="N256" s="16" t="s">
        <v>1325</v>
      </c>
      <c r="O256" s="16"/>
      <c r="P256" s="16" t="s">
        <v>43</v>
      </c>
      <c r="Q256" s="24" t="s">
        <v>17</v>
      </c>
      <c r="R256" s="25" t="s">
        <v>44</v>
      </c>
      <c r="S256" s="16" t="s">
        <v>45</v>
      </c>
      <c r="T256" s="85" t="s">
        <v>1363</v>
      </c>
      <c r="U256" s="85" t="s">
        <v>1364</v>
      </c>
      <c r="V256" s="18" t="s">
        <v>47</v>
      </c>
      <c r="W256" s="28" t="s">
        <v>1328</v>
      </c>
      <c r="X256" s="16">
        <v>1</v>
      </c>
      <c r="Y256" s="29">
        <v>1</v>
      </c>
      <c r="Z256" s="18" t="s">
        <v>49</v>
      </c>
      <c r="AA256" s="18" t="s">
        <v>1329</v>
      </c>
      <c r="AB256" s="18">
        <v>2018</v>
      </c>
      <c r="AC256" s="16" t="s">
        <v>51</v>
      </c>
      <c r="AD256" s="30"/>
      <c r="AE256" s="16"/>
      <c r="AF256" s="16"/>
      <c r="AG256" s="16"/>
    </row>
    <row r="257" spans="1:33" ht="26" x14ac:dyDescent="0.4">
      <c r="A257" s="15" t="s">
        <v>1319</v>
      </c>
      <c r="B257" s="16">
        <v>9</v>
      </c>
      <c r="C257" s="93">
        <v>255</v>
      </c>
      <c r="D257" s="94" t="s">
        <v>1365</v>
      </c>
      <c r="E257" s="95">
        <v>2052221</v>
      </c>
      <c r="F257" s="95"/>
      <c r="G257" s="19" t="s">
        <v>716</v>
      </c>
      <c r="H257" s="83" t="s">
        <v>1319</v>
      </c>
      <c r="I257" s="21" t="s">
        <v>1366</v>
      </c>
      <c r="J257" s="28" t="s">
        <v>1322</v>
      </c>
      <c r="K257" s="16" t="s">
        <v>1323</v>
      </c>
      <c r="L257" s="22" t="s">
        <v>1367</v>
      </c>
      <c r="M257" s="16" t="s">
        <v>41</v>
      </c>
      <c r="N257" s="16" t="s">
        <v>1325</v>
      </c>
      <c r="O257" s="16"/>
      <c r="P257" s="16" t="s">
        <v>43</v>
      </c>
      <c r="Q257" s="24" t="s">
        <v>17</v>
      </c>
      <c r="R257" s="25" t="s">
        <v>44</v>
      </c>
      <c r="S257" s="16" t="s">
        <v>45</v>
      </c>
      <c r="T257" s="85" t="s">
        <v>1368</v>
      </c>
      <c r="U257" s="85" t="s">
        <v>1369</v>
      </c>
      <c r="V257" s="18" t="s">
        <v>47</v>
      </c>
      <c r="W257" s="28" t="s">
        <v>1328</v>
      </c>
      <c r="X257" s="16">
        <v>1</v>
      </c>
      <c r="Y257" s="29">
        <v>1</v>
      </c>
      <c r="Z257" s="18" t="s">
        <v>49</v>
      </c>
      <c r="AA257" s="18" t="s">
        <v>1329</v>
      </c>
      <c r="AB257" s="18">
        <v>2018</v>
      </c>
      <c r="AC257" s="16" t="s">
        <v>51</v>
      </c>
      <c r="AD257" s="30"/>
      <c r="AE257" s="16"/>
      <c r="AF257" s="16"/>
      <c r="AG257" s="16"/>
    </row>
    <row r="258" spans="1:33" ht="26" x14ac:dyDescent="0.4">
      <c r="A258" s="15" t="s">
        <v>1319</v>
      </c>
      <c r="B258" s="16">
        <v>10</v>
      </c>
      <c r="C258" s="93">
        <v>256</v>
      </c>
      <c r="D258" s="94" t="s">
        <v>1370</v>
      </c>
      <c r="E258" s="95">
        <v>2052221</v>
      </c>
      <c r="F258" s="95"/>
      <c r="G258" s="19" t="s">
        <v>716</v>
      </c>
      <c r="H258" s="83" t="s">
        <v>1319</v>
      </c>
      <c r="I258" s="21" t="s">
        <v>1371</v>
      </c>
      <c r="J258" s="28" t="s">
        <v>1322</v>
      </c>
      <c r="K258" s="16" t="s">
        <v>1323</v>
      </c>
      <c r="L258" s="22" t="s">
        <v>1372</v>
      </c>
      <c r="M258" s="16" t="s">
        <v>41</v>
      </c>
      <c r="N258" s="16" t="s">
        <v>1325</v>
      </c>
      <c r="O258" s="16"/>
      <c r="P258" s="16" t="s">
        <v>43</v>
      </c>
      <c r="Q258" s="24" t="s">
        <v>17</v>
      </c>
      <c r="R258" s="25" t="s">
        <v>44</v>
      </c>
      <c r="S258" s="16" t="s">
        <v>45</v>
      </c>
      <c r="T258" s="85" t="s">
        <v>1373</v>
      </c>
      <c r="U258" s="85" t="s">
        <v>1374</v>
      </c>
      <c r="V258" s="18" t="s">
        <v>47</v>
      </c>
      <c r="W258" s="28" t="s">
        <v>1328</v>
      </c>
      <c r="X258" s="16">
        <v>1</v>
      </c>
      <c r="Y258" s="29">
        <v>1</v>
      </c>
      <c r="Z258" s="18" t="s">
        <v>49</v>
      </c>
      <c r="AA258" s="18" t="s">
        <v>1329</v>
      </c>
      <c r="AB258" s="18">
        <v>2018</v>
      </c>
      <c r="AC258" s="16" t="s">
        <v>51</v>
      </c>
      <c r="AD258" s="30"/>
      <c r="AE258" s="16"/>
      <c r="AF258" s="16"/>
      <c r="AG258" s="16"/>
    </row>
    <row r="259" spans="1:33" ht="26" x14ac:dyDescent="0.4">
      <c r="A259" s="15" t="s">
        <v>1319</v>
      </c>
      <c r="B259" s="16">
        <v>11</v>
      </c>
      <c r="C259" s="93">
        <v>257</v>
      </c>
      <c r="D259" s="94" t="s">
        <v>1375</v>
      </c>
      <c r="E259" s="95">
        <v>2052221</v>
      </c>
      <c r="F259" s="95"/>
      <c r="G259" s="19" t="s">
        <v>716</v>
      </c>
      <c r="H259" s="83" t="s">
        <v>1319</v>
      </c>
      <c r="I259" s="21" t="s">
        <v>1376</v>
      </c>
      <c r="J259" s="28" t="s">
        <v>1322</v>
      </c>
      <c r="K259" s="16" t="s">
        <v>1323</v>
      </c>
      <c r="L259" s="22" t="s">
        <v>1377</v>
      </c>
      <c r="M259" s="16" t="s">
        <v>41</v>
      </c>
      <c r="N259" s="16" t="s">
        <v>1325</v>
      </c>
      <c r="O259" s="16"/>
      <c r="P259" s="16" t="s">
        <v>43</v>
      </c>
      <c r="Q259" s="24" t="s">
        <v>17</v>
      </c>
      <c r="R259" s="25" t="s">
        <v>44</v>
      </c>
      <c r="S259" s="16" t="s">
        <v>45</v>
      </c>
      <c r="T259" s="85" t="s">
        <v>1378</v>
      </c>
      <c r="U259" s="85" t="s">
        <v>1379</v>
      </c>
      <c r="V259" s="18" t="s">
        <v>47</v>
      </c>
      <c r="W259" s="28" t="s">
        <v>1328</v>
      </c>
      <c r="X259" s="16">
        <v>1</v>
      </c>
      <c r="Y259" s="29">
        <v>1</v>
      </c>
      <c r="Z259" s="18" t="s">
        <v>49</v>
      </c>
      <c r="AA259" s="18" t="s">
        <v>1329</v>
      </c>
      <c r="AB259" s="18">
        <v>2018</v>
      </c>
      <c r="AC259" s="16" t="s">
        <v>51</v>
      </c>
      <c r="AD259" s="30"/>
      <c r="AE259" s="16"/>
      <c r="AF259" s="16"/>
      <c r="AG259" s="16"/>
    </row>
    <row r="260" spans="1:33" ht="26" x14ac:dyDescent="0.4">
      <c r="A260" s="15" t="s">
        <v>1319</v>
      </c>
      <c r="B260" s="16">
        <v>12</v>
      </c>
      <c r="C260" s="93">
        <v>258</v>
      </c>
      <c r="D260" s="94" t="s">
        <v>1380</v>
      </c>
      <c r="E260" s="95">
        <v>2052221</v>
      </c>
      <c r="F260" s="95"/>
      <c r="G260" s="19" t="s">
        <v>716</v>
      </c>
      <c r="H260" s="83" t="s">
        <v>1319</v>
      </c>
      <c r="I260" s="21" t="s">
        <v>1381</v>
      </c>
      <c r="J260" s="28" t="s">
        <v>1322</v>
      </c>
      <c r="K260" s="16" t="s">
        <v>1323</v>
      </c>
      <c r="L260" s="22" t="s">
        <v>1382</v>
      </c>
      <c r="M260" s="16" t="s">
        <v>41</v>
      </c>
      <c r="N260" s="16" t="s">
        <v>1325</v>
      </c>
      <c r="O260" s="16"/>
      <c r="P260" s="16" t="s">
        <v>43</v>
      </c>
      <c r="Q260" s="24" t="s">
        <v>17</v>
      </c>
      <c r="R260" s="25" t="s">
        <v>44</v>
      </c>
      <c r="S260" s="16" t="s">
        <v>45</v>
      </c>
      <c r="T260" s="85" t="s">
        <v>1383</v>
      </c>
      <c r="U260" s="85" t="s">
        <v>1384</v>
      </c>
      <c r="V260" s="18" t="s">
        <v>47</v>
      </c>
      <c r="W260" s="28" t="s">
        <v>1328</v>
      </c>
      <c r="X260" s="16">
        <v>1</v>
      </c>
      <c r="Y260" s="29">
        <v>1</v>
      </c>
      <c r="Z260" s="18" t="s">
        <v>49</v>
      </c>
      <c r="AA260" s="18" t="s">
        <v>1329</v>
      </c>
      <c r="AB260" s="18">
        <v>2018</v>
      </c>
      <c r="AC260" s="16" t="s">
        <v>131</v>
      </c>
      <c r="AD260" s="30"/>
      <c r="AE260" s="16"/>
      <c r="AF260" s="16"/>
      <c r="AG260" s="16"/>
    </row>
    <row r="261" spans="1:33" ht="26" x14ac:dyDescent="0.4">
      <c r="A261" s="15" t="s">
        <v>1319</v>
      </c>
      <c r="B261" s="16">
        <v>13</v>
      </c>
      <c r="C261" s="93">
        <v>259</v>
      </c>
      <c r="D261" s="94" t="s">
        <v>1385</v>
      </c>
      <c r="E261" s="95">
        <v>2052221</v>
      </c>
      <c r="F261" s="95"/>
      <c r="G261" s="19" t="s">
        <v>716</v>
      </c>
      <c r="H261" s="83" t="s">
        <v>1319</v>
      </c>
      <c r="I261" s="21" t="s">
        <v>1386</v>
      </c>
      <c r="J261" s="28" t="s">
        <v>1322</v>
      </c>
      <c r="K261" s="16" t="s">
        <v>1323</v>
      </c>
      <c r="L261" s="22" t="s">
        <v>1387</v>
      </c>
      <c r="M261" s="16" t="s">
        <v>41</v>
      </c>
      <c r="N261" s="16" t="s">
        <v>1325</v>
      </c>
      <c r="O261" s="16"/>
      <c r="P261" s="16" t="s">
        <v>43</v>
      </c>
      <c r="Q261" s="24" t="s">
        <v>17</v>
      </c>
      <c r="R261" s="25" t="s">
        <v>44</v>
      </c>
      <c r="S261" s="16" t="s">
        <v>45</v>
      </c>
      <c r="T261" s="85" t="s">
        <v>1388</v>
      </c>
      <c r="U261" s="85" t="s">
        <v>1389</v>
      </c>
      <c r="V261" s="18" t="s">
        <v>47</v>
      </c>
      <c r="W261" s="28" t="s">
        <v>1328</v>
      </c>
      <c r="X261" s="16">
        <v>1</v>
      </c>
      <c r="Y261" s="29">
        <v>1</v>
      </c>
      <c r="Z261" s="18" t="s">
        <v>49</v>
      </c>
      <c r="AA261" s="18" t="s">
        <v>1329</v>
      </c>
      <c r="AB261" s="18">
        <v>2018</v>
      </c>
      <c r="AC261" s="16" t="s">
        <v>51</v>
      </c>
      <c r="AD261" s="30"/>
      <c r="AE261" s="16"/>
      <c r="AF261" s="16"/>
      <c r="AG261" s="16"/>
    </row>
    <row r="262" spans="1:33" ht="26" x14ac:dyDescent="0.4">
      <c r="A262" s="15" t="s">
        <v>1319</v>
      </c>
      <c r="B262" s="16">
        <v>14</v>
      </c>
      <c r="C262" s="93">
        <v>260</v>
      </c>
      <c r="D262" s="94" t="s">
        <v>1390</v>
      </c>
      <c r="E262" s="95">
        <v>2052221</v>
      </c>
      <c r="F262" s="95"/>
      <c r="G262" s="19" t="s">
        <v>716</v>
      </c>
      <c r="H262" s="83" t="s">
        <v>1319</v>
      </c>
      <c r="I262" s="21" t="s">
        <v>1391</v>
      </c>
      <c r="J262" s="28" t="s">
        <v>1322</v>
      </c>
      <c r="K262" s="16" t="s">
        <v>1323</v>
      </c>
      <c r="L262" s="22" t="s">
        <v>1392</v>
      </c>
      <c r="M262" s="16" t="s">
        <v>41</v>
      </c>
      <c r="N262" s="16" t="s">
        <v>1325</v>
      </c>
      <c r="O262" s="16"/>
      <c r="P262" s="16" t="s">
        <v>43</v>
      </c>
      <c r="Q262" s="24" t="s">
        <v>17</v>
      </c>
      <c r="R262" s="25" t="s">
        <v>44</v>
      </c>
      <c r="S262" s="16" t="s">
        <v>45</v>
      </c>
      <c r="T262" s="85" t="s">
        <v>1393</v>
      </c>
      <c r="U262" s="85" t="s">
        <v>1394</v>
      </c>
      <c r="V262" s="18" t="s">
        <v>47</v>
      </c>
      <c r="W262" s="28" t="s">
        <v>1328</v>
      </c>
      <c r="X262" s="16">
        <v>1</v>
      </c>
      <c r="Y262" s="29">
        <v>1</v>
      </c>
      <c r="Z262" s="18" t="s">
        <v>49</v>
      </c>
      <c r="AA262" s="18" t="s">
        <v>1329</v>
      </c>
      <c r="AB262" s="18">
        <v>2018</v>
      </c>
      <c r="AC262" s="16" t="s">
        <v>51</v>
      </c>
      <c r="AD262" s="30"/>
      <c r="AE262" s="16"/>
      <c r="AF262" s="16"/>
      <c r="AG262" s="16"/>
    </row>
    <row r="263" spans="1:33" ht="26" x14ac:dyDescent="0.4">
      <c r="A263" s="15" t="s">
        <v>1319</v>
      </c>
      <c r="B263" s="16">
        <v>15</v>
      </c>
      <c r="C263" s="93">
        <v>261</v>
      </c>
      <c r="D263" s="94" t="s">
        <v>1395</v>
      </c>
      <c r="E263" s="95">
        <v>2052221</v>
      </c>
      <c r="F263" s="95"/>
      <c r="G263" s="19" t="s">
        <v>716</v>
      </c>
      <c r="H263" s="21" t="s">
        <v>1319</v>
      </c>
      <c r="I263" s="21" t="s">
        <v>1396</v>
      </c>
      <c r="J263" s="28" t="s">
        <v>1322</v>
      </c>
      <c r="K263" s="16" t="s">
        <v>1323</v>
      </c>
      <c r="L263" s="22" t="s">
        <v>1397</v>
      </c>
      <c r="M263" s="16" t="s">
        <v>41</v>
      </c>
      <c r="N263" s="16" t="s">
        <v>1325</v>
      </c>
      <c r="O263" s="16"/>
      <c r="P263" s="16" t="s">
        <v>43</v>
      </c>
      <c r="Q263" s="24" t="s">
        <v>17</v>
      </c>
      <c r="R263" s="25" t="s">
        <v>44</v>
      </c>
      <c r="S263" s="16" t="s">
        <v>45</v>
      </c>
      <c r="T263" s="85" t="s">
        <v>1398</v>
      </c>
      <c r="U263" s="85" t="s">
        <v>1399</v>
      </c>
      <c r="V263" s="18" t="s">
        <v>47</v>
      </c>
      <c r="W263" s="28" t="s">
        <v>1328</v>
      </c>
      <c r="X263" s="16">
        <v>1</v>
      </c>
      <c r="Y263" s="29">
        <v>1</v>
      </c>
      <c r="Z263" s="18" t="s">
        <v>49</v>
      </c>
      <c r="AA263" s="18" t="s">
        <v>1329</v>
      </c>
      <c r="AB263" s="18">
        <v>2018</v>
      </c>
      <c r="AC263" s="16" t="s">
        <v>131</v>
      </c>
      <c r="AD263" s="30"/>
      <c r="AE263" s="16"/>
      <c r="AF263" s="16"/>
      <c r="AG263" s="16"/>
    </row>
    <row r="264" spans="1:33" x14ac:dyDescent="0.4">
      <c r="A264" s="15" t="s">
        <v>1400</v>
      </c>
      <c r="B264" s="16">
        <v>1</v>
      </c>
      <c r="C264" s="93">
        <v>262</v>
      </c>
      <c r="D264" s="18" t="s">
        <v>1401</v>
      </c>
      <c r="E264" s="74">
        <v>2324312</v>
      </c>
      <c r="F264" s="74"/>
      <c r="G264" s="24" t="s">
        <v>872</v>
      </c>
      <c r="H264" s="83" t="s">
        <v>1402</v>
      </c>
      <c r="I264" s="83" t="s">
        <v>1403</v>
      </c>
      <c r="J264" s="28" t="s">
        <v>1404</v>
      </c>
      <c r="K264" s="16" t="s">
        <v>1405</v>
      </c>
      <c r="L264" s="16" t="s">
        <v>1406</v>
      </c>
      <c r="M264" s="16" t="s">
        <v>41</v>
      </c>
      <c r="N264" s="16" t="s">
        <v>1407</v>
      </c>
      <c r="O264" s="16"/>
      <c r="P264" s="16" t="s">
        <v>43</v>
      </c>
      <c r="Q264" s="24" t="s">
        <v>17</v>
      </c>
      <c r="R264" s="25" t="s">
        <v>1408</v>
      </c>
      <c r="S264" s="16" t="s">
        <v>68</v>
      </c>
      <c r="T264" s="84" t="s">
        <v>1409</v>
      </c>
      <c r="U264" s="84" t="s">
        <v>1410</v>
      </c>
      <c r="V264" s="31"/>
      <c r="W264" s="28" t="s">
        <v>1411</v>
      </c>
      <c r="X264" s="16"/>
      <c r="Y264" s="29">
        <v>1</v>
      </c>
      <c r="Z264" s="18" t="s">
        <v>49</v>
      </c>
      <c r="AA264" s="18" t="s">
        <v>1412</v>
      </c>
      <c r="AB264" s="18">
        <v>2022</v>
      </c>
      <c r="AC264" s="16" t="s">
        <v>51</v>
      </c>
      <c r="AD264" s="30"/>
      <c r="AE264" s="49"/>
      <c r="AF264" s="49"/>
      <c r="AG264" s="49"/>
    </row>
    <row r="265" spans="1:33" x14ac:dyDescent="0.4">
      <c r="A265" s="15" t="s">
        <v>1400</v>
      </c>
      <c r="B265" s="16">
        <v>2</v>
      </c>
      <c r="C265" s="93">
        <v>263</v>
      </c>
      <c r="D265" s="18" t="s">
        <v>1413</v>
      </c>
      <c r="E265" s="74">
        <v>2324313</v>
      </c>
      <c r="F265" s="74"/>
      <c r="G265" s="24" t="s">
        <v>872</v>
      </c>
      <c r="H265" s="83" t="s">
        <v>1402</v>
      </c>
      <c r="I265" s="83" t="s">
        <v>1414</v>
      </c>
      <c r="J265" s="28" t="s">
        <v>1415</v>
      </c>
      <c r="K265" s="16" t="s">
        <v>1416</v>
      </c>
      <c r="L265" s="16" t="s">
        <v>1417</v>
      </c>
      <c r="M265" s="16" t="s">
        <v>41</v>
      </c>
      <c r="N265" s="16" t="s">
        <v>1407</v>
      </c>
      <c r="O265" s="16"/>
      <c r="P265" s="16" t="s">
        <v>43</v>
      </c>
      <c r="Q265" s="24" t="s">
        <v>17</v>
      </c>
      <c r="R265" s="25" t="s">
        <v>1408</v>
      </c>
      <c r="S265" s="16" t="s">
        <v>68</v>
      </c>
      <c r="T265" s="84" t="s">
        <v>1418</v>
      </c>
      <c r="U265" s="84" t="s">
        <v>1419</v>
      </c>
      <c r="V265" s="31"/>
      <c r="W265" s="28" t="s">
        <v>1411</v>
      </c>
      <c r="X265" s="16"/>
      <c r="Y265" s="29">
        <v>1</v>
      </c>
      <c r="Z265" s="18" t="s">
        <v>49</v>
      </c>
      <c r="AA265" s="18" t="s">
        <v>1412</v>
      </c>
      <c r="AB265" s="18">
        <v>2022</v>
      </c>
      <c r="AC265" s="16" t="s">
        <v>51</v>
      </c>
      <c r="AD265" s="30"/>
      <c r="AE265" s="49"/>
      <c r="AF265" s="49"/>
      <c r="AG265" s="49"/>
    </row>
    <row r="266" spans="1:33" x14ac:dyDescent="0.4">
      <c r="A266" s="15" t="s">
        <v>1400</v>
      </c>
      <c r="B266" s="16">
        <v>3</v>
      </c>
      <c r="C266" s="93">
        <v>264</v>
      </c>
      <c r="D266" s="18" t="s">
        <v>1420</v>
      </c>
      <c r="E266" s="74">
        <v>2324318</v>
      </c>
      <c r="F266" s="96"/>
      <c r="G266" s="24" t="s">
        <v>872</v>
      </c>
      <c r="H266" s="83" t="s">
        <v>1402</v>
      </c>
      <c r="I266" s="97" t="s">
        <v>1421</v>
      </c>
      <c r="J266" s="28" t="s">
        <v>1422</v>
      </c>
      <c r="K266" s="16" t="s">
        <v>1423</v>
      </c>
      <c r="L266" s="22" t="s">
        <v>1424</v>
      </c>
      <c r="M266" s="16" t="s">
        <v>41</v>
      </c>
      <c r="N266" s="16" t="s">
        <v>1407</v>
      </c>
      <c r="O266" s="16"/>
      <c r="P266" s="16" t="s">
        <v>43</v>
      </c>
      <c r="Q266" s="24" t="s">
        <v>17</v>
      </c>
      <c r="R266" s="25" t="s">
        <v>1408</v>
      </c>
      <c r="S266" s="16" t="s">
        <v>68</v>
      </c>
      <c r="T266" s="85" t="s">
        <v>1425</v>
      </c>
      <c r="U266" s="84" t="s">
        <v>1426</v>
      </c>
      <c r="V266" s="31"/>
      <c r="W266" s="28" t="s">
        <v>1411</v>
      </c>
      <c r="X266" s="16"/>
      <c r="Y266" s="29">
        <v>1</v>
      </c>
      <c r="Z266" s="18" t="s">
        <v>49</v>
      </c>
      <c r="AA266" s="18" t="s">
        <v>1412</v>
      </c>
      <c r="AB266" s="18">
        <v>2022</v>
      </c>
      <c r="AC266" s="16" t="s">
        <v>51</v>
      </c>
      <c r="AD266" s="30"/>
      <c r="AE266" s="29"/>
      <c r="AF266" s="29"/>
      <c r="AG266" s="29"/>
    </row>
    <row r="267" spans="1:33" x14ac:dyDescent="0.4">
      <c r="A267" s="15" t="s">
        <v>1400</v>
      </c>
      <c r="B267" s="16">
        <v>4</v>
      </c>
      <c r="C267" s="93">
        <v>265</v>
      </c>
      <c r="D267" s="18" t="s">
        <v>1427</v>
      </c>
      <c r="E267" s="74">
        <v>2324314</v>
      </c>
      <c r="F267" s="96"/>
      <c r="G267" s="24" t="s">
        <v>872</v>
      </c>
      <c r="H267" s="83" t="s">
        <v>1402</v>
      </c>
      <c r="I267" s="97" t="s">
        <v>1428</v>
      </c>
      <c r="J267" s="28" t="s">
        <v>1429</v>
      </c>
      <c r="K267" s="16" t="s">
        <v>1430</v>
      </c>
      <c r="L267" s="22" t="s">
        <v>1431</v>
      </c>
      <c r="M267" s="16" t="s">
        <v>41</v>
      </c>
      <c r="N267" s="16" t="s">
        <v>1407</v>
      </c>
      <c r="O267" s="16"/>
      <c r="P267" s="16" t="s">
        <v>43</v>
      </c>
      <c r="Q267" s="24" t="s">
        <v>17</v>
      </c>
      <c r="R267" s="25" t="s">
        <v>1408</v>
      </c>
      <c r="S267" s="16" t="s">
        <v>68</v>
      </c>
      <c r="T267" s="84" t="s">
        <v>1432</v>
      </c>
      <c r="U267" s="98">
        <v>-78.536480999999995</v>
      </c>
      <c r="V267" s="31"/>
      <c r="W267" s="28" t="s">
        <v>1411</v>
      </c>
      <c r="X267" s="16"/>
      <c r="Y267" s="29">
        <v>1</v>
      </c>
      <c r="Z267" s="18" t="s">
        <v>49</v>
      </c>
      <c r="AA267" s="18" t="s">
        <v>1412</v>
      </c>
      <c r="AB267" s="18">
        <v>2022</v>
      </c>
      <c r="AC267" s="16" t="s">
        <v>51</v>
      </c>
      <c r="AD267" s="30"/>
      <c r="AE267" s="29"/>
      <c r="AF267" s="29"/>
      <c r="AG267" s="29"/>
    </row>
    <row r="268" spans="1:33" x14ac:dyDescent="0.4">
      <c r="A268" s="15" t="s">
        <v>1400</v>
      </c>
      <c r="B268" s="16">
        <v>5</v>
      </c>
      <c r="C268" s="93">
        <v>266</v>
      </c>
      <c r="D268" s="18" t="s">
        <v>1433</v>
      </c>
      <c r="E268" s="74">
        <v>2324316</v>
      </c>
      <c r="F268" s="96"/>
      <c r="G268" s="24" t="s">
        <v>872</v>
      </c>
      <c r="H268" s="83" t="s">
        <v>1402</v>
      </c>
      <c r="I268" s="97" t="s">
        <v>1434</v>
      </c>
      <c r="J268" s="28" t="s">
        <v>1435</v>
      </c>
      <c r="K268" s="16" t="s">
        <v>1436</v>
      </c>
      <c r="L268" s="22" t="s">
        <v>1437</v>
      </c>
      <c r="M268" s="16" t="s">
        <v>41</v>
      </c>
      <c r="N268" s="16" t="s">
        <v>1407</v>
      </c>
      <c r="O268" s="16"/>
      <c r="P268" s="16" t="s">
        <v>43</v>
      </c>
      <c r="Q268" s="24" t="s">
        <v>17</v>
      </c>
      <c r="R268" s="25" t="s">
        <v>1408</v>
      </c>
      <c r="S268" s="16" t="s">
        <v>68</v>
      </c>
      <c r="T268" s="85" t="s">
        <v>1438</v>
      </c>
      <c r="U268" s="85" t="s">
        <v>1439</v>
      </c>
      <c r="V268" s="31"/>
      <c r="W268" s="28" t="s">
        <v>1411</v>
      </c>
      <c r="X268" s="16"/>
      <c r="Y268" s="29">
        <v>1</v>
      </c>
      <c r="Z268" s="18" t="s">
        <v>49</v>
      </c>
      <c r="AA268" s="18" t="s">
        <v>1412</v>
      </c>
      <c r="AB268" s="18">
        <v>2022</v>
      </c>
      <c r="AC268" s="16" t="s">
        <v>51</v>
      </c>
      <c r="AD268" s="30"/>
      <c r="AE268" s="29"/>
      <c r="AF268" s="29"/>
      <c r="AG268" s="29"/>
    </row>
    <row r="269" spans="1:33" x14ac:dyDescent="0.4">
      <c r="A269" s="15" t="s">
        <v>1400</v>
      </c>
      <c r="B269" s="16">
        <v>6</v>
      </c>
      <c r="C269" s="93">
        <v>267</v>
      </c>
      <c r="D269" s="18" t="s">
        <v>1440</v>
      </c>
      <c r="E269" s="74">
        <v>2324315</v>
      </c>
      <c r="F269" s="96"/>
      <c r="G269" s="24" t="s">
        <v>872</v>
      </c>
      <c r="H269" s="83" t="s">
        <v>1402</v>
      </c>
      <c r="I269" s="97" t="s">
        <v>1441</v>
      </c>
      <c r="J269" s="28" t="s">
        <v>1442</v>
      </c>
      <c r="K269" s="16" t="s">
        <v>1443</v>
      </c>
      <c r="L269" s="99" t="s">
        <v>1444</v>
      </c>
      <c r="M269" s="16" t="s">
        <v>41</v>
      </c>
      <c r="N269" s="16" t="s">
        <v>1445</v>
      </c>
      <c r="O269" s="16"/>
      <c r="P269" s="16" t="s">
        <v>43</v>
      </c>
      <c r="Q269" s="24" t="s">
        <v>17</v>
      </c>
      <c r="R269" s="25" t="s">
        <v>1408</v>
      </c>
      <c r="S269" s="16" t="s">
        <v>45</v>
      </c>
      <c r="T269" s="85" t="s">
        <v>1446</v>
      </c>
      <c r="U269" s="85" t="s">
        <v>1447</v>
      </c>
      <c r="V269" s="31"/>
      <c r="W269" s="28" t="s">
        <v>1411</v>
      </c>
      <c r="X269" s="16"/>
      <c r="Y269" s="29">
        <v>1</v>
      </c>
      <c r="Z269" s="18" t="s">
        <v>49</v>
      </c>
      <c r="AA269" s="18" t="s">
        <v>1412</v>
      </c>
      <c r="AB269" s="18">
        <v>2022</v>
      </c>
      <c r="AC269" s="16" t="s">
        <v>51</v>
      </c>
      <c r="AD269" s="30"/>
      <c r="AE269" s="29"/>
      <c r="AF269" s="29"/>
      <c r="AG269" s="29"/>
    </row>
    <row r="270" spans="1:33" x14ac:dyDescent="0.4">
      <c r="A270" s="15" t="s">
        <v>1400</v>
      </c>
      <c r="B270" s="16">
        <v>7</v>
      </c>
      <c r="C270" s="93">
        <v>268</v>
      </c>
      <c r="D270" s="18" t="s">
        <v>1448</v>
      </c>
      <c r="E270" s="95">
        <v>2324310</v>
      </c>
      <c r="F270" s="95"/>
      <c r="G270" s="24" t="s">
        <v>872</v>
      </c>
      <c r="H270" s="83" t="s">
        <v>1402</v>
      </c>
      <c r="I270" s="97" t="s">
        <v>1449</v>
      </c>
      <c r="J270" s="28" t="s">
        <v>1450</v>
      </c>
      <c r="K270" s="16" t="s">
        <v>1451</v>
      </c>
      <c r="L270" s="22" t="s">
        <v>1452</v>
      </c>
      <c r="M270" s="16" t="s">
        <v>41</v>
      </c>
      <c r="N270" s="16" t="s">
        <v>1407</v>
      </c>
      <c r="O270" s="16"/>
      <c r="P270" s="16" t="s">
        <v>43</v>
      </c>
      <c r="Q270" s="24" t="s">
        <v>17</v>
      </c>
      <c r="R270" s="25" t="s">
        <v>1408</v>
      </c>
      <c r="S270" s="16" t="s">
        <v>68</v>
      </c>
      <c r="T270" s="85" t="s">
        <v>1453</v>
      </c>
      <c r="U270" s="85" t="s">
        <v>1454</v>
      </c>
      <c r="V270" s="31"/>
      <c r="W270" s="28" t="s">
        <v>1411</v>
      </c>
      <c r="X270" s="16">
        <v>1</v>
      </c>
      <c r="Y270" s="29">
        <v>1</v>
      </c>
      <c r="Z270" s="18" t="s">
        <v>49</v>
      </c>
      <c r="AA270" s="18" t="s">
        <v>1412</v>
      </c>
      <c r="AB270" s="18">
        <v>2022</v>
      </c>
      <c r="AC270" s="16" t="s">
        <v>51</v>
      </c>
      <c r="AD270" s="30"/>
      <c r="AE270" s="16"/>
      <c r="AF270" s="16"/>
      <c r="AG270" s="16"/>
    </row>
    <row r="271" spans="1:33" x14ac:dyDescent="0.4">
      <c r="A271" s="6" t="s">
        <v>1455</v>
      </c>
      <c r="B271" s="16">
        <v>1</v>
      </c>
      <c r="C271" s="18">
        <v>269</v>
      </c>
      <c r="D271" s="42"/>
      <c r="E271" s="49" t="s">
        <v>1456</v>
      </c>
      <c r="F271" s="49"/>
      <c r="G271" s="24" t="s">
        <v>999</v>
      </c>
      <c r="H271" s="83" t="s">
        <v>1457</v>
      </c>
      <c r="I271" s="83" t="s">
        <v>1458</v>
      </c>
      <c r="J271" s="49" t="s">
        <v>1459</v>
      </c>
      <c r="K271" s="49" t="s">
        <v>1460</v>
      </c>
      <c r="L271" s="49" t="s">
        <v>1461</v>
      </c>
      <c r="M271" s="16" t="s">
        <v>1462</v>
      </c>
      <c r="N271" s="16" t="s">
        <v>1463</v>
      </c>
      <c r="O271" s="16" t="s">
        <v>1464</v>
      </c>
      <c r="P271" s="16" t="s">
        <v>1462</v>
      </c>
      <c r="Q271" s="24" t="s">
        <v>116</v>
      </c>
      <c r="R271" s="66" t="s">
        <v>1465</v>
      </c>
      <c r="S271" s="49" t="s">
        <v>45</v>
      </c>
      <c r="T271" s="84" t="s">
        <v>1466</v>
      </c>
      <c r="U271" s="84" t="s">
        <v>1467</v>
      </c>
      <c r="V271" s="31"/>
      <c r="W271" s="44" t="s">
        <v>1468</v>
      </c>
      <c r="X271" s="44"/>
      <c r="Y271" s="49">
        <v>1</v>
      </c>
      <c r="Z271" s="18" t="s">
        <v>49</v>
      </c>
      <c r="AA271" s="100" t="s">
        <v>1469</v>
      </c>
      <c r="AB271" s="18">
        <v>2018</v>
      </c>
      <c r="AC271" s="16" t="s">
        <v>131</v>
      </c>
      <c r="AD271" s="30" t="s">
        <v>1470</v>
      </c>
      <c r="AE271" s="49"/>
      <c r="AF271" s="49"/>
      <c r="AG271" s="49"/>
    </row>
    <row r="272" spans="1:33" ht="26" x14ac:dyDescent="0.4">
      <c r="A272" s="6" t="s">
        <v>1455</v>
      </c>
      <c r="B272" s="16">
        <v>2</v>
      </c>
      <c r="C272" s="18">
        <v>270</v>
      </c>
      <c r="D272" s="18"/>
      <c r="E272" s="49" t="s">
        <v>1456</v>
      </c>
      <c r="F272" s="49"/>
      <c r="G272" s="24" t="s">
        <v>999</v>
      </c>
      <c r="H272" s="83" t="s">
        <v>1457</v>
      </c>
      <c r="I272" s="83" t="s">
        <v>1471</v>
      </c>
      <c r="J272" s="49" t="s">
        <v>1459</v>
      </c>
      <c r="K272" s="49" t="s">
        <v>1460</v>
      </c>
      <c r="L272" s="49" t="s">
        <v>1472</v>
      </c>
      <c r="M272" s="16" t="s">
        <v>1462</v>
      </c>
      <c r="N272" s="16" t="s">
        <v>1463</v>
      </c>
      <c r="O272" s="16" t="s">
        <v>1473</v>
      </c>
      <c r="P272" s="16" t="s">
        <v>1462</v>
      </c>
      <c r="Q272" s="24" t="s">
        <v>116</v>
      </c>
      <c r="R272" s="66" t="s">
        <v>1465</v>
      </c>
      <c r="S272" s="29" t="s">
        <v>45</v>
      </c>
      <c r="T272" s="84" t="s">
        <v>1474</v>
      </c>
      <c r="U272" s="84" t="s">
        <v>1475</v>
      </c>
      <c r="V272" s="31"/>
      <c r="W272" s="66" t="s">
        <v>1468</v>
      </c>
      <c r="X272" s="66"/>
      <c r="Y272" s="29">
        <v>1</v>
      </c>
      <c r="Z272" s="18" t="s">
        <v>49</v>
      </c>
      <c r="AA272" s="100" t="s">
        <v>1469</v>
      </c>
      <c r="AB272" s="100">
        <v>2018</v>
      </c>
      <c r="AC272" s="16" t="s">
        <v>131</v>
      </c>
      <c r="AD272" s="30"/>
      <c r="AE272" s="49"/>
      <c r="AF272" s="49"/>
      <c r="AG272" s="49"/>
    </row>
    <row r="273" spans="1:33" x14ac:dyDescent="0.4">
      <c r="A273" s="6" t="s">
        <v>1455</v>
      </c>
      <c r="B273" s="16">
        <v>3</v>
      </c>
      <c r="C273" s="18">
        <v>271</v>
      </c>
      <c r="D273" s="18"/>
      <c r="E273" s="49" t="s">
        <v>1456</v>
      </c>
      <c r="F273" s="49"/>
      <c r="G273" s="24" t="s">
        <v>999</v>
      </c>
      <c r="H273" s="83" t="s">
        <v>1457</v>
      </c>
      <c r="I273" s="83" t="s">
        <v>1476</v>
      </c>
      <c r="J273" s="49" t="s">
        <v>1459</v>
      </c>
      <c r="K273" s="49" t="s">
        <v>1460</v>
      </c>
      <c r="L273" s="49" t="s">
        <v>1477</v>
      </c>
      <c r="M273" s="16" t="s">
        <v>1462</v>
      </c>
      <c r="N273" s="16" t="s">
        <v>1463</v>
      </c>
      <c r="O273" s="16" t="s">
        <v>1478</v>
      </c>
      <c r="P273" s="16" t="s">
        <v>1462</v>
      </c>
      <c r="Q273" s="24" t="s">
        <v>116</v>
      </c>
      <c r="R273" s="66" t="s">
        <v>1465</v>
      </c>
      <c r="S273" s="49" t="s">
        <v>45</v>
      </c>
      <c r="T273" s="84" t="s">
        <v>1479</v>
      </c>
      <c r="U273" s="84" t="s">
        <v>1480</v>
      </c>
      <c r="V273" s="31"/>
      <c r="W273" s="66" t="s">
        <v>1468</v>
      </c>
      <c r="X273" s="66"/>
      <c r="Y273" s="29">
        <v>1</v>
      </c>
      <c r="Z273" s="18" t="s">
        <v>49</v>
      </c>
      <c r="AA273" s="100" t="s">
        <v>1469</v>
      </c>
      <c r="AB273" s="18">
        <v>2018</v>
      </c>
      <c r="AC273" s="16" t="s">
        <v>51</v>
      </c>
      <c r="AD273" s="30"/>
      <c r="AE273" s="49"/>
      <c r="AF273" s="49"/>
      <c r="AG273" s="49"/>
    </row>
    <row r="274" spans="1:33" x14ac:dyDescent="0.4">
      <c r="A274" s="6" t="s">
        <v>1455</v>
      </c>
      <c r="B274" s="49">
        <v>4</v>
      </c>
      <c r="C274" s="18">
        <v>272</v>
      </c>
      <c r="D274" s="18"/>
      <c r="E274" s="49" t="s">
        <v>1456</v>
      </c>
      <c r="F274" s="49"/>
      <c r="G274" s="24" t="s">
        <v>999</v>
      </c>
      <c r="H274" s="83" t="s">
        <v>1457</v>
      </c>
      <c r="I274" s="83" t="s">
        <v>1481</v>
      </c>
      <c r="J274" s="49" t="s">
        <v>1459</v>
      </c>
      <c r="K274" s="49" t="s">
        <v>1460</v>
      </c>
      <c r="L274" s="49" t="s">
        <v>1482</v>
      </c>
      <c r="M274" s="16" t="s">
        <v>1462</v>
      </c>
      <c r="N274" s="16" t="s">
        <v>1463</v>
      </c>
      <c r="O274" s="16" t="s">
        <v>1483</v>
      </c>
      <c r="P274" s="16" t="s">
        <v>1462</v>
      </c>
      <c r="Q274" s="24" t="s">
        <v>116</v>
      </c>
      <c r="R274" s="66" t="s">
        <v>1465</v>
      </c>
      <c r="S274" s="49" t="s">
        <v>45</v>
      </c>
      <c r="T274" s="84" t="s">
        <v>1484</v>
      </c>
      <c r="U274" s="84" t="s">
        <v>1485</v>
      </c>
      <c r="V274" s="31"/>
      <c r="W274" s="66" t="s">
        <v>1468</v>
      </c>
      <c r="X274" s="66"/>
      <c r="Y274" s="29">
        <v>1</v>
      </c>
      <c r="Z274" s="18" t="s">
        <v>49</v>
      </c>
      <c r="AA274" s="100" t="s">
        <v>1469</v>
      </c>
      <c r="AB274" s="18">
        <v>2019</v>
      </c>
      <c r="AC274" s="16" t="s">
        <v>51</v>
      </c>
      <c r="AD274" s="30"/>
      <c r="AE274" s="49"/>
      <c r="AF274" s="49"/>
      <c r="AG274" s="49"/>
    </row>
    <row r="275" spans="1:33" x14ac:dyDescent="0.4">
      <c r="A275" s="6" t="s">
        <v>1486</v>
      </c>
      <c r="B275" s="16">
        <v>1</v>
      </c>
      <c r="C275" s="18">
        <v>273</v>
      </c>
      <c r="D275" s="18"/>
      <c r="E275" s="49" t="s">
        <v>1456</v>
      </c>
      <c r="F275" s="49"/>
      <c r="G275" s="24" t="s">
        <v>999</v>
      </c>
      <c r="H275" s="83" t="s">
        <v>1487</v>
      </c>
      <c r="I275" s="83" t="s">
        <v>1488</v>
      </c>
      <c r="J275" s="49" t="s">
        <v>1459</v>
      </c>
      <c r="K275" s="49" t="s">
        <v>1460</v>
      </c>
      <c r="L275" s="49" t="s">
        <v>1489</v>
      </c>
      <c r="M275" s="16" t="s">
        <v>1462</v>
      </c>
      <c r="N275" s="16" t="s">
        <v>1490</v>
      </c>
      <c r="O275" s="16" t="s">
        <v>1491</v>
      </c>
      <c r="P275" s="16" t="s">
        <v>1462</v>
      </c>
      <c r="Q275" s="24" t="s">
        <v>116</v>
      </c>
      <c r="R275" s="66" t="s">
        <v>1492</v>
      </c>
      <c r="S275" s="29" t="s">
        <v>45</v>
      </c>
      <c r="T275" s="84" t="s">
        <v>1493</v>
      </c>
      <c r="U275" s="84" t="s">
        <v>1494</v>
      </c>
      <c r="V275" s="31"/>
      <c r="W275" s="66" t="s">
        <v>1468</v>
      </c>
      <c r="X275" s="66"/>
      <c r="Y275" s="29">
        <v>1</v>
      </c>
      <c r="Z275" s="18" t="s">
        <v>49</v>
      </c>
      <c r="AA275" s="18" t="s">
        <v>1495</v>
      </c>
      <c r="AB275" s="18">
        <v>2020</v>
      </c>
      <c r="AC275" s="16" t="s">
        <v>51</v>
      </c>
      <c r="AD275" s="30"/>
      <c r="AE275" s="49"/>
      <c r="AF275" s="49"/>
      <c r="AG275" s="49"/>
    </row>
    <row r="276" spans="1:33" x14ac:dyDescent="0.4">
      <c r="A276" s="6" t="s">
        <v>1486</v>
      </c>
      <c r="B276" s="16">
        <v>2</v>
      </c>
      <c r="C276" s="18">
        <v>274</v>
      </c>
      <c r="D276" s="18"/>
      <c r="E276" s="49" t="s">
        <v>1456</v>
      </c>
      <c r="F276" s="49"/>
      <c r="G276" s="24" t="s">
        <v>999</v>
      </c>
      <c r="H276" s="83" t="s">
        <v>1487</v>
      </c>
      <c r="I276" s="83" t="s">
        <v>1496</v>
      </c>
      <c r="J276" s="49" t="s">
        <v>1459</v>
      </c>
      <c r="K276" s="49" t="s">
        <v>1460</v>
      </c>
      <c r="L276" s="49" t="s">
        <v>1497</v>
      </c>
      <c r="M276" s="16" t="s">
        <v>1462</v>
      </c>
      <c r="N276" s="16" t="s">
        <v>1490</v>
      </c>
      <c r="O276" s="16" t="s">
        <v>1498</v>
      </c>
      <c r="P276" s="16" t="s">
        <v>1462</v>
      </c>
      <c r="Q276" s="24" t="s">
        <v>116</v>
      </c>
      <c r="R276" s="66" t="s">
        <v>1492</v>
      </c>
      <c r="S276" s="29" t="s">
        <v>45</v>
      </c>
      <c r="T276" s="84" t="s">
        <v>1499</v>
      </c>
      <c r="U276" s="84" t="s">
        <v>1500</v>
      </c>
      <c r="V276" s="31"/>
      <c r="W276" s="66" t="s">
        <v>1468</v>
      </c>
      <c r="X276" s="66"/>
      <c r="Y276" s="29">
        <v>1</v>
      </c>
      <c r="Z276" s="18" t="s">
        <v>49</v>
      </c>
      <c r="AA276" s="18" t="s">
        <v>1495</v>
      </c>
      <c r="AB276" s="18">
        <v>2020</v>
      </c>
      <c r="AC276" s="16" t="s">
        <v>51</v>
      </c>
      <c r="AD276" s="30"/>
      <c r="AE276" s="49"/>
      <c r="AF276" s="49"/>
      <c r="AG276" s="49"/>
    </row>
    <row r="277" spans="1:33" x14ac:dyDescent="0.4">
      <c r="A277" s="6" t="s">
        <v>1486</v>
      </c>
      <c r="B277" s="16">
        <v>3</v>
      </c>
      <c r="C277" s="18">
        <v>275</v>
      </c>
      <c r="D277" s="18"/>
      <c r="E277" s="49" t="s">
        <v>1456</v>
      </c>
      <c r="F277" s="49"/>
      <c r="G277" s="24" t="s">
        <v>999</v>
      </c>
      <c r="H277" s="83" t="s">
        <v>1487</v>
      </c>
      <c r="I277" s="83" t="s">
        <v>1501</v>
      </c>
      <c r="J277" s="49" t="s">
        <v>1459</v>
      </c>
      <c r="K277" s="49" t="s">
        <v>1460</v>
      </c>
      <c r="L277" s="49" t="s">
        <v>1502</v>
      </c>
      <c r="M277" s="16" t="s">
        <v>1462</v>
      </c>
      <c r="N277" s="16" t="s">
        <v>1490</v>
      </c>
      <c r="O277" s="16" t="s">
        <v>1503</v>
      </c>
      <c r="P277" s="16" t="s">
        <v>1462</v>
      </c>
      <c r="Q277" s="24" t="s">
        <v>116</v>
      </c>
      <c r="R277" s="66" t="s">
        <v>1492</v>
      </c>
      <c r="S277" s="29" t="s">
        <v>45</v>
      </c>
      <c r="T277" s="84" t="s">
        <v>1504</v>
      </c>
      <c r="U277" s="84" t="s">
        <v>1505</v>
      </c>
      <c r="V277" s="31"/>
      <c r="W277" s="66" t="s">
        <v>1468</v>
      </c>
      <c r="X277" s="66"/>
      <c r="Y277" s="29">
        <v>1</v>
      </c>
      <c r="Z277" s="18" t="s">
        <v>49</v>
      </c>
      <c r="AA277" s="18" t="s">
        <v>1495</v>
      </c>
      <c r="AB277" s="18">
        <v>2020</v>
      </c>
      <c r="AC277" s="16" t="s">
        <v>51</v>
      </c>
      <c r="AD277" s="30"/>
      <c r="AE277" s="49"/>
      <c r="AF277" s="49"/>
      <c r="AG277" s="49"/>
    </row>
    <row r="278" spans="1:33" x14ac:dyDescent="0.4">
      <c r="A278" s="6" t="s">
        <v>1486</v>
      </c>
      <c r="B278" s="16">
        <v>4</v>
      </c>
      <c r="C278" s="18">
        <v>276</v>
      </c>
      <c r="D278" s="18"/>
      <c r="E278" s="49" t="s">
        <v>1456</v>
      </c>
      <c r="F278" s="49"/>
      <c r="G278" s="24" t="s">
        <v>999</v>
      </c>
      <c r="H278" s="83" t="s">
        <v>1487</v>
      </c>
      <c r="I278" s="83" t="s">
        <v>1506</v>
      </c>
      <c r="J278" s="49" t="s">
        <v>1459</v>
      </c>
      <c r="K278" s="49" t="s">
        <v>1460</v>
      </c>
      <c r="L278" s="49" t="s">
        <v>1507</v>
      </c>
      <c r="M278" s="16" t="s">
        <v>1462</v>
      </c>
      <c r="N278" s="16" t="s">
        <v>1490</v>
      </c>
      <c r="O278" s="16" t="s">
        <v>1508</v>
      </c>
      <c r="P278" s="16" t="s">
        <v>1462</v>
      </c>
      <c r="Q278" s="24" t="s">
        <v>116</v>
      </c>
      <c r="R278" s="66" t="s">
        <v>1492</v>
      </c>
      <c r="S278" s="29" t="s">
        <v>45</v>
      </c>
      <c r="T278" s="84" t="s">
        <v>1509</v>
      </c>
      <c r="U278" s="84" t="s">
        <v>1510</v>
      </c>
      <c r="V278" s="31"/>
      <c r="W278" s="66" t="s">
        <v>1468</v>
      </c>
      <c r="X278" s="66"/>
      <c r="Y278" s="29">
        <v>1</v>
      </c>
      <c r="Z278" s="18" t="s">
        <v>49</v>
      </c>
      <c r="AA278" s="18" t="s">
        <v>1495</v>
      </c>
      <c r="AB278" s="18">
        <v>2020</v>
      </c>
      <c r="AC278" s="16" t="s">
        <v>51</v>
      </c>
      <c r="AD278" s="30"/>
      <c r="AE278" s="49"/>
      <c r="AF278" s="49"/>
      <c r="AG278" s="49"/>
    </row>
    <row r="279" spans="1:33" ht="52" x14ac:dyDescent="0.4">
      <c r="A279" s="6" t="s">
        <v>1511</v>
      </c>
      <c r="B279" s="16">
        <v>1</v>
      </c>
      <c r="C279" s="18">
        <v>277</v>
      </c>
      <c r="D279" s="17"/>
      <c r="E279" s="49" t="s">
        <v>1456</v>
      </c>
      <c r="F279" s="49"/>
      <c r="G279" s="24" t="s">
        <v>999</v>
      </c>
      <c r="H279" s="83" t="s">
        <v>1511</v>
      </c>
      <c r="I279" s="83" t="s">
        <v>1512</v>
      </c>
      <c r="J279" s="49" t="s">
        <v>1459</v>
      </c>
      <c r="K279" s="49" t="s">
        <v>1460</v>
      </c>
      <c r="L279" s="49" t="s">
        <v>1513</v>
      </c>
      <c r="M279" s="44" t="s">
        <v>1514</v>
      </c>
      <c r="N279" s="49" t="s">
        <v>1515</v>
      </c>
      <c r="O279" s="101" t="s">
        <v>1516</v>
      </c>
      <c r="P279" s="74" t="s">
        <v>1514</v>
      </c>
      <c r="Q279" s="24" t="s">
        <v>116</v>
      </c>
      <c r="R279" s="44" t="s">
        <v>1517</v>
      </c>
      <c r="S279" s="49" t="s">
        <v>45</v>
      </c>
      <c r="T279" s="84" t="s">
        <v>1518</v>
      </c>
      <c r="U279" s="84" t="s">
        <v>1519</v>
      </c>
      <c r="V279" s="31"/>
      <c r="W279" s="49" t="s">
        <v>1468</v>
      </c>
      <c r="X279" s="66"/>
      <c r="Y279" s="29">
        <v>1</v>
      </c>
      <c r="Z279" s="18" t="s">
        <v>49</v>
      </c>
      <c r="AA279" s="18">
        <v>4321</v>
      </c>
      <c r="AB279" s="17">
        <v>2012</v>
      </c>
      <c r="AC279" s="16" t="s">
        <v>51</v>
      </c>
      <c r="AD279" s="30" t="s">
        <v>1520</v>
      </c>
      <c r="AE279" s="49"/>
      <c r="AF279" s="49"/>
      <c r="AG279" s="49"/>
    </row>
    <row r="280" spans="1:33" ht="52" x14ac:dyDescent="0.4">
      <c r="A280" s="6" t="s">
        <v>1511</v>
      </c>
      <c r="B280" s="16">
        <v>2</v>
      </c>
      <c r="C280" s="18">
        <v>278</v>
      </c>
      <c r="D280" s="17"/>
      <c r="E280" s="49" t="s">
        <v>1456</v>
      </c>
      <c r="F280" s="49"/>
      <c r="G280" s="24" t="s">
        <v>999</v>
      </c>
      <c r="H280" s="83" t="s">
        <v>1511</v>
      </c>
      <c r="I280" s="83" t="s">
        <v>1521</v>
      </c>
      <c r="J280" s="49" t="s">
        <v>1459</v>
      </c>
      <c r="K280" s="49" t="s">
        <v>1460</v>
      </c>
      <c r="L280" s="49" t="s">
        <v>1522</v>
      </c>
      <c r="M280" s="44" t="s">
        <v>1514</v>
      </c>
      <c r="N280" s="49" t="s">
        <v>1515</v>
      </c>
      <c r="O280" s="101" t="s">
        <v>1523</v>
      </c>
      <c r="P280" s="74" t="s">
        <v>1514</v>
      </c>
      <c r="Q280" s="24" t="s">
        <v>116</v>
      </c>
      <c r="R280" s="44" t="s">
        <v>1517</v>
      </c>
      <c r="S280" s="49" t="s">
        <v>45</v>
      </c>
      <c r="T280" s="84" t="s">
        <v>1524</v>
      </c>
      <c r="U280" s="84" t="s">
        <v>1525</v>
      </c>
      <c r="V280" s="31"/>
      <c r="W280" s="49" t="s">
        <v>1468</v>
      </c>
      <c r="X280" s="44"/>
      <c r="Y280" s="49">
        <v>1</v>
      </c>
      <c r="Z280" s="18" t="s">
        <v>49</v>
      </c>
      <c r="AA280" s="18">
        <v>4321</v>
      </c>
      <c r="AB280" s="17">
        <v>2012</v>
      </c>
      <c r="AC280" s="16" t="s">
        <v>51</v>
      </c>
      <c r="AD280" s="30" t="s">
        <v>1520</v>
      </c>
      <c r="AE280" s="49"/>
      <c r="AF280" s="49"/>
      <c r="AG280" s="49"/>
    </row>
    <row r="281" spans="1:33" ht="52" x14ac:dyDescent="0.4">
      <c r="A281" s="6" t="s">
        <v>1511</v>
      </c>
      <c r="B281" s="16">
        <v>3</v>
      </c>
      <c r="C281" s="18">
        <v>279</v>
      </c>
      <c r="D281" s="17"/>
      <c r="E281" s="49" t="s">
        <v>1456</v>
      </c>
      <c r="F281" s="49"/>
      <c r="G281" s="24" t="s">
        <v>999</v>
      </c>
      <c r="H281" s="83" t="s">
        <v>1511</v>
      </c>
      <c r="I281" s="83" t="s">
        <v>1526</v>
      </c>
      <c r="J281" s="49" t="s">
        <v>1459</v>
      </c>
      <c r="K281" s="49" t="s">
        <v>1460</v>
      </c>
      <c r="L281" s="49" t="s">
        <v>1527</v>
      </c>
      <c r="M281" s="44" t="s">
        <v>1514</v>
      </c>
      <c r="N281" s="49" t="s">
        <v>1515</v>
      </c>
      <c r="O281" s="101" t="s">
        <v>1528</v>
      </c>
      <c r="P281" s="74" t="s">
        <v>1514</v>
      </c>
      <c r="Q281" s="24" t="s">
        <v>116</v>
      </c>
      <c r="R281" s="44" t="s">
        <v>1517</v>
      </c>
      <c r="S281" s="49" t="s">
        <v>45</v>
      </c>
      <c r="T281" s="84" t="s">
        <v>1529</v>
      </c>
      <c r="U281" s="84" t="s">
        <v>1530</v>
      </c>
      <c r="V281" s="31"/>
      <c r="W281" s="49" t="s">
        <v>1468</v>
      </c>
      <c r="X281" s="44"/>
      <c r="Y281" s="49">
        <v>1</v>
      </c>
      <c r="Z281" s="18" t="s">
        <v>49</v>
      </c>
      <c r="AA281" s="18">
        <v>4321</v>
      </c>
      <c r="AB281" s="17">
        <v>2012</v>
      </c>
      <c r="AC281" s="16" t="s">
        <v>51</v>
      </c>
      <c r="AD281" s="30" t="s">
        <v>1520</v>
      </c>
      <c r="AE281" s="49"/>
      <c r="AF281" s="49"/>
      <c r="AG281" s="49"/>
    </row>
    <row r="282" spans="1:33" ht="52" x14ac:dyDescent="0.4">
      <c r="A282" s="6" t="s">
        <v>1511</v>
      </c>
      <c r="B282" s="16">
        <v>4</v>
      </c>
      <c r="C282" s="18">
        <v>280</v>
      </c>
      <c r="D282" s="17"/>
      <c r="E282" s="49" t="s">
        <v>1456</v>
      </c>
      <c r="F282" s="49"/>
      <c r="G282" s="24" t="s">
        <v>999</v>
      </c>
      <c r="H282" s="83" t="s">
        <v>1511</v>
      </c>
      <c r="I282" s="83" t="s">
        <v>1531</v>
      </c>
      <c r="J282" s="49" t="s">
        <v>1459</v>
      </c>
      <c r="K282" s="49" t="s">
        <v>1460</v>
      </c>
      <c r="L282" s="49" t="s">
        <v>1532</v>
      </c>
      <c r="M282" s="44" t="s">
        <v>1514</v>
      </c>
      <c r="N282" s="49" t="s">
        <v>1515</v>
      </c>
      <c r="O282" s="101" t="s">
        <v>1533</v>
      </c>
      <c r="P282" s="74" t="s">
        <v>1514</v>
      </c>
      <c r="Q282" s="24" t="s">
        <v>116</v>
      </c>
      <c r="R282" s="44" t="s">
        <v>1517</v>
      </c>
      <c r="S282" s="49" t="s">
        <v>45</v>
      </c>
      <c r="T282" s="84" t="s">
        <v>732</v>
      </c>
      <c r="U282" s="84" t="s">
        <v>1534</v>
      </c>
      <c r="V282" s="31"/>
      <c r="W282" s="49" t="s">
        <v>1468</v>
      </c>
      <c r="X282" s="44"/>
      <c r="Y282" s="49">
        <v>1</v>
      </c>
      <c r="Z282" s="18" t="s">
        <v>49</v>
      </c>
      <c r="AA282" s="18">
        <v>4321</v>
      </c>
      <c r="AB282" s="17">
        <v>2012</v>
      </c>
      <c r="AC282" s="16" t="s">
        <v>51</v>
      </c>
      <c r="AD282" s="30" t="s">
        <v>1520</v>
      </c>
      <c r="AE282" s="49"/>
      <c r="AF282" s="49"/>
      <c r="AG282" s="49"/>
    </row>
    <row r="283" spans="1:33" ht="52" x14ac:dyDescent="0.4">
      <c r="A283" s="6" t="s">
        <v>1511</v>
      </c>
      <c r="B283" s="16">
        <v>5</v>
      </c>
      <c r="C283" s="18">
        <v>281</v>
      </c>
      <c r="D283" s="17"/>
      <c r="E283" s="49" t="s">
        <v>1456</v>
      </c>
      <c r="F283" s="49"/>
      <c r="G283" s="24" t="s">
        <v>999</v>
      </c>
      <c r="H283" s="83" t="s">
        <v>1511</v>
      </c>
      <c r="I283" s="83" t="s">
        <v>1535</v>
      </c>
      <c r="J283" s="49" t="s">
        <v>1536</v>
      </c>
      <c r="K283" s="49" t="s">
        <v>1537</v>
      </c>
      <c r="L283" s="49" t="s">
        <v>1538</v>
      </c>
      <c r="M283" s="44" t="s">
        <v>1514</v>
      </c>
      <c r="N283" s="49" t="s">
        <v>1515</v>
      </c>
      <c r="O283" s="101" t="s">
        <v>1539</v>
      </c>
      <c r="P283" s="74" t="s">
        <v>1514</v>
      </c>
      <c r="Q283" s="24" t="s">
        <v>116</v>
      </c>
      <c r="R283" s="44" t="s">
        <v>1517</v>
      </c>
      <c r="S283" s="49" t="s">
        <v>45</v>
      </c>
      <c r="T283" s="84" t="s">
        <v>1540</v>
      </c>
      <c r="U283" s="84" t="s">
        <v>1541</v>
      </c>
      <c r="V283" s="31"/>
      <c r="W283" s="49" t="s">
        <v>1468</v>
      </c>
      <c r="X283" s="44"/>
      <c r="Y283" s="49">
        <v>1</v>
      </c>
      <c r="Z283" s="18" t="s">
        <v>49</v>
      </c>
      <c r="AA283" s="18">
        <v>4321</v>
      </c>
      <c r="AB283" s="17">
        <v>2012</v>
      </c>
      <c r="AC283" s="16" t="s">
        <v>51</v>
      </c>
      <c r="AD283" s="30" t="s">
        <v>1520</v>
      </c>
      <c r="AE283" s="49"/>
      <c r="AF283" s="49"/>
      <c r="AG283" s="49"/>
    </row>
    <row r="284" spans="1:33" ht="52" x14ac:dyDescent="0.4">
      <c r="A284" s="6" t="s">
        <v>1511</v>
      </c>
      <c r="B284" s="16">
        <v>6</v>
      </c>
      <c r="C284" s="18">
        <v>282</v>
      </c>
      <c r="D284" s="17"/>
      <c r="E284" s="49" t="s">
        <v>1456</v>
      </c>
      <c r="F284" s="49"/>
      <c r="G284" s="24" t="s">
        <v>999</v>
      </c>
      <c r="H284" s="83" t="s">
        <v>1511</v>
      </c>
      <c r="I284" s="83" t="s">
        <v>1542</v>
      </c>
      <c r="J284" s="49" t="s">
        <v>1536</v>
      </c>
      <c r="K284" s="49" t="s">
        <v>1537</v>
      </c>
      <c r="L284" s="49" t="s">
        <v>1543</v>
      </c>
      <c r="M284" s="44" t="s">
        <v>1514</v>
      </c>
      <c r="N284" s="49" t="s">
        <v>1515</v>
      </c>
      <c r="O284" s="101" t="s">
        <v>1544</v>
      </c>
      <c r="P284" s="74" t="s">
        <v>1514</v>
      </c>
      <c r="Q284" s="24" t="s">
        <v>116</v>
      </c>
      <c r="R284" s="44" t="s">
        <v>1517</v>
      </c>
      <c r="S284" s="49" t="s">
        <v>45</v>
      </c>
      <c r="T284" s="84" t="s">
        <v>1545</v>
      </c>
      <c r="U284" s="84" t="s">
        <v>1546</v>
      </c>
      <c r="V284" s="31"/>
      <c r="W284" s="49" t="s">
        <v>1468</v>
      </c>
      <c r="X284" s="44"/>
      <c r="Y284" s="49">
        <v>1</v>
      </c>
      <c r="Z284" s="18" t="s">
        <v>49</v>
      </c>
      <c r="AA284" s="18">
        <v>4321</v>
      </c>
      <c r="AB284" s="17">
        <v>2012</v>
      </c>
      <c r="AC284" s="16" t="s">
        <v>51</v>
      </c>
      <c r="AD284" s="30" t="s">
        <v>1520</v>
      </c>
      <c r="AE284" s="49" t="s">
        <v>1547</v>
      </c>
      <c r="AF284" s="49"/>
      <c r="AG284" s="49"/>
    </row>
    <row r="285" spans="1:33" ht="52" x14ac:dyDescent="0.4">
      <c r="A285" s="6" t="s">
        <v>1511</v>
      </c>
      <c r="B285" s="16">
        <v>7</v>
      </c>
      <c r="C285" s="18">
        <v>283</v>
      </c>
      <c r="D285" s="17"/>
      <c r="E285" s="49" t="s">
        <v>1456</v>
      </c>
      <c r="F285" s="49"/>
      <c r="G285" s="24" t="s">
        <v>999</v>
      </c>
      <c r="H285" s="83" t="s">
        <v>1511</v>
      </c>
      <c r="I285" s="83" t="s">
        <v>1548</v>
      </c>
      <c r="J285" s="49" t="s">
        <v>1536</v>
      </c>
      <c r="K285" s="49" t="s">
        <v>1537</v>
      </c>
      <c r="L285" s="49" t="s">
        <v>1549</v>
      </c>
      <c r="M285" s="44" t="s">
        <v>1514</v>
      </c>
      <c r="N285" s="49" t="s">
        <v>1515</v>
      </c>
      <c r="O285" s="101" t="s">
        <v>1550</v>
      </c>
      <c r="P285" s="74" t="s">
        <v>1514</v>
      </c>
      <c r="Q285" s="24" t="s">
        <v>116</v>
      </c>
      <c r="R285" s="44" t="s">
        <v>1517</v>
      </c>
      <c r="S285" s="49" t="s">
        <v>45</v>
      </c>
      <c r="T285" s="84" t="s">
        <v>1551</v>
      </c>
      <c r="U285" s="84" t="s">
        <v>1552</v>
      </c>
      <c r="V285" s="31"/>
      <c r="W285" s="49" t="s">
        <v>1468</v>
      </c>
      <c r="X285" s="44"/>
      <c r="Y285" s="49">
        <v>1</v>
      </c>
      <c r="Z285" s="18" t="s">
        <v>49</v>
      </c>
      <c r="AA285" s="18">
        <v>4321</v>
      </c>
      <c r="AB285" s="17">
        <v>2012</v>
      </c>
      <c r="AC285" s="16" t="s">
        <v>51</v>
      </c>
      <c r="AD285" s="30" t="s">
        <v>1520</v>
      </c>
      <c r="AE285" s="49"/>
      <c r="AF285" s="49"/>
      <c r="AG285" s="49"/>
    </row>
    <row r="286" spans="1:33" ht="52" x14ac:dyDescent="0.4">
      <c r="A286" s="6" t="s">
        <v>1511</v>
      </c>
      <c r="B286" s="16">
        <v>8</v>
      </c>
      <c r="C286" s="18">
        <v>284</v>
      </c>
      <c r="D286" s="17"/>
      <c r="E286" s="49" t="s">
        <v>1456</v>
      </c>
      <c r="F286" s="49"/>
      <c r="G286" s="24" t="s">
        <v>999</v>
      </c>
      <c r="H286" s="83" t="s">
        <v>1511</v>
      </c>
      <c r="I286" s="83" t="s">
        <v>1553</v>
      </c>
      <c r="J286" s="49" t="s">
        <v>1536</v>
      </c>
      <c r="K286" s="49" t="s">
        <v>1537</v>
      </c>
      <c r="L286" s="49" t="s">
        <v>1554</v>
      </c>
      <c r="M286" s="44" t="s">
        <v>1514</v>
      </c>
      <c r="N286" s="49" t="s">
        <v>1515</v>
      </c>
      <c r="O286" s="101" t="s">
        <v>1555</v>
      </c>
      <c r="P286" s="74" t="s">
        <v>1514</v>
      </c>
      <c r="Q286" s="24" t="s">
        <v>116</v>
      </c>
      <c r="R286" s="44" t="s">
        <v>1517</v>
      </c>
      <c r="S286" s="49" t="s">
        <v>45</v>
      </c>
      <c r="T286" s="84" t="s">
        <v>1556</v>
      </c>
      <c r="U286" s="84" t="s">
        <v>1557</v>
      </c>
      <c r="V286" s="31"/>
      <c r="W286" s="49" t="s">
        <v>1468</v>
      </c>
      <c r="X286" s="44"/>
      <c r="Y286" s="49">
        <v>1</v>
      </c>
      <c r="Z286" s="18" t="s">
        <v>49</v>
      </c>
      <c r="AA286" s="18">
        <v>4321</v>
      </c>
      <c r="AB286" s="17">
        <v>2012</v>
      </c>
      <c r="AC286" s="16" t="s">
        <v>131</v>
      </c>
      <c r="AD286" s="30" t="s">
        <v>1520</v>
      </c>
      <c r="AE286" s="49" t="s">
        <v>1558</v>
      </c>
      <c r="AF286" s="49"/>
      <c r="AG286" s="49"/>
    </row>
    <row r="287" spans="1:33" ht="52" x14ac:dyDescent="0.4">
      <c r="A287" s="6" t="s">
        <v>1511</v>
      </c>
      <c r="B287" s="16">
        <v>9</v>
      </c>
      <c r="C287" s="18">
        <v>285</v>
      </c>
      <c r="D287" s="102"/>
      <c r="E287" s="46" t="s">
        <v>1456</v>
      </c>
      <c r="F287" s="46"/>
      <c r="G287" s="24" t="s">
        <v>999</v>
      </c>
      <c r="H287" s="83" t="s">
        <v>1511</v>
      </c>
      <c r="I287" s="83" t="s">
        <v>1559</v>
      </c>
      <c r="J287" s="49" t="s">
        <v>1536</v>
      </c>
      <c r="K287" s="49" t="s">
        <v>1537</v>
      </c>
      <c r="L287" s="49" t="s">
        <v>1560</v>
      </c>
      <c r="M287" s="44" t="s">
        <v>1514</v>
      </c>
      <c r="N287" s="49" t="s">
        <v>1515</v>
      </c>
      <c r="O287" s="101" t="s">
        <v>1561</v>
      </c>
      <c r="P287" s="74" t="s">
        <v>1514</v>
      </c>
      <c r="Q287" s="24" t="s">
        <v>116</v>
      </c>
      <c r="R287" s="44" t="s">
        <v>1517</v>
      </c>
      <c r="S287" s="49" t="s">
        <v>45</v>
      </c>
      <c r="T287" s="84" t="s">
        <v>548</v>
      </c>
      <c r="U287" s="84" t="s">
        <v>1562</v>
      </c>
      <c r="V287" s="31"/>
      <c r="W287" s="49" t="s">
        <v>1468</v>
      </c>
      <c r="X287" s="44"/>
      <c r="Y287" s="49">
        <v>1</v>
      </c>
      <c r="Z287" s="18" t="s">
        <v>49</v>
      </c>
      <c r="AA287" s="18">
        <v>4321</v>
      </c>
      <c r="AB287" s="17">
        <v>2012</v>
      </c>
      <c r="AC287" s="16" t="s">
        <v>131</v>
      </c>
      <c r="AD287" s="30" t="s">
        <v>1520</v>
      </c>
      <c r="AE287" s="49"/>
      <c r="AF287" s="49"/>
      <c r="AG287" s="49"/>
    </row>
    <row r="288" spans="1:33" ht="52" x14ac:dyDescent="0.4">
      <c r="A288" s="7" t="s">
        <v>1511</v>
      </c>
      <c r="B288" s="32">
        <v>10</v>
      </c>
      <c r="C288" s="18">
        <v>286</v>
      </c>
      <c r="D288" s="102"/>
      <c r="E288" s="49" t="s">
        <v>1456</v>
      </c>
      <c r="F288" s="46"/>
      <c r="G288" s="20" t="s">
        <v>999</v>
      </c>
      <c r="H288" s="20" t="s">
        <v>1511</v>
      </c>
      <c r="I288" s="33" t="s">
        <v>1563</v>
      </c>
      <c r="J288" s="49" t="s">
        <v>1536</v>
      </c>
      <c r="K288" s="49" t="s">
        <v>1537</v>
      </c>
      <c r="L288" s="49" t="s">
        <v>1564</v>
      </c>
      <c r="M288" s="69" t="s">
        <v>1514</v>
      </c>
      <c r="N288" s="46" t="s">
        <v>1515</v>
      </c>
      <c r="O288" s="101" t="s">
        <v>1565</v>
      </c>
      <c r="P288" s="103" t="s">
        <v>1514</v>
      </c>
      <c r="Q288" s="24" t="s">
        <v>116</v>
      </c>
      <c r="R288" s="69" t="s">
        <v>1517</v>
      </c>
      <c r="S288" s="49" t="s">
        <v>45</v>
      </c>
      <c r="T288" s="84" t="s">
        <v>1566</v>
      </c>
      <c r="U288" s="84" t="s">
        <v>1567</v>
      </c>
      <c r="V288" s="31"/>
      <c r="W288" s="49" t="s">
        <v>1468</v>
      </c>
      <c r="X288" s="49"/>
      <c r="Y288" s="49">
        <v>1</v>
      </c>
      <c r="Z288" s="18" t="s">
        <v>49</v>
      </c>
      <c r="AA288" s="18">
        <v>4321</v>
      </c>
      <c r="AB288" s="17">
        <v>2012</v>
      </c>
      <c r="AC288" s="32" t="s">
        <v>51</v>
      </c>
      <c r="AD288" s="30" t="s">
        <v>1520</v>
      </c>
      <c r="AE288" s="49" t="s">
        <v>1568</v>
      </c>
      <c r="AF288" s="49"/>
      <c r="AG288" s="49"/>
    </row>
    <row r="289" spans="1:33" ht="52" x14ac:dyDescent="0.4">
      <c r="A289" s="6" t="s">
        <v>1511</v>
      </c>
      <c r="B289" s="16">
        <v>11</v>
      </c>
      <c r="C289" s="93">
        <v>287</v>
      </c>
      <c r="D289" s="18" t="s">
        <v>1569</v>
      </c>
      <c r="E289" s="74" t="s">
        <v>1456</v>
      </c>
      <c r="F289" s="74"/>
      <c r="G289" s="24" t="s">
        <v>999</v>
      </c>
      <c r="H289" s="83" t="s">
        <v>1511</v>
      </c>
      <c r="I289" s="83" t="s">
        <v>1570</v>
      </c>
      <c r="J289" s="49" t="s">
        <v>1571</v>
      </c>
      <c r="K289" s="49" t="s">
        <v>1572</v>
      </c>
      <c r="L289" s="49" t="s">
        <v>1573</v>
      </c>
      <c r="M289" s="44" t="s">
        <v>1514</v>
      </c>
      <c r="N289" s="49" t="s">
        <v>1515</v>
      </c>
      <c r="O289" s="101" t="s">
        <v>1574</v>
      </c>
      <c r="P289" s="74" t="s">
        <v>1514</v>
      </c>
      <c r="Q289" s="24" t="s">
        <v>17</v>
      </c>
      <c r="R289" s="44" t="s">
        <v>1517</v>
      </c>
      <c r="S289" s="49" t="s">
        <v>45</v>
      </c>
      <c r="T289" s="84" t="s">
        <v>1575</v>
      </c>
      <c r="U289" s="84" t="s">
        <v>1576</v>
      </c>
      <c r="V289" s="31"/>
      <c r="W289" s="49" t="s">
        <v>1468</v>
      </c>
      <c r="X289" s="44"/>
      <c r="Y289" s="49">
        <v>1</v>
      </c>
      <c r="Z289" s="18" t="s">
        <v>49</v>
      </c>
      <c r="AA289" s="18">
        <v>4321</v>
      </c>
      <c r="AB289" s="17">
        <v>2012</v>
      </c>
      <c r="AC289" s="16" t="s">
        <v>51</v>
      </c>
      <c r="AD289" s="30" t="s">
        <v>1520</v>
      </c>
      <c r="AE289" s="49" t="s">
        <v>1577</v>
      </c>
      <c r="AF289" s="49"/>
      <c r="AG289" s="49"/>
    </row>
    <row r="290" spans="1:33" ht="52" x14ac:dyDescent="0.4">
      <c r="A290" s="6" t="s">
        <v>1511</v>
      </c>
      <c r="B290" s="16">
        <v>12</v>
      </c>
      <c r="C290" s="93">
        <v>288</v>
      </c>
      <c r="D290" s="18" t="s">
        <v>1578</v>
      </c>
      <c r="E290" s="74" t="s">
        <v>1456</v>
      </c>
      <c r="F290" s="74"/>
      <c r="G290" s="24" t="s">
        <v>999</v>
      </c>
      <c r="H290" s="83" t="s">
        <v>1511</v>
      </c>
      <c r="I290" s="83" t="s">
        <v>1579</v>
      </c>
      <c r="J290" s="49" t="s">
        <v>1571</v>
      </c>
      <c r="K290" s="49" t="s">
        <v>1572</v>
      </c>
      <c r="L290" s="49" t="s">
        <v>1580</v>
      </c>
      <c r="M290" s="44" t="s">
        <v>1514</v>
      </c>
      <c r="N290" s="49" t="s">
        <v>1515</v>
      </c>
      <c r="O290" s="101" t="s">
        <v>1581</v>
      </c>
      <c r="P290" s="74" t="s">
        <v>1514</v>
      </c>
      <c r="Q290" s="24" t="s">
        <v>17</v>
      </c>
      <c r="R290" s="44" t="s">
        <v>1517</v>
      </c>
      <c r="S290" s="49" t="s">
        <v>45</v>
      </c>
      <c r="T290" s="84" t="s">
        <v>1582</v>
      </c>
      <c r="U290" s="84" t="s">
        <v>1583</v>
      </c>
      <c r="V290" s="31"/>
      <c r="W290" s="49" t="s">
        <v>1468</v>
      </c>
      <c r="X290" s="44"/>
      <c r="Y290" s="49">
        <v>1</v>
      </c>
      <c r="Z290" s="18" t="s">
        <v>49</v>
      </c>
      <c r="AA290" s="18">
        <v>4321</v>
      </c>
      <c r="AB290" s="17">
        <v>2012</v>
      </c>
      <c r="AC290" s="16" t="s">
        <v>51</v>
      </c>
      <c r="AD290" s="30" t="s">
        <v>1520</v>
      </c>
      <c r="AE290" s="49" t="s">
        <v>1584</v>
      </c>
      <c r="AF290" s="49"/>
      <c r="AG290" s="49"/>
    </row>
    <row r="291" spans="1:33" ht="52" x14ac:dyDescent="0.4">
      <c r="A291" s="6" t="s">
        <v>1511</v>
      </c>
      <c r="B291" s="16">
        <v>13</v>
      </c>
      <c r="C291" s="93">
        <v>289</v>
      </c>
      <c r="D291" s="18" t="s">
        <v>1585</v>
      </c>
      <c r="E291" s="74" t="s">
        <v>1456</v>
      </c>
      <c r="F291" s="74"/>
      <c r="G291" s="24" t="s">
        <v>999</v>
      </c>
      <c r="H291" s="83" t="s">
        <v>1511</v>
      </c>
      <c r="I291" s="83" t="s">
        <v>1586</v>
      </c>
      <c r="J291" s="49" t="s">
        <v>1571</v>
      </c>
      <c r="K291" s="49" t="s">
        <v>1572</v>
      </c>
      <c r="L291" s="49" t="s">
        <v>1587</v>
      </c>
      <c r="M291" s="44" t="s">
        <v>1514</v>
      </c>
      <c r="N291" s="49" t="s">
        <v>1515</v>
      </c>
      <c r="O291" s="101" t="s">
        <v>1588</v>
      </c>
      <c r="P291" s="74" t="s">
        <v>1514</v>
      </c>
      <c r="Q291" s="24" t="s">
        <v>17</v>
      </c>
      <c r="R291" s="44" t="s">
        <v>1517</v>
      </c>
      <c r="S291" s="49" t="s">
        <v>45</v>
      </c>
      <c r="T291" s="84" t="s">
        <v>1589</v>
      </c>
      <c r="U291" s="84" t="s">
        <v>1590</v>
      </c>
      <c r="V291" s="31"/>
      <c r="W291" s="49" t="s">
        <v>1468</v>
      </c>
      <c r="X291" s="44"/>
      <c r="Y291" s="49">
        <v>1</v>
      </c>
      <c r="Z291" s="18" t="s">
        <v>49</v>
      </c>
      <c r="AA291" s="18">
        <v>4321</v>
      </c>
      <c r="AB291" s="17">
        <v>2012</v>
      </c>
      <c r="AC291" s="16" t="s">
        <v>51</v>
      </c>
      <c r="AD291" s="30" t="s">
        <v>1520</v>
      </c>
      <c r="AE291" s="49" t="s">
        <v>1591</v>
      </c>
      <c r="AF291" s="49"/>
      <c r="AG291" s="49"/>
    </row>
    <row r="292" spans="1:33" ht="52" x14ac:dyDescent="0.4">
      <c r="A292" s="6" t="s">
        <v>1511</v>
      </c>
      <c r="B292" s="16">
        <v>14</v>
      </c>
      <c r="C292" s="93">
        <v>290</v>
      </c>
      <c r="D292" s="18" t="s">
        <v>1592</v>
      </c>
      <c r="E292" s="74" t="s">
        <v>1456</v>
      </c>
      <c r="F292" s="96"/>
      <c r="G292" s="24" t="s">
        <v>999</v>
      </c>
      <c r="H292" s="83" t="s">
        <v>1511</v>
      </c>
      <c r="I292" s="83" t="s">
        <v>1593</v>
      </c>
      <c r="J292" s="49" t="s">
        <v>1571</v>
      </c>
      <c r="K292" s="49" t="s">
        <v>1572</v>
      </c>
      <c r="L292" s="49" t="s">
        <v>1594</v>
      </c>
      <c r="M292" s="44" t="s">
        <v>1514</v>
      </c>
      <c r="N292" s="49" t="s">
        <v>1515</v>
      </c>
      <c r="O292" s="101" t="s">
        <v>1595</v>
      </c>
      <c r="P292" s="74" t="s">
        <v>1514</v>
      </c>
      <c r="Q292" s="24" t="s">
        <v>17</v>
      </c>
      <c r="R292" s="44" t="s">
        <v>1517</v>
      </c>
      <c r="S292" s="49" t="s">
        <v>45</v>
      </c>
      <c r="T292" s="84" t="s">
        <v>1596</v>
      </c>
      <c r="U292" s="84" t="s">
        <v>1597</v>
      </c>
      <c r="V292" s="31"/>
      <c r="W292" s="49" t="s">
        <v>1468</v>
      </c>
      <c r="X292" s="44"/>
      <c r="Y292" s="49">
        <v>1</v>
      </c>
      <c r="Z292" s="18" t="s">
        <v>49</v>
      </c>
      <c r="AA292" s="18">
        <v>4321</v>
      </c>
      <c r="AB292" s="17">
        <v>2012</v>
      </c>
      <c r="AC292" s="16" t="s">
        <v>51</v>
      </c>
      <c r="AD292" s="30" t="s">
        <v>1520</v>
      </c>
      <c r="AE292" s="29" t="s">
        <v>1598</v>
      </c>
      <c r="AF292" s="29"/>
      <c r="AG292" s="29"/>
    </row>
    <row r="293" spans="1:33" ht="52" x14ac:dyDescent="0.4">
      <c r="A293" s="6" t="s">
        <v>1599</v>
      </c>
      <c r="B293" s="16">
        <v>1</v>
      </c>
      <c r="C293" s="18">
        <v>291</v>
      </c>
      <c r="D293" s="77"/>
      <c r="E293" s="49" t="s">
        <v>1456</v>
      </c>
      <c r="F293" s="29"/>
      <c r="G293" s="24" t="s">
        <v>716</v>
      </c>
      <c r="H293" s="104" t="s">
        <v>1599</v>
      </c>
      <c r="I293" s="83" t="s">
        <v>1600</v>
      </c>
      <c r="J293" s="49" t="s">
        <v>1601</v>
      </c>
      <c r="K293" s="49" t="s">
        <v>1602</v>
      </c>
      <c r="L293" s="49" t="s">
        <v>1603</v>
      </c>
      <c r="M293" s="44" t="s">
        <v>1514</v>
      </c>
      <c r="N293" s="49" t="s">
        <v>1604</v>
      </c>
      <c r="O293" s="71" t="s">
        <v>1605</v>
      </c>
      <c r="P293" s="29" t="s">
        <v>1514</v>
      </c>
      <c r="Q293" s="24" t="s">
        <v>116</v>
      </c>
      <c r="R293" s="66" t="s">
        <v>1606</v>
      </c>
      <c r="S293" s="49" t="s">
        <v>45</v>
      </c>
      <c r="T293" s="84" t="s">
        <v>1607</v>
      </c>
      <c r="U293" s="84" t="s">
        <v>1608</v>
      </c>
      <c r="V293" s="31"/>
      <c r="W293" s="49" t="s">
        <v>1468</v>
      </c>
      <c r="X293" s="66"/>
      <c r="Y293" s="29">
        <v>1</v>
      </c>
      <c r="Z293" s="18" t="s">
        <v>49</v>
      </c>
      <c r="AA293" s="18">
        <v>4321</v>
      </c>
      <c r="AB293" s="17">
        <v>2012</v>
      </c>
      <c r="AC293" s="16" t="s">
        <v>51</v>
      </c>
      <c r="AD293" s="30" t="s">
        <v>1520</v>
      </c>
      <c r="AE293" s="29"/>
      <c r="AF293" s="29"/>
      <c r="AG293" s="29"/>
    </row>
    <row r="294" spans="1:33" ht="52" x14ac:dyDescent="0.4">
      <c r="A294" s="6" t="s">
        <v>1599</v>
      </c>
      <c r="B294" s="16">
        <v>2</v>
      </c>
      <c r="C294" s="18">
        <v>292</v>
      </c>
      <c r="D294" s="17"/>
      <c r="E294" s="49" t="s">
        <v>1456</v>
      </c>
      <c r="F294" s="29"/>
      <c r="G294" s="24" t="s">
        <v>716</v>
      </c>
      <c r="H294" s="104" t="s">
        <v>1599</v>
      </c>
      <c r="I294" s="83" t="s">
        <v>1609</v>
      </c>
      <c r="J294" s="49" t="s">
        <v>1601</v>
      </c>
      <c r="K294" s="49" t="s">
        <v>1602</v>
      </c>
      <c r="L294" s="49" t="s">
        <v>1610</v>
      </c>
      <c r="M294" s="44" t="s">
        <v>1514</v>
      </c>
      <c r="N294" s="49" t="s">
        <v>1604</v>
      </c>
      <c r="O294" s="71" t="s">
        <v>1611</v>
      </c>
      <c r="P294" s="29" t="s">
        <v>1514</v>
      </c>
      <c r="Q294" s="24" t="s">
        <v>116</v>
      </c>
      <c r="R294" s="66" t="s">
        <v>1606</v>
      </c>
      <c r="S294" s="49" t="s">
        <v>45</v>
      </c>
      <c r="T294" s="84" t="s">
        <v>1612</v>
      </c>
      <c r="U294" s="84" t="s">
        <v>1613</v>
      </c>
      <c r="V294" s="31"/>
      <c r="W294" s="49" t="s">
        <v>1468</v>
      </c>
      <c r="X294" s="66"/>
      <c r="Y294" s="29">
        <v>1</v>
      </c>
      <c r="Z294" s="18" t="s">
        <v>49</v>
      </c>
      <c r="AA294" s="18">
        <v>4321</v>
      </c>
      <c r="AB294" s="17">
        <v>2012</v>
      </c>
      <c r="AC294" s="16" t="s">
        <v>51</v>
      </c>
      <c r="AD294" s="30" t="s">
        <v>1520</v>
      </c>
      <c r="AE294" s="29"/>
      <c r="AF294" s="29"/>
      <c r="AG294" s="29"/>
    </row>
    <row r="295" spans="1:33" ht="52" x14ac:dyDescent="0.4">
      <c r="A295" s="6" t="s">
        <v>1599</v>
      </c>
      <c r="B295" s="16">
        <v>3</v>
      </c>
      <c r="C295" s="18">
        <v>293</v>
      </c>
      <c r="D295" s="17"/>
      <c r="E295" s="49" t="s">
        <v>1456</v>
      </c>
      <c r="F295" s="29"/>
      <c r="G295" s="24" t="s">
        <v>716</v>
      </c>
      <c r="H295" s="104" t="s">
        <v>1599</v>
      </c>
      <c r="I295" s="83" t="s">
        <v>1614</v>
      </c>
      <c r="J295" s="49" t="s">
        <v>1601</v>
      </c>
      <c r="K295" s="49" t="s">
        <v>1602</v>
      </c>
      <c r="L295" s="49" t="s">
        <v>1615</v>
      </c>
      <c r="M295" s="44" t="s">
        <v>1514</v>
      </c>
      <c r="N295" s="49" t="s">
        <v>1604</v>
      </c>
      <c r="O295" s="71" t="s">
        <v>1616</v>
      </c>
      <c r="P295" s="29" t="s">
        <v>1514</v>
      </c>
      <c r="Q295" s="24" t="s">
        <v>116</v>
      </c>
      <c r="R295" s="66" t="s">
        <v>1606</v>
      </c>
      <c r="S295" s="49" t="s">
        <v>45</v>
      </c>
      <c r="T295" s="84" t="s">
        <v>1617</v>
      </c>
      <c r="U295" s="84" t="s">
        <v>1618</v>
      </c>
      <c r="V295" s="31"/>
      <c r="W295" s="49" t="s">
        <v>1468</v>
      </c>
      <c r="X295" s="66"/>
      <c r="Y295" s="29">
        <v>1</v>
      </c>
      <c r="Z295" s="18" t="s">
        <v>49</v>
      </c>
      <c r="AA295" s="18">
        <v>4321</v>
      </c>
      <c r="AB295" s="17">
        <v>2012</v>
      </c>
      <c r="AC295" s="16" t="s">
        <v>51</v>
      </c>
      <c r="AD295" s="30" t="s">
        <v>1520</v>
      </c>
      <c r="AE295" s="29"/>
      <c r="AF295" s="29"/>
      <c r="AG295" s="29"/>
    </row>
    <row r="296" spans="1:33" ht="52" x14ac:dyDescent="0.4">
      <c r="A296" s="6" t="s">
        <v>1599</v>
      </c>
      <c r="B296" s="16">
        <v>4</v>
      </c>
      <c r="C296" s="18">
        <v>294</v>
      </c>
      <c r="D296" s="17"/>
      <c r="E296" s="49" t="s">
        <v>1456</v>
      </c>
      <c r="F296" s="29"/>
      <c r="G296" s="24" t="s">
        <v>716</v>
      </c>
      <c r="H296" s="104" t="s">
        <v>1599</v>
      </c>
      <c r="I296" s="83" t="s">
        <v>1619</v>
      </c>
      <c r="J296" s="49" t="s">
        <v>1601</v>
      </c>
      <c r="K296" s="49" t="s">
        <v>1602</v>
      </c>
      <c r="L296" s="49" t="s">
        <v>1620</v>
      </c>
      <c r="M296" s="44" t="s">
        <v>1514</v>
      </c>
      <c r="N296" s="49" t="s">
        <v>1604</v>
      </c>
      <c r="O296" s="71" t="s">
        <v>1621</v>
      </c>
      <c r="P296" s="29" t="s">
        <v>1514</v>
      </c>
      <c r="Q296" s="24" t="s">
        <v>116</v>
      </c>
      <c r="R296" s="66" t="s">
        <v>1606</v>
      </c>
      <c r="S296" s="49" t="s">
        <v>45</v>
      </c>
      <c r="T296" s="105" t="s">
        <v>1622</v>
      </c>
      <c r="U296" s="84" t="s">
        <v>1623</v>
      </c>
      <c r="V296" s="31"/>
      <c r="W296" s="49" t="s">
        <v>1468</v>
      </c>
      <c r="X296" s="66"/>
      <c r="Y296" s="29">
        <v>1</v>
      </c>
      <c r="Z296" s="18" t="s">
        <v>49</v>
      </c>
      <c r="AA296" s="18">
        <v>4321</v>
      </c>
      <c r="AB296" s="17">
        <v>2012</v>
      </c>
      <c r="AC296" s="16" t="s">
        <v>51</v>
      </c>
      <c r="AD296" s="30" t="s">
        <v>1520</v>
      </c>
      <c r="AE296" s="29"/>
      <c r="AF296" s="29"/>
      <c r="AG296" s="29"/>
    </row>
    <row r="297" spans="1:33" ht="52" x14ac:dyDescent="0.4">
      <c r="A297" s="6" t="s">
        <v>1599</v>
      </c>
      <c r="B297" s="16">
        <v>5</v>
      </c>
      <c r="C297" s="18">
        <v>295</v>
      </c>
      <c r="D297" s="17"/>
      <c r="E297" s="49" t="s">
        <v>1456</v>
      </c>
      <c r="F297" s="29"/>
      <c r="G297" s="24" t="s">
        <v>716</v>
      </c>
      <c r="H297" s="104" t="s">
        <v>1599</v>
      </c>
      <c r="I297" s="83" t="s">
        <v>1624</v>
      </c>
      <c r="J297" s="49" t="s">
        <v>1601</v>
      </c>
      <c r="K297" s="49" t="s">
        <v>1602</v>
      </c>
      <c r="L297" s="49" t="s">
        <v>1625</v>
      </c>
      <c r="M297" s="44" t="s">
        <v>1514</v>
      </c>
      <c r="N297" s="49" t="s">
        <v>1604</v>
      </c>
      <c r="O297" s="71" t="s">
        <v>1626</v>
      </c>
      <c r="P297" s="29" t="s">
        <v>1514</v>
      </c>
      <c r="Q297" s="24" t="s">
        <v>116</v>
      </c>
      <c r="R297" s="66" t="s">
        <v>1606</v>
      </c>
      <c r="S297" s="49" t="s">
        <v>45</v>
      </c>
      <c r="T297" s="84" t="s">
        <v>1627</v>
      </c>
      <c r="U297" s="106">
        <v>-78490026</v>
      </c>
      <c r="V297" s="31"/>
      <c r="W297" s="49" t="s">
        <v>1468</v>
      </c>
      <c r="X297" s="66"/>
      <c r="Y297" s="29">
        <v>1</v>
      </c>
      <c r="Z297" s="18" t="s">
        <v>49</v>
      </c>
      <c r="AA297" s="18">
        <v>4321</v>
      </c>
      <c r="AB297" s="17">
        <v>2012</v>
      </c>
      <c r="AC297" s="16" t="s">
        <v>51</v>
      </c>
      <c r="AD297" s="30" t="s">
        <v>1520</v>
      </c>
      <c r="AE297" s="29"/>
      <c r="AF297" s="29"/>
      <c r="AG297" s="29"/>
    </row>
    <row r="298" spans="1:33" ht="52" x14ac:dyDescent="0.4">
      <c r="A298" s="6" t="s">
        <v>1599</v>
      </c>
      <c r="B298" s="16">
        <v>6</v>
      </c>
      <c r="C298" s="18">
        <v>296</v>
      </c>
      <c r="D298" s="102"/>
      <c r="E298" s="49" t="s">
        <v>1456</v>
      </c>
      <c r="F298" s="29"/>
      <c r="G298" s="24" t="s">
        <v>716</v>
      </c>
      <c r="H298" s="104" t="s">
        <v>1599</v>
      </c>
      <c r="I298" s="83" t="s">
        <v>1628</v>
      </c>
      <c r="J298" s="49" t="s">
        <v>1601</v>
      </c>
      <c r="K298" s="49" t="s">
        <v>1602</v>
      </c>
      <c r="L298" s="49" t="s">
        <v>1629</v>
      </c>
      <c r="M298" s="44" t="s">
        <v>1514</v>
      </c>
      <c r="N298" s="49" t="s">
        <v>1604</v>
      </c>
      <c r="O298" s="71" t="s">
        <v>1630</v>
      </c>
      <c r="P298" s="29" t="s">
        <v>1514</v>
      </c>
      <c r="Q298" s="24" t="s">
        <v>116</v>
      </c>
      <c r="R298" s="66" t="s">
        <v>1606</v>
      </c>
      <c r="S298" s="49" t="s">
        <v>45</v>
      </c>
      <c r="T298" s="84" t="s">
        <v>1631</v>
      </c>
      <c r="U298" s="84" t="s">
        <v>1632</v>
      </c>
      <c r="V298" s="31"/>
      <c r="W298" s="49" t="s">
        <v>1468</v>
      </c>
      <c r="X298" s="66"/>
      <c r="Y298" s="29">
        <v>1</v>
      </c>
      <c r="Z298" s="18" t="s">
        <v>49</v>
      </c>
      <c r="AA298" s="18">
        <v>4321</v>
      </c>
      <c r="AB298" s="17">
        <v>2012</v>
      </c>
      <c r="AC298" s="16" t="s">
        <v>51</v>
      </c>
      <c r="AD298" s="30" t="s">
        <v>1520</v>
      </c>
      <c r="AE298" s="29"/>
      <c r="AF298" s="29"/>
      <c r="AG298" s="29"/>
    </row>
    <row r="299" spans="1:33" ht="52" x14ac:dyDescent="0.4">
      <c r="A299" s="6" t="s">
        <v>1599</v>
      </c>
      <c r="B299" s="16">
        <v>7</v>
      </c>
      <c r="C299" s="17">
        <v>297</v>
      </c>
      <c r="D299" s="18"/>
      <c r="E299" s="49" t="s">
        <v>1456</v>
      </c>
      <c r="F299" s="29"/>
      <c r="G299" s="24" t="s">
        <v>716</v>
      </c>
      <c r="H299" s="104" t="s">
        <v>1599</v>
      </c>
      <c r="I299" s="83" t="s">
        <v>1633</v>
      </c>
      <c r="J299" s="49" t="s">
        <v>1601</v>
      </c>
      <c r="K299" s="49" t="s">
        <v>1602</v>
      </c>
      <c r="L299" s="49" t="s">
        <v>1634</v>
      </c>
      <c r="M299" s="44" t="s">
        <v>1514</v>
      </c>
      <c r="N299" s="49" t="s">
        <v>1604</v>
      </c>
      <c r="O299" s="71" t="s">
        <v>1635</v>
      </c>
      <c r="P299" s="29" t="s">
        <v>1514</v>
      </c>
      <c r="Q299" s="24" t="s">
        <v>116</v>
      </c>
      <c r="R299" s="66" t="s">
        <v>1606</v>
      </c>
      <c r="S299" s="49" t="s">
        <v>45</v>
      </c>
      <c r="T299" s="84" t="s">
        <v>1636</v>
      </c>
      <c r="U299" s="107" t="s">
        <v>1637</v>
      </c>
      <c r="V299" s="31"/>
      <c r="W299" s="49" t="s">
        <v>1468</v>
      </c>
      <c r="X299" s="66"/>
      <c r="Y299" s="29">
        <v>1</v>
      </c>
      <c r="Z299" s="18" t="s">
        <v>49</v>
      </c>
      <c r="AA299" s="18">
        <v>4321</v>
      </c>
      <c r="AB299" s="17">
        <v>2012</v>
      </c>
      <c r="AC299" s="16" t="s">
        <v>131</v>
      </c>
      <c r="AD299" s="30" t="s">
        <v>1520</v>
      </c>
      <c r="AE299" s="29"/>
      <c r="AF299" s="29"/>
      <c r="AG299" s="29"/>
    </row>
    <row r="300" spans="1:33" ht="52" x14ac:dyDescent="0.4">
      <c r="A300" s="6" t="s">
        <v>1599</v>
      </c>
      <c r="B300" s="16">
        <v>8</v>
      </c>
      <c r="C300" s="17">
        <v>298</v>
      </c>
      <c r="D300" s="18"/>
      <c r="E300" s="49" t="s">
        <v>1456</v>
      </c>
      <c r="F300" s="29"/>
      <c r="G300" s="24" t="s">
        <v>716</v>
      </c>
      <c r="H300" s="104" t="s">
        <v>1599</v>
      </c>
      <c r="I300" s="83" t="s">
        <v>1638</v>
      </c>
      <c r="J300" s="49" t="s">
        <v>1601</v>
      </c>
      <c r="K300" s="49" t="s">
        <v>1602</v>
      </c>
      <c r="L300" s="49" t="s">
        <v>1639</v>
      </c>
      <c r="M300" s="44" t="s">
        <v>1514</v>
      </c>
      <c r="N300" s="49" t="s">
        <v>1604</v>
      </c>
      <c r="O300" s="71" t="s">
        <v>1640</v>
      </c>
      <c r="P300" s="29" t="s">
        <v>1514</v>
      </c>
      <c r="Q300" s="24" t="s">
        <v>116</v>
      </c>
      <c r="R300" s="66" t="s">
        <v>1606</v>
      </c>
      <c r="S300" s="49" t="s">
        <v>45</v>
      </c>
      <c r="T300" s="84" t="s">
        <v>1641</v>
      </c>
      <c r="U300" s="107" t="s">
        <v>1642</v>
      </c>
      <c r="V300" s="31"/>
      <c r="W300" s="49" t="s">
        <v>1468</v>
      </c>
      <c r="X300" s="66"/>
      <c r="Y300" s="29">
        <v>1</v>
      </c>
      <c r="Z300" s="18" t="s">
        <v>49</v>
      </c>
      <c r="AA300" s="18">
        <v>4321</v>
      </c>
      <c r="AB300" s="17">
        <v>2012</v>
      </c>
      <c r="AC300" s="16" t="s">
        <v>131</v>
      </c>
      <c r="AD300" s="30" t="s">
        <v>1520</v>
      </c>
      <c r="AE300" s="29"/>
      <c r="AF300" s="29"/>
      <c r="AG300" s="29"/>
    </row>
    <row r="301" spans="1:33" x14ac:dyDescent="0.4">
      <c r="A301" s="108" t="s">
        <v>1643</v>
      </c>
      <c r="B301" s="49">
        <v>1</v>
      </c>
      <c r="C301" s="18">
        <v>299</v>
      </c>
      <c r="D301" s="77"/>
      <c r="E301" s="49" t="s">
        <v>1456</v>
      </c>
      <c r="F301" s="29"/>
      <c r="G301" s="109" t="s">
        <v>1643</v>
      </c>
      <c r="H301" s="104" t="s">
        <v>1644</v>
      </c>
      <c r="I301" s="104" t="s">
        <v>1645</v>
      </c>
      <c r="J301" s="66" t="s">
        <v>1646</v>
      </c>
      <c r="K301" s="66" t="s">
        <v>1647</v>
      </c>
      <c r="L301" s="29" t="s">
        <v>1648</v>
      </c>
      <c r="M301" s="29" t="s">
        <v>1649</v>
      </c>
      <c r="N301" s="29" t="s">
        <v>1650</v>
      </c>
      <c r="O301" s="66"/>
      <c r="P301" s="29" t="s">
        <v>1651</v>
      </c>
      <c r="Q301" s="24" t="s">
        <v>116</v>
      </c>
      <c r="R301" s="66" t="s">
        <v>1408</v>
      </c>
      <c r="S301" s="29" t="s">
        <v>45</v>
      </c>
      <c r="T301" s="84" t="s">
        <v>1652</v>
      </c>
      <c r="U301" s="107" t="s">
        <v>1653</v>
      </c>
      <c r="V301" s="31"/>
      <c r="W301" s="66" t="s">
        <v>1654</v>
      </c>
      <c r="X301" s="66"/>
      <c r="Y301" s="29">
        <v>1</v>
      </c>
      <c r="Z301" s="31"/>
      <c r="AA301" s="31"/>
      <c r="AB301" s="18">
        <v>2019</v>
      </c>
      <c r="AC301" s="16" t="s">
        <v>51</v>
      </c>
      <c r="AD301" s="30"/>
      <c r="AE301" s="29"/>
      <c r="AF301" s="29"/>
      <c r="AG301" s="29"/>
    </row>
    <row r="302" spans="1:33" x14ac:dyDescent="0.4">
      <c r="A302" s="108" t="s">
        <v>1643</v>
      </c>
      <c r="B302" s="49">
        <v>2</v>
      </c>
      <c r="C302" s="18">
        <v>300</v>
      </c>
      <c r="D302" s="17"/>
      <c r="E302" s="49" t="s">
        <v>1456</v>
      </c>
      <c r="F302" s="29"/>
      <c r="G302" s="109" t="s">
        <v>1643</v>
      </c>
      <c r="H302" s="104" t="s">
        <v>1644</v>
      </c>
      <c r="I302" s="104" t="s">
        <v>1645</v>
      </c>
      <c r="J302" s="66" t="s">
        <v>1646</v>
      </c>
      <c r="K302" s="66" t="s">
        <v>1647</v>
      </c>
      <c r="L302" s="29" t="s">
        <v>1655</v>
      </c>
      <c r="M302" s="29" t="s">
        <v>1649</v>
      </c>
      <c r="N302" s="29" t="s">
        <v>1650</v>
      </c>
      <c r="O302" s="66"/>
      <c r="P302" s="29" t="s">
        <v>1651</v>
      </c>
      <c r="Q302" s="24" t="s">
        <v>116</v>
      </c>
      <c r="R302" s="66" t="s">
        <v>1408</v>
      </c>
      <c r="S302" s="29" t="s">
        <v>68</v>
      </c>
      <c r="T302" s="84" t="s">
        <v>1652</v>
      </c>
      <c r="U302" s="107" t="s">
        <v>1653</v>
      </c>
      <c r="V302" s="31"/>
      <c r="W302" s="66" t="s">
        <v>1654</v>
      </c>
      <c r="X302" s="66"/>
      <c r="Y302" s="29">
        <v>1</v>
      </c>
      <c r="Z302" s="31"/>
      <c r="AA302" s="31"/>
      <c r="AB302" s="18">
        <v>2019</v>
      </c>
      <c r="AC302" s="16" t="s">
        <v>51</v>
      </c>
      <c r="AD302" s="30"/>
      <c r="AE302" s="29"/>
      <c r="AF302" s="29"/>
      <c r="AG302" s="29"/>
    </row>
    <row r="303" spans="1:33" x14ac:dyDescent="0.4">
      <c r="A303" s="108" t="s">
        <v>1643</v>
      </c>
      <c r="B303" s="49">
        <v>3</v>
      </c>
      <c r="C303" s="18">
        <v>301</v>
      </c>
      <c r="D303" s="17"/>
      <c r="E303" s="49" t="s">
        <v>1456</v>
      </c>
      <c r="F303" s="29"/>
      <c r="G303" s="109" t="s">
        <v>1643</v>
      </c>
      <c r="H303" s="104" t="s">
        <v>1656</v>
      </c>
      <c r="I303" s="104" t="s">
        <v>1657</v>
      </c>
      <c r="J303" s="66" t="s">
        <v>1658</v>
      </c>
      <c r="K303" s="66" t="s">
        <v>1647</v>
      </c>
      <c r="L303" s="29" t="s">
        <v>1659</v>
      </c>
      <c r="M303" s="29" t="s">
        <v>1649</v>
      </c>
      <c r="N303" s="29" t="s">
        <v>1650</v>
      </c>
      <c r="O303" s="66"/>
      <c r="P303" s="29" t="s">
        <v>1651</v>
      </c>
      <c r="Q303" s="24" t="s">
        <v>116</v>
      </c>
      <c r="R303" s="66" t="s">
        <v>1408</v>
      </c>
      <c r="S303" s="29" t="s">
        <v>45</v>
      </c>
      <c r="T303" s="84" t="s">
        <v>1660</v>
      </c>
      <c r="U303" s="107" t="s">
        <v>1661</v>
      </c>
      <c r="V303" s="31"/>
      <c r="W303" s="66" t="s">
        <v>1654</v>
      </c>
      <c r="X303" s="66"/>
      <c r="Y303" s="29">
        <v>1</v>
      </c>
      <c r="Z303" s="31"/>
      <c r="AA303" s="31"/>
      <c r="AB303" s="18">
        <v>2019</v>
      </c>
      <c r="AC303" s="16" t="s">
        <v>51</v>
      </c>
      <c r="AD303" s="30"/>
      <c r="AE303" s="29"/>
      <c r="AF303" s="29"/>
      <c r="AG303" s="29"/>
    </row>
    <row r="304" spans="1:33" x14ac:dyDescent="0.4">
      <c r="A304" s="108" t="s">
        <v>1643</v>
      </c>
      <c r="B304" s="49">
        <v>4</v>
      </c>
      <c r="C304" s="18">
        <v>302</v>
      </c>
      <c r="D304" s="17"/>
      <c r="E304" s="49" t="s">
        <v>1456</v>
      </c>
      <c r="F304" s="29"/>
      <c r="G304" s="109" t="s">
        <v>1643</v>
      </c>
      <c r="H304" s="110" t="s">
        <v>1662</v>
      </c>
      <c r="I304" s="110" t="s">
        <v>1663</v>
      </c>
      <c r="J304" s="66" t="s">
        <v>1664</v>
      </c>
      <c r="K304" s="66" t="s">
        <v>1665</v>
      </c>
      <c r="L304" s="29" t="s">
        <v>1666</v>
      </c>
      <c r="M304" s="29" t="s">
        <v>1649</v>
      </c>
      <c r="N304" s="29" t="s">
        <v>1650</v>
      </c>
      <c r="O304" s="66"/>
      <c r="P304" s="29" t="s">
        <v>1651</v>
      </c>
      <c r="Q304" s="24" t="s">
        <v>116</v>
      </c>
      <c r="R304" s="66" t="s">
        <v>1408</v>
      </c>
      <c r="S304" s="29" t="s">
        <v>45</v>
      </c>
      <c r="T304" s="84" t="s">
        <v>1667</v>
      </c>
      <c r="U304" s="107" t="s">
        <v>1668</v>
      </c>
      <c r="V304" s="31"/>
      <c r="W304" s="66" t="s">
        <v>1654</v>
      </c>
      <c r="X304" s="66"/>
      <c r="Y304" s="29">
        <v>1</v>
      </c>
      <c r="Z304" s="31"/>
      <c r="AA304" s="31"/>
      <c r="AB304" s="18">
        <v>2019</v>
      </c>
      <c r="AC304" s="16" t="s">
        <v>51</v>
      </c>
      <c r="AD304" s="30"/>
      <c r="AE304" s="29"/>
      <c r="AF304" s="29"/>
      <c r="AG304" s="29"/>
    </row>
    <row r="305" spans="1:33" x14ac:dyDescent="0.4">
      <c r="A305" s="108" t="s">
        <v>1643</v>
      </c>
      <c r="B305" s="49">
        <v>5</v>
      </c>
      <c r="C305" s="18">
        <v>303</v>
      </c>
      <c r="D305" s="17"/>
      <c r="E305" s="49" t="s">
        <v>1456</v>
      </c>
      <c r="F305" s="29"/>
      <c r="G305" s="109" t="s">
        <v>1643</v>
      </c>
      <c r="H305" s="110" t="s">
        <v>1662</v>
      </c>
      <c r="I305" s="110" t="s">
        <v>1663</v>
      </c>
      <c r="J305" s="66" t="s">
        <v>1664</v>
      </c>
      <c r="K305" s="66" t="s">
        <v>1665</v>
      </c>
      <c r="L305" s="29" t="s">
        <v>1669</v>
      </c>
      <c r="M305" s="29" t="s">
        <v>1649</v>
      </c>
      <c r="N305" s="29" t="s">
        <v>1670</v>
      </c>
      <c r="O305" s="66"/>
      <c r="P305" s="29" t="s">
        <v>1651</v>
      </c>
      <c r="Q305" s="24" t="s">
        <v>116</v>
      </c>
      <c r="R305" s="66" t="s">
        <v>1408</v>
      </c>
      <c r="S305" s="29" t="s">
        <v>68</v>
      </c>
      <c r="T305" s="84" t="s">
        <v>1667</v>
      </c>
      <c r="U305" s="107" t="s">
        <v>1668</v>
      </c>
      <c r="V305" s="31"/>
      <c r="W305" s="66" t="s">
        <v>1654</v>
      </c>
      <c r="X305" s="66"/>
      <c r="Y305" s="29">
        <v>1</v>
      </c>
      <c r="Z305" s="31"/>
      <c r="AA305" s="31"/>
      <c r="AB305" s="18">
        <v>2019</v>
      </c>
      <c r="AC305" s="16" t="s">
        <v>51</v>
      </c>
      <c r="AD305" s="30"/>
      <c r="AE305" s="29"/>
      <c r="AF305" s="29"/>
      <c r="AG305" s="29"/>
    </row>
    <row r="306" spans="1:33" x14ac:dyDescent="0.4">
      <c r="A306" s="108" t="s">
        <v>1643</v>
      </c>
      <c r="B306" s="49">
        <v>6</v>
      </c>
      <c r="C306" s="18">
        <v>304</v>
      </c>
      <c r="D306" s="17"/>
      <c r="E306" s="49" t="s">
        <v>1456</v>
      </c>
      <c r="F306" s="29"/>
      <c r="G306" s="109" t="s">
        <v>1643</v>
      </c>
      <c r="H306" s="110" t="s">
        <v>1662</v>
      </c>
      <c r="I306" s="110" t="s">
        <v>1663</v>
      </c>
      <c r="J306" s="66" t="s">
        <v>1664</v>
      </c>
      <c r="K306" s="66" t="s">
        <v>1665</v>
      </c>
      <c r="L306" s="29" t="s">
        <v>1671</v>
      </c>
      <c r="M306" s="29" t="s">
        <v>1649</v>
      </c>
      <c r="N306" s="29" t="s">
        <v>1670</v>
      </c>
      <c r="O306" s="66"/>
      <c r="P306" s="29" t="s">
        <v>1651</v>
      </c>
      <c r="Q306" s="24" t="s">
        <v>116</v>
      </c>
      <c r="R306" s="66" t="s">
        <v>1408</v>
      </c>
      <c r="S306" s="29" t="s">
        <v>68</v>
      </c>
      <c r="T306" s="84" t="s">
        <v>1667</v>
      </c>
      <c r="U306" s="107" t="s">
        <v>1668</v>
      </c>
      <c r="V306" s="31"/>
      <c r="W306" s="66" t="s">
        <v>1654</v>
      </c>
      <c r="X306" s="66"/>
      <c r="Y306" s="29">
        <v>1</v>
      </c>
      <c r="Z306" s="31"/>
      <c r="AA306" s="31"/>
      <c r="AB306" s="18">
        <v>2019</v>
      </c>
      <c r="AC306" s="16" t="s">
        <v>51</v>
      </c>
      <c r="AD306" s="30"/>
      <c r="AE306" s="29"/>
      <c r="AF306" s="29"/>
      <c r="AG306" s="29"/>
    </row>
    <row r="307" spans="1:33" x14ac:dyDescent="0.4">
      <c r="A307" s="108" t="s">
        <v>1643</v>
      </c>
      <c r="B307" s="49">
        <v>7</v>
      </c>
      <c r="C307" s="18">
        <v>305</v>
      </c>
      <c r="D307" s="17"/>
      <c r="E307" s="49" t="s">
        <v>1456</v>
      </c>
      <c r="F307" s="29"/>
      <c r="G307" s="109" t="s">
        <v>1643</v>
      </c>
      <c r="H307" s="110" t="s">
        <v>1672</v>
      </c>
      <c r="I307" s="111" t="s">
        <v>1673</v>
      </c>
      <c r="J307" s="66" t="s">
        <v>1674</v>
      </c>
      <c r="K307" s="66" t="s">
        <v>1675</v>
      </c>
      <c r="L307" s="29" t="s">
        <v>1676</v>
      </c>
      <c r="M307" s="29" t="s">
        <v>1649</v>
      </c>
      <c r="N307" s="29" t="s">
        <v>1670</v>
      </c>
      <c r="O307" s="66"/>
      <c r="P307" s="29" t="s">
        <v>1651</v>
      </c>
      <c r="Q307" s="24" t="s">
        <v>116</v>
      </c>
      <c r="R307" s="66" t="s">
        <v>1408</v>
      </c>
      <c r="S307" s="29" t="s">
        <v>45</v>
      </c>
      <c r="T307" s="84" t="s">
        <v>1677</v>
      </c>
      <c r="U307" s="107" t="s">
        <v>1678</v>
      </c>
      <c r="V307" s="31"/>
      <c r="W307" s="66" t="s">
        <v>1654</v>
      </c>
      <c r="X307" s="66"/>
      <c r="Y307" s="29">
        <v>1</v>
      </c>
      <c r="Z307" s="31"/>
      <c r="AA307" s="31"/>
      <c r="AB307" s="18">
        <v>2019</v>
      </c>
      <c r="AC307" s="16" t="s">
        <v>51</v>
      </c>
      <c r="AD307" s="30"/>
      <c r="AE307" s="29"/>
      <c r="AF307" s="29"/>
      <c r="AG307" s="29"/>
    </row>
    <row r="308" spans="1:33" x14ac:dyDescent="0.4">
      <c r="A308" s="108" t="s">
        <v>1643</v>
      </c>
      <c r="B308" s="49">
        <v>8</v>
      </c>
      <c r="C308" s="18">
        <v>306</v>
      </c>
      <c r="D308" s="17"/>
      <c r="E308" s="49" t="s">
        <v>1456</v>
      </c>
      <c r="F308" s="29"/>
      <c r="G308" s="109" t="s">
        <v>1643</v>
      </c>
      <c r="H308" s="110" t="s">
        <v>1672</v>
      </c>
      <c r="I308" s="111" t="s">
        <v>1673</v>
      </c>
      <c r="J308" s="66" t="s">
        <v>1674</v>
      </c>
      <c r="K308" s="66" t="s">
        <v>1675</v>
      </c>
      <c r="L308" s="29" t="s">
        <v>1679</v>
      </c>
      <c r="M308" s="29" t="s">
        <v>1649</v>
      </c>
      <c r="N308" s="29" t="s">
        <v>1670</v>
      </c>
      <c r="O308" s="66"/>
      <c r="P308" s="29" t="s">
        <v>1651</v>
      </c>
      <c r="Q308" s="24" t="s">
        <v>116</v>
      </c>
      <c r="R308" s="66" t="s">
        <v>1408</v>
      </c>
      <c r="S308" s="29" t="s">
        <v>45</v>
      </c>
      <c r="T308" s="84" t="s">
        <v>1677</v>
      </c>
      <c r="U308" s="107" t="s">
        <v>1678</v>
      </c>
      <c r="V308" s="31"/>
      <c r="W308" s="66" t="s">
        <v>1654</v>
      </c>
      <c r="X308" s="66"/>
      <c r="Y308" s="29">
        <v>1</v>
      </c>
      <c r="Z308" s="31"/>
      <c r="AA308" s="31"/>
      <c r="AB308" s="18">
        <v>2019</v>
      </c>
      <c r="AC308" s="16" t="s">
        <v>51</v>
      </c>
      <c r="AD308" s="30"/>
      <c r="AE308" s="29"/>
      <c r="AF308" s="29"/>
      <c r="AG308" s="29"/>
    </row>
    <row r="309" spans="1:33" x14ac:dyDescent="0.4">
      <c r="A309" s="108" t="s">
        <v>1643</v>
      </c>
      <c r="B309" s="49">
        <v>9</v>
      </c>
      <c r="C309" s="18">
        <v>307</v>
      </c>
      <c r="D309" s="17"/>
      <c r="E309" s="49" t="s">
        <v>1456</v>
      </c>
      <c r="F309" s="29"/>
      <c r="G309" s="109" t="s">
        <v>1643</v>
      </c>
      <c r="H309" s="110" t="s">
        <v>1680</v>
      </c>
      <c r="I309" s="111" t="s">
        <v>1681</v>
      </c>
      <c r="J309" s="66" t="s">
        <v>1682</v>
      </c>
      <c r="K309" s="66" t="s">
        <v>1683</v>
      </c>
      <c r="L309" s="29" t="s">
        <v>1684</v>
      </c>
      <c r="M309" s="29" t="s">
        <v>1649</v>
      </c>
      <c r="N309" s="29" t="s">
        <v>1670</v>
      </c>
      <c r="O309" s="66"/>
      <c r="P309" s="29" t="s">
        <v>1651</v>
      </c>
      <c r="Q309" s="24" t="s">
        <v>116</v>
      </c>
      <c r="R309" s="66" t="s">
        <v>1408</v>
      </c>
      <c r="S309" s="29" t="s">
        <v>45</v>
      </c>
      <c r="T309" s="84" t="s">
        <v>1685</v>
      </c>
      <c r="U309" s="107" t="s">
        <v>1686</v>
      </c>
      <c r="V309" s="31"/>
      <c r="W309" s="66" t="s">
        <v>1654</v>
      </c>
      <c r="X309" s="66"/>
      <c r="Y309" s="29">
        <v>1</v>
      </c>
      <c r="Z309" s="31"/>
      <c r="AA309" s="31"/>
      <c r="AB309" s="18">
        <v>2019</v>
      </c>
      <c r="AC309" s="16" t="s">
        <v>51</v>
      </c>
      <c r="AD309" s="30"/>
      <c r="AE309" s="29"/>
      <c r="AF309" s="29"/>
      <c r="AG309" s="29"/>
    </row>
    <row r="310" spans="1:33" x14ac:dyDescent="0.4">
      <c r="A310" s="108" t="s">
        <v>1643</v>
      </c>
      <c r="B310" s="49">
        <v>10</v>
      </c>
      <c r="C310" s="18">
        <v>308</v>
      </c>
      <c r="D310" s="17"/>
      <c r="E310" s="49" t="s">
        <v>1456</v>
      </c>
      <c r="F310" s="29"/>
      <c r="G310" s="109" t="s">
        <v>1643</v>
      </c>
      <c r="H310" s="110" t="s">
        <v>1680</v>
      </c>
      <c r="I310" s="111" t="s">
        <v>1681</v>
      </c>
      <c r="J310" s="66" t="s">
        <v>1682</v>
      </c>
      <c r="K310" s="66" t="s">
        <v>1683</v>
      </c>
      <c r="L310" s="29" t="s">
        <v>1687</v>
      </c>
      <c r="M310" s="29" t="s">
        <v>1649</v>
      </c>
      <c r="N310" s="29" t="s">
        <v>1670</v>
      </c>
      <c r="O310" s="66"/>
      <c r="P310" s="29" t="s">
        <v>1651</v>
      </c>
      <c r="Q310" s="24" t="s">
        <v>116</v>
      </c>
      <c r="R310" s="66" t="s">
        <v>1408</v>
      </c>
      <c r="S310" s="29" t="s">
        <v>45</v>
      </c>
      <c r="T310" s="84" t="s">
        <v>1685</v>
      </c>
      <c r="U310" s="107" t="s">
        <v>1686</v>
      </c>
      <c r="V310" s="31"/>
      <c r="W310" s="66" t="s">
        <v>1654</v>
      </c>
      <c r="X310" s="66"/>
      <c r="Y310" s="29">
        <v>1</v>
      </c>
      <c r="Z310" s="31"/>
      <c r="AA310" s="31"/>
      <c r="AB310" s="18">
        <v>2019</v>
      </c>
      <c r="AC310" s="16" t="s">
        <v>51</v>
      </c>
      <c r="AD310" s="30"/>
      <c r="AE310" s="29"/>
      <c r="AF310" s="29"/>
      <c r="AG310" s="29"/>
    </row>
    <row r="311" spans="1:33" x14ac:dyDescent="0.4">
      <c r="A311" s="108" t="s">
        <v>1643</v>
      </c>
      <c r="B311" s="49">
        <v>11</v>
      </c>
      <c r="C311" s="18">
        <v>309</v>
      </c>
      <c r="D311" s="17"/>
      <c r="E311" s="49" t="s">
        <v>1456</v>
      </c>
      <c r="F311" s="29"/>
      <c r="G311" s="109" t="s">
        <v>1643</v>
      </c>
      <c r="H311" s="110" t="s">
        <v>1688</v>
      </c>
      <c r="I311" s="111" t="s">
        <v>1689</v>
      </c>
      <c r="J311" s="66" t="s">
        <v>1690</v>
      </c>
      <c r="K311" s="66" t="s">
        <v>1691</v>
      </c>
      <c r="L311" s="29" t="s">
        <v>1692</v>
      </c>
      <c r="M311" s="29" t="s">
        <v>1649</v>
      </c>
      <c r="N311" s="29" t="s">
        <v>1670</v>
      </c>
      <c r="O311" s="66"/>
      <c r="P311" s="29" t="s">
        <v>1651</v>
      </c>
      <c r="Q311" s="24" t="s">
        <v>116</v>
      </c>
      <c r="R311" s="66" t="s">
        <v>1408</v>
      </c>
      <c r="S311" s="29" t="s">
        <v>45</v>
      </c>
      <c r="T311" s="84" t="s">
        <v>1693</v>
      </c>
      <c r="U311" s="107" t="s">
        <v>1694</v>
      </c>
      <c r="V311" s="31"/>
      <c r="W311" s="66" t="s">
        <v>1654</v>
      </c>
      <c r="X311" s="66"/>
      <c r="Y311" s="29">
        <v>1</v>
      </c>
      <c r="Z311" s="31"/>
      <c r="AA311" s="31"/>
      <c r="AB311" s="18">
        <v>2019</v>
      </c>
      <c r="AC311" s="16" t="s">
        <v>51</v>
      </c>
      <c r="AD311" s="30"/>
      <c r="AE311" s="29"/>
      <c r="AF311" s="29"/>
      <c r="AG311" s="29"/>
    </row>
    <row r="312" spans="1:33" x14ac:dyDescent="0.4">
      <c r="A312" s="108" t="s">
        <v>1643</v>
      </c>
      <c r="B312" s="49">
        <v>12</v>
      </c>
      <c r="C312" s="18">
        <v>310</v>
      </c>
      <c r="D312" s="17"/>
      <c r="E312" s="49" t="s">
        <v>1456</v>
      </c>
      <c r="F312" s="29"/>
      <c r="G312" s="109" t="s">
        <v>1643</v>
      </c>
      <c r="H312" s="110" t="s">
        <v>1688</v>
      </c>
      <c r="I312" s="111" t="s">
        <v>1689</v>
      </c>
      <c r="J312" s="66" t="s">
        <v>1690</v>
      </c>
      <c r="K312" s="66" t="s">
        <v>1691</v>
      </c>
      <c r="L312" s="29" t="s">
        <v>1695</v>
      </c>
      <c r="M312" s="29" t="s">
        <v>1649</v>
      </c>
      <c r="N312" s="29" t="s">
        <v>1670</v>
      </c>
      <c r="O312" s="66"/>
      <c r="P312" s="29" t="s">
        <v>1651</v>
      </c>
      <c r="Q312" s="24" t="s">
        <v>116</v>
      </c>
      <c r="R312" s="66" t="s">
        <v>1408</v>
      </c>
      <c r="S312" s="29" t="s">
        <v>45</v>
      </c>
      <c r="T312" s="84" t="s">
        <v>1693</v>
      </c>
      <c r="U312" s="107" t="s">
        <v>1694</v>
      </c>
      <c r="V312" s="31"/>
      <c r="W312" s="66" t="s">
        <v>1654</v>
      </c>
      <c r="X312" s="66"/>
      <c r="Y312" s="29">
        <v>1</v>
      </c>
      <c r="Z312" s="31"/>
      <c r="AA312" s="31"/>
      <c r="AB312" s="18">
        <v>2019</v>
      </c>
      <c r="AC312" s="16" t="s">
        <v>51</v>
      </c>
      <c r="AD312" s="30"/>
      <c r="AE312" s="29"/>
      <c r="AF312" s="29"/>
      <c r="AG312" s="29"/>
    </row>
    <row r="313" spans="1:33" x14ac:dyDescent="0.4">
      <c r="A313" s="108" t="s">
        <v>1643</v>
      </c>
      <c r="B313" s="49">
        <v>13</v>
      </c>
      <c r="C313" s="18">
        <v>311</v>
      </c>
      <c r="D313" s="17"/>
      <c r="E313" s="49" t="s">
        <v>1456</v>
      </c>
      <c r="F313" s="29"/>
      <c r="G313" s="109" t="s">
        <v>1643</v>
      </c>
      <c r="H313" s="110" t="s">
        <v>1688</v>
      </c>
      <c r="I313" s="111" t="s">
        <v>1689</v>
      </c>
      <c r="J313" s="66" t="s">
        <v>1690</v>
      </c>
      <c r="K313" s="66" t="s">
        <v>1691</v>
      </c>
      <c r="L313" s="29" t="s">
        <v>1696</v>
      </c>
      <c r="M313" s="29" t="s">
        <v>1649</v>
      </c>
      <c r="N313" s="29" t="s">
        <v>1670</v>
      </c>
      <c r="O313" s="66"/>
      <c r="P313" s="29" t="s">
        <v>1651</v>
      </c>
      <c r="Q313" s="24" t="s">
        <v>116</v>
      </c>
      <c r="R313" s="66" t="s">
        <v>1408</v>
      </c>
      <c r="S313" s="29" t="s">
        <v>68</v>
      </c>
      <c r="T313" s="84" t="s">
        <v>1693</v>
      </c>
      <c r="U313" s="107" t="s">
        <v>1694</v>
      </c>
      <c r="V313" s="31"/>
      <c r="W313" s="66" t="s">
        <v>1654</v>
      </c>
      <c r="X313" s="66"/>
      <c r="Y313" s="29">
        <v>1</v>
      </c>
      <c r="Z313" s="31"/>
      <c r="AA313" s="31"/>
      <c r="AB313" s="18">
        <v>2019</v>
      </c>
      <c r="AC313" s="16" t="s">
        <v>51</v>
      </c>
      <c r="AD313" s="30"/>
      <c r="AE313" s="29"/>
      <c r="AF313" s="29"/>
      <c r="AG313" s="29"/>
    </row>
    <row r="314" spans="1:33" x14ac:dyDescent="0.4">
      <c r="A314" s="108" t="s">
        <v>1643</v>
      </c>
      <c r="B314" s="49">
        <v>14</v>
      </c>
      <c r="C314" s="18">
        <v>312</v>
      </c>
      <c r="D314" s="17"/>
      <c r="E314" s="49" t="s">
        <v>1456</v>
      </c>
      <c r="F314" s="29"/>
      <c r="G314" s="109" t="s">
        <v>1643</v>
      </c>
      <c r="H314" s="110" t="s">
        <v>1697</v>
      </c>
      <c r="I314" s="111" t="s">
        <v>1698</v>
      </c>
      <c r="J314" s="66" t="s">
        <v>1699</v>
      </c>
      <c r="K314" s="66" t="s">
        <v>1700</v>
      </c>
      <c r="L314" s="29" t="s">
        <v>1701</v>
      </c>
      <c r="M314" s="29" t="s">
        <v>1649</v>
      </c>
      <c r="N314" s="29" t="s">
        <v>1670</v>
      </c>
      <c r="O314" s="66"/>
      <c r="P314" s="29" t="s">
        <v>1651</v>
      </c>
      <c r="Q314" s="24" t="s">
        <v>116</v>
      </c>
      <c r="R314" s="66" t="s">
        <v>1408</v>
      </c>
      <c r="S314" s="29" t="s">
        <v>45</v>
      </c>
      <c r="T314" s="84" t="s">
        <v>1702</v>
      </c>
      <c r="U314" s="107" t="s">
        <v>1703</v>
      </c>
      <c r="V314" s="31"/>
      <c r="W314" s="66" t="s">
        <v>1654</v>
      </c>
      <c r="X314" s="66"/>
      <c r="Y314" s="29">
        <v>1</v>
      </c>
      <c r="Z314" s="31"/>
      <c r="AA314" s="31"/>
      <c r="AB314" s="18">
        <v>2019</v>
      </c>
      <c r="AC314" s="16" t="s">
        <v>51</v>
      </c>
      <c r="AD314" s="30"/>
      <c r="AE314" s="29"/>
      <c r="AF314" s="29"/>
      <c r="AG314" s="29"/>
    </row>
    <row r="315" spans="1:33" x14ac:dyDescent="0.4">
      <c r="A315" s="108" t="s">
        <v>1643</v>
      </c>
      <c r="B315" s="49">
        <v>15</v>
      </c>
      <c r="C315" s="18">
        <v>313</v>
      </c>
      <c r="D315" s="17"/>
      <c r="E315" s="49" t="s">
        <v>1456</v>
      </c>
      <c r="F315" s="29"/>
      <c r="G315" s="109" t="s">
        <v>1643</v>
      </c>
      <c r="H315" s="110" t="s">
        <v>1697</v>
      </c>
      <c r="I315" s="111" t="s">
        <v>1698</v>
      </c>
      <c r="J315" s="66" t="s">
        <v>1699</v>
      </c>
      <c r="K315" s="66" t="s">
        <v>1700</v>
      </c>
      <c r="L315" s="29" t="s">
        <v>1704</v>
      </c>
      <c r="M315" s="29" t="s">
        <v>1649</v>
      </c>
      <c r="N315" s="29" t="s">
        <v>1670</v>
      </c>
      <c r="O315" s="66"/>
      <c r="P315" s="29" t="s">
        <v>1651</v>
      </c>
      <c r="Q315" s="24" t="s">
        <v>116</v>
      </c>
      <c r="R315" s="66" t="s">
        <v>1408</v>
      </c>
      <c r="S315" s="29" t="s">
        <v>45</v>
      </c>
      <c r="T315" s="84" t="s">
        <v>1702</v>
      </c>
      <c r="U315" s="107" t="s">
        <v>1703</v>
      </c>
      <c r="V315" s="31"/>
      <c r="W315" s="66" t="s">
        <v>1654</v>
      </c>
      <c r="X315" s="66"/>
      <c r="Y315" s="29">
        <v>1</v>
      </c>
      <c r="Z315" s="31"/>
      <c r="AA315" s="31"/>
      <c r="AB315" s="18">
        <v>2019</v>
      </c>
      <c r="AC315" s="16" t="s">
        <v>51</v>
      </c>
      <c r="AD315" s="30"/>
      <c r="AE315" s="29"/>
      <c r="AF315" s="29"/>
      <c r="AG315" s="29"/>
    </row>
    <row r="316" spans="1:33" x14ac:dyDescent="0.4">
      <c r="A316" s="108" t="s">
        <v>1643</v>
      </c>
      <c r="B316" s="49">
        <v>16</v>
      </c>
      <c r="C316" s="18">
        <v>314</v>
      </c>
      <c r="D316" s="17"/>
      <c r="E316" s="49" t="s">
        <v>1456</v>
      </c>
      <c r="F316" s="29"/>
      <c r="G316" s="109" t="s">
        <v>1643</v>
      </c>
      <c r="H316" s="110" t="s">
        <v>1697</v>
      </c>
      <c r="I316" s="111" t="s">
        <v>1698</v>
      </c>
      <c r="J316" s="66" t="s">
        <v>1699</v>
      </c>
      <c r="K316" s="66" t="s">
        <v>1700</v>
      </c>
      <c r="L316" s="29" t="s">
        <v>1705</v>
      </c>
      <c r="M316" s="29" t="s">
        <v>1649</v>
      </c>
      <c r="N316" s="29" t="s">
        <v>1670</v>
      </c>
      <c r="O316" s="66"/>
      <c r="P316" s="29" t="s">
        <v>1651</v>
      </c>
      <c r="Q316" s="24" t="s">
        <v>116</v>
      </c>
      <c r="R316" s="66" t="s">
        <v>1408</v>
      </c>
      <c r="S316" s="29" t="s">
        <v>45</v>
      </c>
      <c r="T316" s="84" t="s">
        <v>1702</v>
      </c>
      <c r="U316" s="107" t="s">
        <v>1703</v>
      </c>
      <c r="V316" s="31"/>
      <c r="W316" s="66" t="s">
        <v>1654</v>
      </c>
      <c r="X316" s="66"/>
      <c r="Y316" s="29">
        <v>1</v>
      </c>
      <c r="Z316" s="31"/>
      <c r="AA316" s="31"/>
      <c r="AB316" s="18">
        <v>2019</v>
      </c>
      <c r="AC316" s="16" t="s">
        <v>51</v>
      </c>
      <c r="AD316" s="30"/>
      <c r="AE316" s="29"/>
      <c r="AF316" s="29"/>
      <c r="AG316" s="29"/>
    </row>
    <row r="317" spans="1:33" x14ac:dyDescent="0.4">
      <c r="A317" s="108" t="s">
        <v>1643</v>
      </c>
      <c r="B317" s="49">
        <v>17</v>
      </c>
      <c r="C317" s="18">
        <v>315</v>
      </c>
      <c r="D317" s="17"/>
      <c r="E317" s="49" t="s">
        <v>1456</v>
      </c>
      <c r="F317" s="29"/>
      <c r="G317" s="109" t="s">
        <v>1643</v>
      </c>
      <c r="H317" s="110" t="s">
        <v>1697</v>
      </c>
      <c r="I317" s="111" t="s">
        <v>1698</v>
      </c>
      <c r="J317" s="66" t="s">
        <v>1699</v>
      </c>
      <c r="K317" s="66" t="s">
        <v>1700</v>
      </c>
      <c r="L317" s="29" t="s">
        <v>1706</v>
      </c>
      <c r="M317" s="29" t="s">
        <v>1649</v>
      </c>
      <c r="N317" s="29" t="s">
        <v>1670</v>
      </c>
      <c r="O317" s="66"/>
      <c r="P317" s="29" t="s">
        <v>1651</v>
      </c>
      <c r="Q317" s="24" t="s">
        <v>116</v>
      </c>
      <c r="R317" s="66" t="s">
        <v>1408</v>
      </c>
      <c r="S317" s="29" t="s">
        <v>45</v>
      </c>
      <c r="T317" s="84" t="s">
        <v>1702</v>
      </c>
      <c r="U317" s="107" t="s">
        <v>1703</v>
      </c>
      <c r="V317" s="31"/>
      <c r="W317" s="66" t="s">
        <v>1654</v>
      </c>
      <c r="X317" s="66"/>
      <c r="Y317" s="29">
        <v>1</v>
      </c>
      <c r="Z317" s="31"/>
      <c r="AA317" s="31"/>
      <c r="AB317" s="18">
        <v>2019</v>
      </c>
      <c r="AC317" s="16" t="s">
        <v>51</v>
      </c>
      <c r="AD317" s="30"/>
      <c r="AE317" s="29"/>
      <c r="AF317" s="29"/>
      <c r="AG317" s="29"/>
    </row>
    <row r="318" spans="1:33" x14ac:dyDescent="0.4">
      <c r="A318" s="108" t="s">
        <v>1643</v>
      </c>
      <c r="B318" s="49">
        <v>18</v>
      </c>
      <c r="C318" s="18">
        <v>316</v>
      </c>
      <c r="D318" s="17"/>
      <c r="E318" s="49" t="s">
        <v>1456</v>
      </c>
      <c r="F318" s="29"/>
      <c r="G318" s="109" t="s">
        <v>1643</v>
      </c>
      <c r="H318" s="110" t="s">
        <v>1697</v>
      </c>
      <c r="I318" s="111" t="s">
        <v>1698</v>
      </c>
      <c r="J318" s="66" t="s">
        <v>1699</v>
      </c>
      <c r="K318" s="66" t="s">
        <v>1700</v>
      </c>
      <c r="L318" s="29" t="s">
        <v>1707</v>
      </c>
      <c r="M318" s="29" t="s">
        <v>1649</v>
      </c>
      <c r="N318" s="29" t="s">
        <v>1670</v>
      </c>
      <c r="O318" s="66"/>
      <c r="P318" s="29" t="s">
        <v>1651</v>
      </c>
      <c r="Q318" s="24" t="s">
        <v>116</v>
      </c>
      <c r="R318" s="66" t="s">
        <v>1408</v>
      </c>
      <c r="S318" s="29" t="s">
        <v>68</v>
      </c>
      <c r="T318" s="84" t="s">
        <v>1702</v>
      </c>
      <c r="U318" s="107" t="s">
        <v>1703</v>
      </c>
      <c r="V318" s="31"/>
      <c r="W318" s="66" t="s">
        <v>1654</v>
      </c>
      <c r="X318" s="66"/>
      <c r="Y318" s="29">
        <v>1</v>
      </c>
      <c r="Z318" s="31"/>
      <c r="AA318" s="31"/>
      <c r="AB318" s="18">
        <v>2019</v>
      </c>
      <c r="AC318" s="16" t="s">
        <v>51</v>
      </c>
      <c r="AD318" s="30"/>
      <c r="AE318" s="29"/>
      <c r="AF318" s="29"/>
      <c r="AG318" s="29"/>
    </row>
    <row r="319" spans="1:33" x14ac:dyDescent="0.4">
      <c r="A319" s="108" t="s">
        <v>1643</v>
      </c>
      <c r="B319" s="49">
        <v>19</v>
      </c>
      <c r="C319" s="18">
        <v>317</v>
      </c>
      <c r="D319" s="17"/>
      <c r="E319" s="49" t="s">
        <v>1456</v>
      </c>
      <c r="F319" s="29"/>
      <c r="G319" s="109" t="s">
        <v>1643</v>
      </c>
      <c r="H319" s="110" t="s">
        <v>1708</v>
      </c>
      <c r="I319" s="111" t="s">
        <v>1709</v>
      </c>
      <c r="J319" s="66" t="s">
        <v>1710</v>
      </c>
      <c r="K319" s="66" t="s">
        <v>1711</v>
      </c>
      <c r="L319" s="29" t="s">
        <v>1712</v>
      </c>
      <c r="M319" s="29" t="s">
        <v>1649</v>
      </c>
      <c r="N319" s="29" t="s">
        <v>1670</v>
      </c>
      <c r="O319" s="66"/>
      <c r="P319" s="29" t="s">
        <v>1651</v>
      </c>
      <c r="Q319" s="24" t="s">
        <v>116</v>
      </c>
      <c r="R319" s="66" t="s">
        <v>1408</v>
      </c>
      <c r="S319" s="29" t="s">
        <v>45</v>
      </c>
      <c r="T319" s="84" t="s">
        <v>1713</v>
      </c>
      <c r="U319" s="107" t="s">
        <v>1714</v>
      </c>
      <c r="V319" s="31"/>
      <c r="W319" s="66" t="s">
        <v>1654</v>
      </c>
      <c r="X319" s="66"/>
      <c r="Y319" s="29">
        <v>1</v>
      </c>
      <c r="Z319" s="31"/>
      <c r="AA319" s="31"/>
      <c r="AB319" s="18">
        <v>2019</v>
      </c>
      <c r="AC319" s="16" t="s">
        <v>51</v>
      </c>
      <c r="AD319" s="30"/>
      <c r="AE319" s="29"/>
      <c r="AF319" s="29"/>
      <c r="AG319" s="29"/>
    </row>
    <row r="320" spans="1:33" x14ac:dyDescent="0.4">
      <c r="A320" s="108" t="s">
        <v>1643</v>
      </c>
      <c r="B320" s="49">
        <v>20</v>
      </c>
      <c r="C320" s="18">
        <v>318</v>
      </c>
      <c r="D320" s="17"/>
      <c r="E320" s="49" t="s">
        <v>1456</v>
      </c>
      <c r="F320" s="29"/>
      <c r="G320" s="109" t="s">
        <v>1643</v>
      </c>
      <c r="H320" s="110" t="s">
        <v>1708</v>
      </c>
      <c r="I320" s="111" t="s">
        <v>1709</v>
      </c>
      <c r="J320" s="66" t="s">
        <v>1710</v>
      </c>
      <c r="K320" s="66" t="s">
        <v>1711</v>
      </c>
      <c r="L320" s="29" t="s">
        <v>1715</v>
      </c>
      <c r="M320" s="29" t="s">
        <v>1649</v>
      </c>
      <c r="N320" s="29" t="s">
        <v>1670</v>
      </c>
      <c r="O320" s="66"/>
      <c r="P320" s="29" t="s">
        <v>1651</v>
      </c>
      <c r="Q320" s="24" t="s">
        <v>116</v>
      </c>
      <c r="R320" s="66" t="s">
        <v>1408</v>
      </c>
      <c r="S320" s="29" t="s">
        <v>68</v>
      </c>
      <c r="T320" s="84" t="s">
        <v>1713</v>
      </c>
      <c r="U320" s="107" t="s">
        <v>1714</v>
      </c>
      <c r="V320" s="31"/>
      <c r="W320" s="66" t="s">
        <v>1654</v>
      </c>
      <c r="X320" s="66"/>
      <c r="Y320" s="29">
        <v>1</v>
      </c>
      <c r="Z320" s="31"/>
      <c r="AA320" s="31"/>
      <c r="AB320" s="18">
        <v>2019</v>
      </c>
      <c r="AC320" s="16" t="s">
        <v>51</v>
      </c>
      <c r="AD320" s="30"/>
      <c r="AE320" s="29"/>
      <c r="AF320" s="29"/>
      <c r="AG320" s="29"/>
    </row>
    <row r="321" spans="1:33" x14ac:dyDescent="0.4">
      <c r="A321" s="108" t="s">
        <v>1643</v>
      </c>
      <c r="B321" s="49">
        <v>21</v>
      </c>
      <c r="C321" s="18">
        <v>319</v>
      </c>
      <c r="D321" s="17"/>
      <c r="E321" s="49" t="s">
        <v>1456</v>
      </c>
      <c r="F321" s="29"/>
      <c r="G321" s="109" t="s">
        <v>1643</v>
      </c>
      <c r="H321" s="110" t="s">
        <v>1716</v>
      </c>
      <c r="I321" s="111" t="s">
        <v>1717</v>
      </c>
      <c r="J321" s="66" t="s">
        <v>1718</v>
      </c>
      <c r="K321" s="66" t="s">
        <v>1719</v>
      </c>
      <c r="L321" s="29" t="s">
        <v>1720</v>
      </c>
      <c r="M321" s="29" t="s">
        <v>1649</v>
      </c>
      <c r="N321" s="29" t="s">
        <v>1670</v>
      </c>
      <c r="O321" s="66"/>
      <c r="P321" s="29" t="s">
        <v>1651</v>
      </c>
      <c r="Q321" s="24" t="s">
        <v>116</v>
      </c>
      <c r="R321" s="66" t="s">
        <v>1408</v>
      </c>
      <c r="S321" s="29" t="s">
        <v>45</v>
      </c>
      <c r="T321" s="84" t="s">
        <v>1721</v>
      </c>
      <c r="U321" s="107" t="s">
        <v>1722</v>
      </c>
      <c r="V321" s="31"/>
      <c r="W321" s="66" t="s">
        <v>1654</v>
      </c>
      <c r="X321" s="66"/>
      <c r="Y321" s="29">
        <v>1</v>
      </c>
      <c r="Z321" s="31"/>
      <c r="AA321" s="31"/>
      <c r="AB321" s="18">
        <v>2019</v>
      </c>
      <c r="AC321" s="16" t="s">
        <v>51</v>
      </c>
      <c r="AD321" s="30"/>
      <c r="AE321" s="29"/>
      <c r="AF321" s="29"/>
      <c r="AG321" s="29"/>
    </row>
    <row r="322" spans="1:33" x14ac:dyDescent="0.4">
      <c r="A322" s="108" t="s">
        <v>1643</v>
      </c>
      <c r="B322" s="49">
        <v>22</v>
      </c>
      <c r="C322" s="18">
        <v>320</v>
      </c>
      <c r="D322" s="17"/>
      <c r="E322" s="49" t="s">
        <v>1456</v>
      </c>
      <c r="F322" s="29"/>
      <c r="G322" s="109" t="s">
        <v>1643</v>
      </c>
      <c r="H322" s="110" t="s">
        <v>1716</v>
      </c>
      <c r="I322" s="111" t="s">
        <v>1717</v>
      </c>
      <c r="J322" s="66" t="s">
        <v>1718</v>
      </c>
      <c r="K322" s="66" t="s">
        <v>1719</v>
      </c>
      <c r="L322" s="29" t="s">
        <v>1723</v>
      </c>
      <c r="M322" s="29" t="s">
        <v>1649</v>
      </c>
      <c r="N322" s="29" t="s">
        <v>1670</v>
      </c>
      <c r="O322" s="66"/>
      <c r="P322" s="29" t="s">
        <v>1651</v>
      </c>
      <c r="Q322" s="24" t="s">
        <v>116</v>
      </c>
      <c r="R322" s="66" t="s">
        <v>1408</v>
      </c>
      <c r="S322" s="29" t="s">
        <v>45</v>
      </c>
      <c r="T322" s="84" t="s">
        <v>1721</v>
      </c>
      <c r="U322" s="107" t="s">
        <v>1722</v>
      </c>
      <c r="V322" s="31"/>
      <c r="W322" s="66" t="s">
        <v>1654</v>
      </c>
      <c r="X322" s="66"/>
      <c r="Y322" s="29">
        <v>1</v>
      </c>
      <c r="Z322" s="31"/>
      <c r="AA322" s="31"/>
      <c r="AB322" s="18">
        <v>2019</v>
      </c>
      <c r="AC322" s="16" t="s">
        <v>51</v>
      </c>
      <c r="AD322" s="30"/>
      <c r="AE322" s="29"/>
      <c r="AF322" s="29"/>
      <c r="AG322" s="29"/>
    </row>
    <row r="323" spans="1:33" x14ac:dyDescent="0.4">
      <c r="A323" s="108" t="s">
        <v>1643</v>
      </c>
      <c r="B323" s="49">
        <v>23</v>
      </c>
      <c r="C323" s="18">
        <v>321</v>
      </c>
      <c r="D323" s="17"/>
      <c r="E323" s="49" t="s">
        <v>1456</v>
      </c>
      <c r="F323" s="29"/>
      <c r="G323" s="109" t="s">
        <v>1643</v>
      </c>
      <c r="H323" s="110" t="s">
        <v>1724</v>
      </c>
      <c r="I323" s="111" t="s">
        <v>1725</v>
      </c>
      <c r="J323" s="66" t="s">
        <v>1726</v>
      </c>
      <c r="K323" s="66" t="s">
        <v>1727</v>
      </c>
      <c r="L323" s="29" t="s">
        <v>1728</v>
      </c>
      <c r="M323" s="29" t="s">
        <v>1649</v>
      </c>
      <c r="N323" s="29" t="s">
        <v>1670</v>
      </c>
      <c r="O323" s="66"/>
      <c r="P323" s="29" t="s">
        <v>1651</v>
      </c>
      <c r="Q323" s="24" t="s">
        <v>116</v>
      </c>
      <c r="R323" s="66" t="s">
        <v>1408</v>
      </c>
      <c r="S323" s="29" t="s">
        <v>45</v>
      </c>
      <c r="T323" s="84" t="s">
        <v>1729</v>
      </c>
      <c r="U323" s="107" t="s">
        <v>1730</v>
      </c>
      <c r="V323" s="31"/>
      <c r="W323" s="66" t="s">
        <v>1654</v>
      </c>
      <c r="X323" s="66"/>
      <c r="Y323" s="29">
        <v>1</v>
      </c>
      <c r="Z323" s="31"/>
      <c r="AA323" s="31"/>
      <c r="AB323" s="18">
        <v>2019</v>
      </c>
      <c r="AC323" s="16" t="s">
        <v>51</v>
      </c>
      <c r="AD323" s="30"/>
      <c r="AE323" s="29"/>
      <c r="AF323" s="29"/>
      <c r="AG323" s="29"/>
    </row>
    <row r="324" spans="1:33" x14ac:dyDescent="0.4">
      <c r="A324" s="108" t="s">
        <v>1643</v>
      </c>
      <c r="B324" s="49">
        <v>24</v>
      </c>
      <c r="C324" s="18">
        <v>322</v>
      </c>
      <c r="D324" s="17"/>
      <c r="E324" s="49" t="s">
        <v>1456</v>
      </c>
      <c r="F324" s="29"/>
      <c r="G324" s="109" t="s">
        <v>1643</v>
      </c>
      <c r="H324" s="110" t="s">
        <v>1724</v>
      </c>
      <c r="I324" s="111" t="s">
        <v>1725</v>
      </c>
      <c r="J324" s="66" t="s">
        <v>1726</v>
      </c>
      <c r="K324" s="66" t="s">
        <v>1727</v>
      </c>
      <c r="L324" s="29" t="s">
        <v>1731</v>
      </c>
      <c r="M324" s="29" t="s">
        <v>1649</v>
      </c>
      <c r="N324" s="29" t="s">
        <v>1670</v>
      </c>
      <c r="O324" s="66"/>
      <c r="P324" s="29" t="s">
        <v>1651</v>
      </c>
      <c r="Q324" s="24" t="s">
        <v>116</v>
      </c>
      <c r="R324" s="66" t="s">
        <v>1408</v>
      </c>
      <c r="S324" s="29" t="s">
        <v>45</v>
      </c>
      <c r="T324" s="84" t="s">
        <v>1729</v>
      </c>
      <c r="U324" s="107" t="s">
        <v>1730</v>
      </c>
      <c r="V324" s="31"/>
      <c r="W324" s="66" t="s">
        <v>1654</v>
      </c>
      <c r="X324" s="66"/>
      <c r="Y324" s="29">
        <v>1</v>
      </c>
      <c r="Z324" s="31"/>
      <c r="AA324" s="31"/>
      <c r="AB324" s="18">
        <v>2019</v>
      </c>
      <c r="AC324" s="16" t="s">
        <v>51</v>
      </c>
      <c r="AD324" s="30"/>
      <c r="AE324" s="29"/>
      <c r="AF324" s="29"/>
      <c r="AG324" s="29"/>
    </row>
    <row r="325" spans="1:33" x14ac:dyDescent="0.4">
      <c r="A325" s="108" t="s">
        <v>1643</v>
      </c>
      <c r="B325" s="49">
        <v>25</v>
      </c>
      <c r="C325" s="18">
        <v>323</v>
      </c>
      <c r="D325" s="17"/>
      <c r="E325" s="49" t="s">
        <v>1456</v>
      </c>
      <c r="F325" s="29"/>
      <c r="G325" s="109" t="s">
        <v>1643</v>
      </c>
      <c r="H325" s="110" t="s">
        <v>1724</v>
      </c>
      <c r="I325" s="111" t="s">
        <v>1725</v>
      </c>
      <c r="J325" s="66" t="s">
        <v>1726</v>
      </c>
      <c r="K325" s="66" t="s">
        <v>1727</v>
      </c>
      <c r="L325" s="29" t="s">
        <v>1732</v>
      </c>
      <c r="M325" s="29" t="s">
        <v>1649</v>
      </c>
      <c r="N325" s="29" t="s">
        <v>1670</v>
      </c>
      <c r="O325" s="66"/>
      <c r="P325" s="29" t="s">
        <v>1651</v>
      </c>
      <c r="Q325" s="24" t="s">
        <v>116</v>
      </c>
      <c r="R325" s="66" t="s">
        <v>1408</v>
      </c>
      <c r="S325" s="29" t="s">
        <v>68</v>
      </c>
      <c r="T325" s="84" t="s">
        <v>1729</v>
      </c>
      <c r="U325" s="107" t="s">
        <v>1730</v>
      </c>
      <c r="V325" s="31"/>
      <c r="W325" s="66" t="s">
        <v>1654</v>
      </c>
      <c r="X325" s="66"/>
      <c r="Y325" s="29">
        <v>1</v>
      </c>
      <c r="Z325" s="31"/>
      <c r="AA325" s="31"/>
      <c r="AB325" s="18">
        <v>2019</v>
      </c>
      <c r="AC325" s="16" t="s">
        <v>51</v>
      </c>
      <c r="AD325" s="30"/>
      <c r="AE325" s="29"/>
      <c r="AF325" s="29"/>
      <c r="AG325" s="29"/>
    </row>
    <row r="326" spans="1:33" x14ac:dyDescent="0.4">
      <c r="A326" s="108" t="s">
        <v>1643</v>
      </c>
      <c r="B326" s="49">
        <v>26</v>
      </c>
      <c r="C326" s="18">
        <v>324</v>
      </c>
      <c r="D326" s="17"/>
      <c r="E326" s="49" t="s">
        <v>1456</v>
      </c>
      <c r="F326" s="29"/>
      <c r="G326" s="109" t="s">
        <v>1643</v>
      </c>
      <c r="H326" s="110" t="s">
        <v>1724</v>
      </c>
      <c r="I326" s="111" t="s">
        <v>1725</v>
      </c>
      <c r="J326" s="66" t="s">
        <v>1726</v>
      </c>
      <c r="K326" s="66" t="s">
        <v>1727</v>
      </c>
      <c r="L326" s="29" t="s">
        <v>1733</v>
      </c>
      <c r="M326" s="29" t="s">
        <v>1649</v>
      </c>
      <c r="N326" s="29" t="s">
        <v>1670</v>
      </c>
      <c r="O326" s="66"/>
      <c r="P326" s="29" t="s">
        <v>1651</v>
      </c>
      <c r="Q326" s="24" t="s">
        <v>116</v>
      </c>
      <c r="R326" s="66" t="s">
        <v>1408</v>
      </c>
      <c r="S326" s="29" t="s">
        <v>68</v>
      </c>
      <c r="T326" s="84" t="s">
        <v>1729</v>
      </c>
      <c r="U326" s="107" t="s">
        <v>1730</v>
      </c>
      <c r="V326" s="31"/>
      <c r="W326" s="66" t="s">
        <v>1654</v>
      </c>
      <c r="X326" s="66"/>
      <c r="Y326" s="29">
        <v>1</v>
      </c>
      <c r="Z326" s="31"/>
      <c r="AA326" s="31"/>
      <c r="AB326" s="18">
        <v>2019</v>
      </c>
      <c r="AC326" s="16" t="s">
        <v>51</v>
      </c>
      <c r="AD326" s="30"/>
      <c r="AE326" s="29"/>
      <c r="AF326" s="29"/>
      <c r="AG326" s="29"/>
    </row>
    <row r="327" spans="1:33" x14ac:dyDescent="0.4">
      <c r="A327" s="108" t="s">
        <v>1643</v>
      </c>
      <c r="B327" s="49">
        <v>27</v>
      </c>
      <c r="C327" s="18">
        <v>325</v>
      </c>
      <c r="D327" s="17"/>
      <c r="E327" s="49" t="s">
        <v>1456</v>
      </c>
      <c r="F327" s="29"/>
      <c r="G327" s="109" t="s">
        <v>1643</v>
      </c>
      <c r="H327" s="110" t="s">
        <v>1724</v>
      </c>
      <c r="I327" s="111" t="s">
        <v>1725</v>
      </c>
      <c r="J327" s="66" t="s">
        <v>1726</v>
      </c>
      <c r="K327" s="66" t="s">
        <v>1727</v>
      </c>
      <c r="L327" s="29" t="s">
        <v>1734</v>
      </c>
      <c r="M327" s="29" t="s">
        <v>1649</v>
      </c>
      <c r="N327" s="29" t="s">
        <v>1670</v>
      </c>
      <c r="O327" s="66"/>
      <c r="P327" s="29" t="s">
        <v>1651</v>
      </c>
      <c r="Q327" s="24" t="s">
        <v>116</v>
      </c>
      <c r="R327" s="66" t="s">
        <v>1408</v>
      </c>
      <c r="S327" s="29" t="s">
        <v>68</v>
      </c>
      <c r="T327" s="84" t="s">
        <v>1729</v>
      </c>
      <c r="U327" s="107" t="s">
        <v>1730</v>
      </c>
      <c r="V327" s="31"/>
      <c r="W327" s="66" t="s">
        <v>1654</v>
      </c>
      <c r="X327" s="66"/>
      <c r="Y327" s="29">
        <v>1</v>
      </c>
      <c r="Z327" s="31"/>
      <c r="AA327" s="31"/>
      <c r="AB327" s="18">
        <v>2019</v>
      </c>
      <c r="AC327" s="16" t="s">
        <v>51</v>
      </c>
      <c r="AD327" s="30"/>
      <c r="AE327" s="29"/>
      <c r="AF327" s="29"/>
      <c r="AG327" s="29"/>
    </row>
    <row r="328" spans="1:33" x14ac:dyDescent="0.4">
      <c r="A328" s="108" t="s">
        <v>1735</v>
      </c>
      <c r="B328" s="49">
        <v>1</v>
      </c>
      <c r="C328" s="18">
        <v>326</v>
      </c>
      <c r="D328" s="17" t="s">
        <v>1736</v>
      </c>
      <c r="E328" s="49">
        <v>2339199</v>
      </c>
      <c r="F328" s="29"/>
      <c r="G328" s="109" t="s">
        <v>36</v>
      </c>
      <c r="H328" s="112" t="s">
        <v>1737</v>
      </c>
      <c r="I328" s="112" t="s">
        <v>1737</v>
      </c>
      <c r="J328" s="113" t="s">
        <v>1738</v>
      </c>
      <c r="K328" s="113" t="s">
        <v>1739</v>
      </c>
      <c r="L328" s="113" t="s">
        <v>1740</v>
      </c>
      <c r="M328" s="29" t="s">
        <v>1741</v>
      </c>
      <c r="N328" s="29" t="s">
        <v>1742</v>
      </c>
      <c r="O328" s="66"/>
      <c r="P328" s="29" t="s">
        <v>1743</v>
      </c>
      <c r="Q328" s="24" t="s">
        <v>17</v>
      </c>
      <c r="R328" s="66" t="s">
        <v>1744</v>
      </c>
      <c r="S328" s="29" t="s">
        <v>68</v>
      </c>
      <c r="T328" s="29" t="s">
        <v>1745</v>
      </c>
      <c r="U328" s="107" t="s">
        <v>1746</v>
      </c>
      <c r="V328" s="31"/>
      <c r="W328" s="66" t="s">
        <v>1747</v>
      </c>
      <c r="X328" s="66"/>
      <c r="Y328" s="16">
        <v>1</v>
      </c>
      <c r="Z328" s="31"/>
      <c r="AA328" s="31"/>
      <c r="AB328" s="18">
        <v>2016</v>
      </c>
      <c r="AC328" s="16" t="s">
        <v>51</v>
      </c>
      <c r="AD328" s="30"/>
      <c r="AE328" s="29"/>
      <c r="AF328" s="29"/>
      <c r="AG328" s="29"/>
    </row>
    <row r="329" spans="1:33" x14ac:dyDescent="0.4">
      <c r="A329" s="108" t="s">
        <v>1735</v>
      </c>
      <c r="B329" s="49">
        <v>2</v>
      </c>
      <c r="C329" s="18">
        <v>327</v>
      </c>
      <c r="D329" s="17" t="s">
        <v>1748</v>
      </c>
      <c r="E329" s="49">
        <v>2339199</v>
      </c>
      <c r="F329" s="29"/>
      <c r="G329" s="109" t="s">
        <v>36</v>
      </c>
      <c r="H329" s="112" t="s">
        <v>1737</v>
      </c>
      <c r="I329" s="112" t="s">
        <v>1737</v>
      </c>
      <c r="J329" s="113" t="s">
        <v>1738</v>
      </c>
      <c r="K329" s="113" t="s">
        <v>1739</v>
      </c>
      <c r="L329" s="113" t="s">
        <v>1749</v>
      </c>
      <c r="M329" s="29" t="s">
        <v>1741</v>
      </c>
      <c r="N329" s="29" t="s">
        <v>1742</v>
      </c>
      <c r="O329" s="66"/>
      <c r="P329" s="29" t="s">
        <v>1743</v>
      </c>
      <c r="Q329" s="24" t="s">
        <v>17</v>
      </c>
      <c r="R329" s="66" t="s">
        <v>1744</v>
      </c>
      <c r="S329" s="29" t="s">
        <v>68</v>
      </c>
      <c r="T329" s="29" t="s">
        <v>1745</v>
      </c>
      <c r="U329" s="107" t="s">
        <v>1746</v>
      </c>
      <c r="V329" s="31"/>
      <c r="W329" s="66" t="s">
        <v>1747</v>
      </c>
      <c r="X329" s="66"/>
      <c r="Y329" s="16">
        <v>1</v>
      </c>
      <c r="Z329" s="31"/>
      <c r="AA329" s="31"/>
      <c r="AB329" s="18">
        <v>2016</v>
      </c>
      <c r="AC329" s="16" t="s">
        <v>51</v>
      </c>
      <c r="AD329" s="30"/>
      <c r="AE329" s="29"/>
      <c r="AF329" s="29"/>
      <c r="AG329" s="29"/>
    </row>
    <row r="330" spans="1:33" x14ac:dyDescent="0.4">
      <c r="A330" s="108" t="s">
        <v>1735</v>
      </c>
      <c r="B330" s="49">
        <v>3</v>
      </c>
      <c r="C330" s="18">
        <v>328</v>
      </c>
      <c r="D330" s="17" t="s">
        <v>1750</v>
      </c>
      <c r="E330" s="49">
        <v>2339199</v>
      </c>
      <c r="F330" s="29"/>
      <c r="G330" s="109" t="s">
        <v>36</v>
      </c>
      <c r="H330" s="112" t="s">
        <v>1737</v>
      </c>
      <c r="I330" s="112" t="s">
        <v>1737</v>
      </c>
      <c r="J330" s="113" t="s">
        <v>1738</v>
      </c>
      <c r="K330" s="113" t="s">
        <v>1739</v>
      </c>
      <c r="L330" s="113" t="s">
        <v>1751</v>
      </c>
      <c r="M330" s="29" t="s">
        <v>1741</v>
      </c>
      <c r="N330" s="29" t="s">
        <v>1742</v>
      </c>
      <c r="O330" s="66"/>
      <c r="P330" s="29" t="s">
        <v>1743</v>
      </c>
      <c r="Q330" s="24" t="s">
        <v>17</v>
      </c>
      <c r="R330" s="66" t="s">
        <v>1744</v>
      </c>
      <c r="S330" s="29" t="s">
        <v>68</v>
      </c>
      <c r="T330" s="29" t="s">
        <v>1745</v>
      </c>
      <c r="U330" s="107" t="s">
        <v>1746</v>
      </c>
      <c r="V330" s="31"/>
      <c r="W330" s="66" t="s">
        <v>1747</v>
      </c>
      <c r="X330" s="66"/>
      <c r="Y330" s="16">
        <v>1</v>
      </c>
      <c r="Z330" s="31"/>
      <c r="AA330" s="31"/>
      <c r="AB330" s="18">
        <v>2016</v>
      </c>
      <c r="AC330" s="16" t="s">
        <v>51</v>
      </c>
      <c r="AD330" s="30"/>
      <c r="AE330" s="29"/>
      <c r="AF330" s="29"/>
      <c r="AG330" s="29"/>
    </row>
    <row r="331" spans="1:33" x14ac:dyDescent="0.4">
      <c r="A331" s="108" t="s">
        <v>1735</v>
      </c>
      <c r="B331" s="49">
        <v>4</v>
      </c>
      <c r="C331" s="18">
        <v>329</v>
      </c>
      <c r="D331" s="17" t="s">
        <v>1752</v>
      </c>
      <c r="E331" s="49">
        <v>2339199</v>
      </c>
      <c r="F331" s="29"/>
      <c r="G331" s="109" t="s">
        <v>36</v>
      </c>
      <c r="H331" s="112" t="s">
        <v>1737</v>
      </c>
      <c r="I331" s="112" t="s">
        <v>1737</v>
      </c>
      <c r="J331" s="113" t="s">
        <v>1738</v>
      </c>
      <c r="K331" s="113" t="s">
        <v>1739</v>
      </c>
      <c r="L331" s="113" t="s">
        <v>1753</v>
      </c>
      <c r="M331" s="29" t="s">
        <v>1741</v>
      </c>
      <c r="N331" s="29" t="s">
        <v>1742</v>
      </c>
      <c r="O331" s="66"/>
      <c r="P331" s="29" t="s">
        <v>1743</v>
      </c>
      <c r="Q331" s="24" t="s">
        <v>17</v>
      </c>
      <c r="R331" s="66" t="s">
        <v>1744</v>
      </c>
      <c r="S331" s="29" t="s">
        <v>68</v>
      </c>
      <c r="T331" s="29" t="s">
        <v>1745</v>
      </c>
      <c r="U331" s="107" t="s">
        <v>1746</v>
      </c>
      <c r="V331" s="31"/>
      <c r="W331" s="66" t="s">
        <v>1747</v>
      </c>
      <c r="X331" s="66"/>
      <c r="Y331" s="16">
        <v>1</v>
      </c>
      <c r="Z331" s="31"/>
      <c r="AA331" s="31"/>
      <c r="AB331" s="18">
        <v>2016</v>
      </c>
      <c r="AC331" s="16" t="s">
        <v>51</v>
      </c>
      <c r="AD331" s="30"/>
      <c r="AE331" s="29"/>
      <c r="AF331" s="29"/>
      <c r="AG331" s="29"/>
    </row>
    <row r="332" spans="1:33" x14ac:dyDescent="0.4">
      <c r="A332" s="108" t="s">
        <v>1735</v>
      </c>
      <c r="B332" s="49">
        <v>5</v>
      </c>
      <c r="C332" s="18">
        <v>330</v>
      </c>
      <c r="D332" s="17" t="s">
        <v>1754</v>
      </c>
      <c r="E332" s="49">
        <v>2339199</v>
      </c>
      <c r="F332" s="29"/>
      <c r="G332" s="109" t="s">
        <v>36</v>
      </c>
      <c r="H332" s="112" t="s">
        <v>1737</v>
      </c>
      <c r="I332" s="112" t="s">
        <v>1737</v>
      </c>
      <c r="J332" s="113" t="s">
        <v>1738</v>
      </c>
      <c r="K332" s="113" t="s">
        <v>1739</v>
      </c>
      <c r="L332" s="113" t="s">
        <v>1755</v>
      </c>
      <c r="M332" s="29" t="s">
        <v>1741</v>
      </c>
      <c r="N332" s="29" t="s">
        <v>1742</v>
      </c>
      <c r="O332" s="66"/>
      <c r="P332" s="29" t="s">
        <v>1743</v>
      </c>
      <c r="Q332" s="24" t="s">
        <v>17</v>
      </c>
      <c r="R332" s="66" t="s">
        <v>1744</v>
      </c>
      <c r="S332" s="29" t="s">
        <v>68</v>
      </c>
      <c r="T332" s="29" t="s">
        <v>1745</v>
      </c>
      <c r="U332" s="107" t="s">
        <v>1746</v>
      </c>
      <c r="V332" s="31"/>
      <c r="W332" s="66" t="s">
        <v>1747</v>
      </c>
      <c r="X332" s="66"/>
      <c r="Y332" s="16">
        <v>1</v>
      </c>
      <c r="Z332" s="31"/>
      <c r="AA332" s="31"/>
      <c r="AB332" s="18">
        <v>2016</v>
      </c>
      <c r="AC332" s="16" t="s">
        <v>51</v>
      </c>
      <c r="AD332" s="30"/>
      <c r="AE332" s="29"/>
      <c r="AF332" s="29"/>
      <c r="AG332" s="29"/>
    </row>
    <row r="333" spans="1:33" x14ac:dyDescent="0.4">
      <c r="A333" s="108" t="s">
        <v>1735</v>
      </c>
      <c r="B333" s="49">
        <v>6</v>
      </c>
      <c r="C333" s="18">
        <v>331</v>
      </c>
      <c r="D333" s="17" t="s">
        <v>1756</v>
      </c>
      <c r="E333" s="49">
        <v>2339199</v>
      </c>
      <c r="F333" s="29"/>
      <c r="G333" s="109" t="s">
        <v>36</v>
      </c>
      <c r="H333" s="112" t="s">
        <v>1737</v>
      </c>
      <c r="I333" s="112" t="s">
        <v>1737</v>
      </c>
      <c r="J333" s="113" t="s">
        <v>1738</v>
      </c>
      <c r="K333" s="113" t="s">
        <v>1739</v>
      </c>
      <c r="L333" s="113" t="s">
        <v>1757</v>
      </c>
      <c r="M333" s="29" t="s">
        <v>1741</v>
      </c>
      <c r="N333" s="29" t="s">
        <v>1742</v>
      </c>
      <c r="O333" s="66"/>
      <c r="P333" s="29" t="s">
        <v>1743</v>
      </c>
      <c r="Q333" s="24" t="s">
        <v>17</v>
      </c>
      <c r="R333" s="66" t="s">
        <v>1744</v>
      </c>
      <c r="S333" s="29" t="s">
        <v>68</v>
      </c>
      <c r="T333" s="29" t="s">
        <v>1745</v>
      </c>
      <c r="U333" s="107" t="s">
        <v>1746</v>
      </c>
      <c r="V333" s="31"/>
      <c r="W333" s="66" t="s">
        <v>1747</v>
      </c>
      <c r="X333" s="66"/>
      <c r="Y333" s="16">
        <v>1</v>
      </c>
      <c r="Z333" s="31"/>
      <c r="AA333" s="31"/>
      <c r="AB333" s="18">
        <v>2016</v>
      </c>
      <c r="AC333" s="16" t="s">
        <v>51</v>
      </c>
      <c r="AD333" s="30"/>
      <c r="AE333" s="29"/>
      <c r="AF333" s="29"/>
      <c r="AG333" s="29"/>
    </row>
    <row r="334" spans="1:33" x14ac:dyDescent="0.4">
      <c r="A334" s="108" t="s">
        <v>1735</v>
      </c>
      <c r="B334" s="49">
        <v>7</v>
      </c>
      <c r="C334" s="18">
        <v>332</v>
      </c>
      <c r="D334" s="17" t="s">
        <v>1758</v>
      </c>
      <c r="E334" s="49">
        <v>2339199</v>
      </c>
      <c r="F334" s="29"/>
      <c r="G334" s="109" t="s">
        <v>36</v>
      </c>
      <c r="H334" s="112" t="s">
        <v>1737</v>
      </c>
      <c r="I334" s="112" t="s">
        <v>1737</v>
      </c>
      <c r="J334" s="113" t="s">
        <v>1738</v>
      </c>
      <c r="K334" s="113" t="s">
        <v>1739</v>
      </c>
      <c r="L334" s="113" t="s">
        <v>1759</v>
      </c>
      <c r="M334" s="29" t="s">
        <v>1741</v>
      </c>
      <c r="N334" s="29" t="s">
        <v>1742</v>
      </c>
      <c r="O334" s="66"/>
      <c r="P334" s="29" t="s">
        <v>1743</v>
      </c>
      <c r="Q334" s="24" t="s">
        <v>17</v>
      </c>
      <c r="R334" s="66" t="s">
        <v>1744</v>
      </c>
      <c r="S334" s="29" t="s">
        <v>1760</v>
      </c>
      <c r="T334" s="29" t="s">
        <v>1745</v>
      </c>
      <c r="U334" s="107" t="s">
        <v>1746</v>
      </c>
      <c r="V334" s="31"/>
      <c r="W334" s="66" t="s">
        <v>1747</v>
      </c>
      <c r="X334" s="66"/>
      <c r="Y334" s="16">
        <v>1</v>
      </c>
      <c r="Z334" s="31"/>
      <c r="AA334" s="31"/>
      <c r="AB334" s="18">
        <v>2016</v>
      </c>
      <c r="AC334" s="16" t="s">
        <v>51</v>
      </c>
      <c r="AD334" s="30"/>
      <c r="AE334" s="29"/>
      <c r="AF334" s="29"/>
      <c r="AG334" s="29"/>
    </row>
    <row r="335" spans="1:33" x14ac:dyDescent="0.4">
      <c r="A335" s="108" t="s">
        <v>1735</v>
      </c>
      <c r="B335" s="49">
        <v>8</v>
      </c>
      <c r="C335" s="18">
        <v>333</v>
      </c>
      <c r="D335" s="17"/>
      <c r="E335" s="49">
        <v>2339199</v>
      </c>
      <c r="F335" s="29"/>
      <c r="G335" s="109" t="s">
        <v>36</v>
      </c>
      <c r="H335" s="112" t="s">
        <v>1737</v>
      </c>
      <c r="I335" s="112" t="s">
        <v>1737</v>
      </c>
      <c r="J335" s="113" t="s">
        <v>1738</v>
      </c>
      <c r="K335" s="113" t="s">
        <v>1739</v>
      </c>
      <c r="L335" s="113" t="s">
        <v>1761</v>
      </c>
      <c r="M335" s="29" t="s">
        <v>1741</v>
      </c>
      <c r="N335" s="29" t="s">
        <v>1742</v>
      </c>
      <c r="O335" s="66"/>
      <c r="P335" s="29" t="s">
        <v>1743</v>
      </c>
      <c r="Q335" s="24" t="s">
        <v>116</v>
      </c>
      <c r="R335" s="66" t="s">
        <v>1744</v>
      </c>
      <c r="S335" s="29" t="s">
        <v>1760</v>
      </c>
      <c r="T335" s="29" t="s">
        <v>1745</v>
      </c>
      <c r="U335" s="107" t="s">
        <v>1746</v>
      </c>
      <c r="V335" s="31"/>
      <c r="W335" s="66" t="s">
        <v>1747</v>
      </c>
      <c r="X335" s="66"/>
      <c r="Y335" s="16">
        <v>1</v>
      </c>
      <c r="Z335" s="31"/>
      <c r="AA335" s="31"/>
      <c r="AB335" s="18">
        <v>2016</v>
      </c>
      <c r="AC335" s="16" t="s">
        <v>51</v>
      </c>
      <c r="AD335" s="30"/>
      <c r="AE335" s="29"/>
      <c r="AF335" s="29"/>
      <c r="AG335" s="29"/>
    </row>
    <row r="336" spans="1:33" x14ac:dyDescent="0.4">
      <c r="A336" s="108" t="s">
        <v>1735</v>
      </c>
      <c r="B336" s="49">
        <v>9</v>
      </c>
      <c r="C336" s="18">
        <v>334</v>
      </c>
      <c r="D336" s="17"/>
      <c r="E336" s="49">
        <v>2339199</v>
      </c>
      <c r="F336" s="29"/>
      <c r="G336" s="109" t="s">
        <v>36</v>
      </c>
      <c r="H336" s="112" t="s">
        <v>1737</v>
      </c>
      <c r="I336" s="112" t="s">
        <v>1737</v>
      </c>
      <c r="J336" s="113" t="s">
        <v>1738</v>
      </c>
      <c r="K336" s="113" t="s">
        <v>1739</v>
      </c>
      <c r="L336" s="113" t="s">
        <v>1762</v>
      </c>
      <c r="M336" s="29" t="s">
        <v>1741</v>
      </c>
      <c r="N336" s="29" t="s">
        <v>1742</v>
      </c>
      <c r="O336" s="66"/>
      <c r="P336" s="29" t="s">
        <v>1743</v>
      </c>
      <c r="Q336" s="24" t="s">
        <v>116</v>
      </c>
      <c r="R336" s="66" t="s">
        <v>1744</v>
      </c>
      <c r="S336" s="29" t="s">
        <v>1760</v>
      </c>
      <c r="T336" s="29" t="s">
        <v>1745</v>
      </c>
      <c r="U336" s="107" t="s">
        <v>1746</v>
      </c>
      <c r="V336" s="31"/>
      <c r="W336" s="66" t="s">
        <v>1747</v>
      </c>
      <c r="X336" s="66"/>
      <c r="Y336" s="16">
        <v>1</v>
      </c>
      <c r="Z336" s="31"/>
      <c r="AA336" s="31"/>
      <c r="AB336" s="18">
        <v>2016</v>
      </c>
      <c r="AC336" s="16" t="s">
        <v>51</v>
      </c>
      <c r="AD336" s="30"/>
      <c r="AE336" s="29"/>
      <c r="AF336" s="29"/>
      <c r="AG336" s="29"/>
    </row>
    <row r="337" spans="1:33" x14ac:dyDescent="0.4">
      <c r="A337" s="108" t="s">
        <v>1735</v>
      </c>
      <c r="B337" s="49">
        <v>10</v>
      </c>
      <c r="C337" s="18">
        <v>335</v>
      </c>
      <c r="D337" s="17" t="s">
        <v>1763</v>
      </c>
      <c r="E337" s="49">
        <v>2339199</v>
      </c>
      <c r="F337" s="29"/>
      <c r="G337" s="109" t="s">
        <v>36</v>
      </c>
      <c r="H337" s="112" t="s">
        <v>1737</v>
      </c>
      <c r="I337" s="112" t="s">
        <v>1737</v>
      </c>
      <c r="J337" s="113" t="s">
        <v>1738</v>
      </c>
      <c r="K337" s="113" t="s">
        <v>1739</v>
      </c>
      <c r="L337" s="113" t="s">
        <v>1764</v>
      </c>
      <c r="M337" s="29" t="s">
        <v>1741</v>
      </c>
      <c r="N337" s="29" t="s">
        <v>1742</v>
      </c>
      <c r="O337" s="66"/>
      <c r="P337" s="29" t="s">
        <v>1743</v>
      </c>
      <c r="Q337" s="24" t="s">
        <v>17</v>
      </c>
      <c r="R337" s="66" t="s">
        <v>1744</v>
      </c>
      <c r="S337" s="29" t="s">
        <v>1760</v>
      </c>
      <c r="T337" s="29" t="s">
        <v>1745</v>
      </c>
      <c r="U337" s="107" t="s">
        <v>1746</v>
      </c>
      <c r="V337" s="31"/>
      <c r="W337" s="66" t="s">
        <v>1747</v>
      </c>
      <c r="X337" s="66"/>
      <c r="Y337" s="16">
        <v>1</v>
      </c>
      <c r="Z337" s="31"/>
      <c r="AA337" s="31"/>
      <c r="AB337" s="18">
        <v>2016</v>
      </c>
      <c r="AC337" s="16" t="s">
        <v>51</v>
      </c>
      <c r="AD337" s="30"/>
      <c r="AE337" s="29"/>
      <c r="AF337" s="29"/>
      <c r="AG337" s="29"/>
    </row>
    <row r="338" spans="1:33" x14ac:dyDescent="0.4">
      <c r="A338" s="108" t="s">
        <v>1735</v>
      </c>
      <c r="B338" s="49">
        <v>11</v>
      </c>
      <c r="C338" s="18">
        <v>336</v>
      </c>
      <c r="D338" s="17" t="s">
        <v>1765</v>
      </c>
      <c r="E338" s="49">
        <v>2339199</v>
      </c>
      <c r="F338" s="29"/>
      <c r="G338" s="109" t="s">
        <v>36</v>
      </c>
      <c r="H338" s="112" t="s">
        <v>1737</v>
      </c>
      <c r="I338" s="112" t="s">
        <v>1737</v>
      </c>
      <c r="J338" s="113" t="s">
        <v>1738</v>
      </c>
      <c r="K338" s="113" t="s">
        <v>1739</v>
      </c>
      <c r="L338" s="113" t="s">
        <v>1766</v>
      </c>
      <c r="M338" s="29" t="s">
        <v>1741</v>
      </c>
      <c r="N338" s="29" t="s">
        <v>1742</v>
      </c>
      <c r="O338" s="66"/>
      <c r="P338" s="29" t="s">
        <v>1743</v>
      </c>
      <c r="Q338" s="24" t="s">
        <v>17</v>
      </c>
      <c r="R338" s="66" t="s">
        <v>1744</v>
      </c>
      <c r="S338" s="29" t="s">
        <v>1760</v>
      </c>
      <c r="T338" s="29" t="s">
        <v>1745</v>
      </c>
      <c r="U338" s="107" t="s">
        <v>1746</v>
      </c>
      <c r="V338" s="31"/>
      <c r="W338" s="66" t="s">
        <v>1747</v>
      </c>
      <c r="X338" s="66"/>
      <c r="Y338" s="16">
        <v>1</v>
      </c>
      <c r="Z338" s="31"/>
      <c r="AA338" s="31"/>
      <c r="AB338" s="18">
        <v>2016</v>
      </c>
      <c r="AC338" s="16" t="s">
        <v>51</v>
      </c>
      <c r="AD338" s="30"/>
      <c r="AE338" s="29"/>
      <c r="AF338" s="29"/>
      <c r="AG338" s="29"/>
    </row>
    <row r="339" spans="1:33" x14ac:dyDescent="0.4">
      <c r="A339" s="108" t="s">
        <v>1735</v>
      </c>
      <c r="B339" s="49">
        <v>12</v>
      </c>
      <c r="C339" s="18">
        <v>337</v>
      </c>
      <c r="D339" s="17" t="s">
        <v>1767</v>
      </c>
      <c r="E339" s="49">
        <v>2339199</v>
      </c>
      <c r="F339" s="29"/>
      <c r="G339" s="109" t="s">
        <v>36</v>
      </c>
      <c r="H339" s="112" t="s">
        <v>1737</v>
      </c>
      <c r="I339" s="112" t="s">
        <v>1737</v>
      </c>
      <c r="J339" s="113" t="s">
        <v>1738</v>
      </c>
      <c r="K339" s="113" t="s">
        <v>1739</v>
      </c>
      <c r="L339" s="113" t="s">
        <v>1768</v>
      </c>
      <c r="M339" s="29" t="s">
        <v>1741</v>
      </c>
      <c r="N339" s="29" t="s">
        <v>1742</v>
      </c>
      <c r="O339" s="66"/>
      <c r="P339" s="29" t="s">
        <v>1743</v>
      </c>
      <c r="Q339" s="24" t="s">
        <v>17</v>
      </c>
      <c r="R339" s="66" t="s">
        <v>1744</v>
      </c>
      <c r="S339" s="29" t="s">
        <v>1760</v>
      </c>
      <c r="T339" s="29" t="s">
        <v>1745</v>
      </c>
      <c r="U339" s="107" t="s">
        <v>1746</v>
      </c>
      <c r="V339" s="31"/>
      <c r="W339" s="66" t="s">
        <v>1747</v>
      </c>
      <c r="X339" s="66"/>
      <c r="Y339" s="16">
        <v>1</v>
      </c>
      <c r="Z339" s="31"/>
      <c r="AA339" s="31"/>
      <c r="AB339" s="18">
        <v>2016</v>
      </c>
      <c r="AC339" s="16" t="s">
        <v>51</v>
      </c>
      <c r="AD339" s="30"/>
      <c r="AE339" s="29"/>
      <c r="AF339" s="29"/>
      <c r="AG339" s="29"/>
    </row>
    <row r="340" spans="1:33" x14ac:dyDescent="0.4">
      <c r="A340" s="108" t="s">
        <v>1735</v>
      </c>
      <c r="B340" s="49">
        <v>13</v>
      </c>
      <c r="C340" s="18">
        <v>338</v>
      </c>
      <c r="D340" s="17" t="s">
        <v>1769</v>
      </c>
      <c r="E340" s="49">
        <v>2339199</v>
      </c>
      <c r="F340" s="29"/>
      <c r="G340" s="109" t="s">
        <v>36</v>
      </c>
      <c r="H340" s="112" t="s">
        <v>1737</v>
      </c>
      <c r="I340" s="112" t="s">
        <v>1737</v>
      </c>
      <c r="J340" s="113" t="s">
        <v>1738</v>
      </c>
      <c r="K340" s="113" t="s">
        <v>1739</v>
      </c>
      <c r="L340" s="113" t="s">
        <v>1770</v>
      </c>
      <c r="M340" s="29" t="s">
        <v>1741</v>
      </c>
      <c r="N340" s="29" t="s">
        <v>1742</v>
      </c>
      <c r="O340" s="66"/>
      <c r="P340" s="29" t="s">
        <v>1743</v>
      </c>
      <c r="Q340" s="24" t="s">
        <v>17</v>
      </c>
      <c r="R340" s="66" t="s">
        <v>1744</v>
      </c>
      <c r="S340" s="29" t="s">
        <v>1760</v>
      </c>
      <c r="T340" s="29" t="s">
        <v>1745</v>
      </c>
      <c r="U340" s="107" t="s">
        <v>1746</v>
      </c>
      <c r="V340" s="31"/>
      <c r="W340" s="66" t="s">
        <v>1747</v>
      </c>
      <c r="X340" s="66"/>
      <c r="Y340" s="16">
        <v>1</v>
      </c>
      <c r="Z340" s="31"/>
      <c r="AA340" s="31"/>
      <c r="AB340" s="18">
        <v>2016</v>
      </c>
      <c r="AC340" s="16" t="s">
        <v>51</v>
      </c>
      <c r="AD340" s="30"/>
      <c r="AE340" s="29"/>
      <c r="AF340" s="29"/>
      <c r="AG340" s="29"/>
    </row>
    <row r="341" spans="1:33" x14ac:dyDescent="0.4">
      <c r="A341" s="108" t="s">
        <v>1735</v>
      </c>
      <c r="B341" s="49">
        <v>14</v>
      </c>
      <c r="C341" s="18">
        <v>339</v>
      </c>
      <c r="D341" s="17"/>
      <c r="E341" s="49">
        <v>2339199</v>
      </c>
      <c r="F341" s="29"/>
      <c r="G341" s="109" t="s">
        <v>36</v>
      </c>
      <c r="H341" s="112" t="s">
        <v>1737</v>
      </c>
      <c r="I341" s="114" t="s">
        <v>1737</v>
      </c>
      <c r="J341" s="113" t="s">
        <v>1738</v>
      </c>
      <c r="K341" s="113" t="s">
        <v>1739</v>
      </c>
      <c r="L341" s="113" t="s">
        <v>1771</v>
      </c>
      <c r="M341" s="29" t="s">
        <v>1741</v>
      </c>
      <c r="N341" s="29" t="s">
        <v>1742</v>
      </c>
      <c r="O341" s="66"/>
      <c r="P341" s="29" t="s">
        <v>1743</v>
      </c>
      <c r="Q341" s="24" t="s">
        <v>116</v>
      </c>
      <c r="R341" s="66" t="s">
        <v>1744</v>
      </c>
      <c r="S341" s="29" t="s">
        <v>1760</v>
      </c>
      <c r="T341" s="29" t="s">
        <v>1745</v>
      </c>
      <c r="U341" s="107" t="s">
        <v>1746</v>
      </c>
      <c r="V341" s="31"/>
      <c r="W341" s="66" t="s">
        <v>1747</v>
      </c>
      <c r="X341" s="66"/>
      <c r="Y341" s="16">
        <v>1</v>
      </c>
      <c r="Z341" s="31"/>
      <c r="AA341" s="31"/>
      <c r="AB341" s="18">
        <v>2016</v>
      </c>
      <c r="AC341" s="16" t="s">
        <v>51</v>
      </c>
      <c r="AD341" s="30"/>
      <c r="AE341" s="29"/>
      <c r="AF341" s="29"/>
      <c r="AG341" s="29"/>
    </row>
    <row r="342" spans="1:33" x14ac:dyDescent="0.4">
      <c r="A342" s="108" t="s">
        <v>1735</v>
      </c>
      <c r="B342" s="49">
        <v>1</v>
      </c>
      <c r="C342" s="18">
        <v>340</v>
      </c>
      <c r="D342" s="17"/>
      <c r="E342" s="49">
        <v>2646816</v>
      </c>
      <c r="F342" s="29"/>
      <c r="G342" s="109" t="s">
        <v>36</v>
      </c>
      <c r="H342" s="114" t="s">
        <v>1772</v>
      </c>
      <c r="I342" s="114" t="s">
        <v>1772</v>
      </c>
      <c r="J342" s="113" t="s">
        <v>1773</v>
      </c>
      <c r="K342" s="113" t="s">
        <v>1774</v>
      </c>
      <c r="L342" s="113" t="s">
        <v>1775</v>
      </c>
      <c r="M342" s="29" t="s">
        <v>1741</v>
      </c>
      <c r="N342" s="22" t="s">
        <v>1742</v>
      </c>
      <c r="O342" s="80"/>
      <c r="P342" s="29" t="s">
        <v>1776</v>
      </c>
      <c r="Q342" s="24" t="s">
        <v>116</v>
      </c>
      <c r="R342" s="66" t="s">
        <v>1744</v>
      </c>
      <c r="S342" s="29" t="s">
        <v>68</v>
      </c>
      <c r="T342" s="29" t="s">
        <v>1777</v>
      </c>
      <c r="U342" s="107" t="s">
        <v>1778</v>
      </c>
      <c r="V342" s="31"/>
      <c r="W342" s="66" t="s">
        <v>1747</v>
      </c>
      <c r="X342" s="66"/>
      <c r="Y342" s="16">
        <v>1</v>
      </c>
      <c r="Z342" s="31"/>
      <c r="AA342" s="31"/>
      <c r="AB342" s="18">
        <v>2016</v>
      </c>
      <c r="AC342" s="16" t="s">
        <v>51</v>
      </c>
      <c r="AD342" s="30"/>
      <c r="AE342" s="29"/>
      <c r="AF342" s="29"/>
      <c r="AG342" s="29"/>
    </row>
    <row r="343" spans="1:33" x14ac:dyDescent="0.4">
      <c r="A343" s="108" t="s">
        <v>1735</v>
      </c>
      <c r="B343" s="49">
        <v>2</v>
      </c>
      <c r="C343" s="18">
        <v>341</v>
      </c>
      <c r="D343" s="17"/>
      <c r="E343" s="49">
        <v>2646816</v>
      </c>
      <c r="F343" s="29"/>
      <c r="G343" s="109" t="s">
        <v>36</v>
      </c>
      <c r="H343" s="114" t="s">
        <v>1772</v>
      </c>
      <c r="I343" s="114" t="s">
        <v>1772</v>
      </c>
      <c r="J343" s="113" t="s">
        <v>1773</v>
      </c>
      <c r="K343" s="113" t="s">
        <v>1774</v>
      </c>
      <c r="L343" s="113" t="s">
        <v>1779</v>
      </c>
      <c r="M343" s="29" t="s">
        <v>1741</v>
      </c>
      <c r="N343" s="22" t="s">
        <v>1742</v>
      </c>
      <c r="O343" s="80"/>
      <c r="P343" s="29" t="s">
        <v>1776</v>
      </c>
      <c r="Q343" s="24" t="s">
        <v>116</v>
      </c>
      <c r="R343" s="66" t="s">
        <v>1744</v>
      </c>
      <c r="S343" s="29" t="s">
        <v>68</v>
      </c>
      <c r="T343" s="29" t="s">
        <v>1777</v>
      </c>
      <c r="U343" s="107" t="s">
        <v>1778</v>
      </c>
      <c r="V343" s="31"/>
      <c r="W343" s="66" t="s">
        <v>1747</v>
      </c>
      <c r="X343" s="66"/>
      <c r="Y343" s="16">
        <v>1</v>
      </c>
      <c r="Z343" s="31"/>
      <c r="AA343" s="31"/>
      <c r="AB343" s="18">
        <v>2016</v>
      </c>
      <c r="AC343" s="16" t="s">
        <v>51</v>
      </c>
      <c r="AD343" s="30"/>
      <c r="AE343" s="29"/>
      <c r="AF343" s="29"/>
      <c r="AG343" s="29"/>
    </row>
    <row r="344" spans="1:33" x14ac:dyDescent="0.4">
      <c r="A344" s="108" t="s">
        <v>1735</v>
      </c>
      <c r="B344" s="49">
        <v>3</v>
      </c>
      <c r="C344" s="18">
        <v>342</v>
      </c>
      <c r="D344" s="17"/>
      <c r="E344" s="49">
        <v>2646816</v>
      </c>
      <c r="F344" s="29"/>
      <c r="G344" s="109" t="s">
        <v>36</v>
      </c>
      <c r="H344" s="114" t="s">
        <v>1772</v>
      </c>
      <c r="I344" s="114" t="s">
        <v>1772</v>
      </c>
      <c r="J344" s="113" t="s">
        <v>1773</v>
      </c>
      <c r="K344" s="113" t="s">
        <v>1774</v>
      </c>
      <c r="L344" s="113" t="s">
        <v>1780</v>
      </c>
      <c r="M344" s="29" t="s">
        <v>1741</v>
      </c>
      <c r="N344" s="22" t="s">
        <v>1742</v>
      </c>
      <c r="O344" s="80"/>
      <c r="P344" s="29" t="s">
        <v>1776</v>
      </c>
      <c r="Q344" s="24" t="s">
        <v>116</v>
      </c>
      <c r="R344" s="66" t="s">
        <v>1744</v>
      </c>
      <c r="S344" s="29" t="s">
        <v>1760</v>
      </c>
      <c r="T344" s="29" t="s">
        <v>1777</v>
      </c>
      <c r="U344" s="107" t="s">
        <v>1778</v>
      </c>
      <c r="V344" s="31"/>
      <c r="W344" s="66" t="s">
        <v>1747</v>
      </c>
      <c r="X344" s="66"/>
      <c r="Y344" s="16">
        <v>1</v>
      </c>
      <c r="Z344" s="31"/>
      <c r="AA344" s="31"/>
      <c r="AB344" s="18">
        <v>2016</v>
      </c>
      <c r="AC344" s="16" t="s">
        <v>51</v>
      </c>
      <c r="AD344" s="30"/>
      <c r="AE344" s="29"/>
      <c r="AF344" s="29"/>
      <c r="AG344" s="29"/>
    </row>
    <row r="345" spans="1:33" x14ac:dyDescent="0.4">
      <c r="A345" s="108" t="s">
        <v>1735</v>
      </c>
      <c r="B345" s="49">
        <v>4</v>
      </c>
      <c r="C345" s="18">
        <v>343</v>
      </c>
      <c r="D345" s="17"/>
      <c r="E345" s="49">
        <v>2646816</v>
      </c>
      <c r="F345" s="29"/>
      <c r="G345" s="109" t="s">
        <v>36</v>
      </c>
      <c r="H345" s="114" t="s">
        <v>1772</v>
      </c>
      <c r="I345" s="114" t="s">
        <v>1772</v>
      </c>
      <c r="J345" s="113" t="s">
        <v>1773</v>
      </c>
      <c r="K345" s="113" t="s">
        <v>1774</v>
      </c>
      <c r="L345" s="113" t="s">
        <v>1781</v>
      </c>
      <c r="M345" s="29" t="s">
        <v>1741</v>
      </c>
      <c r="N345" s="22" t="s">
        <v>1742</v>
      </c>
      <c r="O345" s="80"/>
      <c r="P345" s="29" t="s">
        <v>1776</v>
      </c>
      <c r="Q345" s="24" t="s">
        <v>116</v>
      </c>
      <c r="R345" s="66" t="s">
        <v>1744</v>
      </c>
      <c r="S345" s="29" t="s">
        <v>1760</v>
      </c>
      <c r="T345" s="29" t="s">
        <v>1777</v>
      </c>
      <c r="U345" s="107" t="s">
        <v>1778</v>
      </c>
      <c r="V345" s="31"/>
      <c r="W345" s="66" t="s">
        <v>1747</v>
      </c>
      <c r="X345" s="66"/>
      <c r="Y345" s="16">
        <v>1</v>
      </c>
      <c r="Z345" s="31"/>
      <c r="AA345" s="31"/>
      <c r="AB345" s="18">
        <v>2016</v>
      </c>
      <c r="AC345" s="16" t="s">
        <v>51</v>
      </c>
      <c r="AD345" s="30"/>
      <c r="AE345" s="29"/>
      <c r="AF345" s="29"/>
      <c r="AG345" s="29"/>
    </row>
    <row r="346" spans="1:33" x14ac:dyDescent="0.4">
      <c r="A346" s="108" t="s">
        <v>1735</v>
      </c>
      <c r="B346" s="49">
        <v>5</v>
      </c>
      <c r="C346" s="18">
        <v>344</v>
      </c>
      <c r="D346" s="17"/>
      <c r="E346" s="49">
        <v>2646816</v>
      </c>
      <c r="F346" s="29"/>
      <c r="G346" s="109" t="s">
        <v>36</v>
      </c>
      <c r="H346" s="114" t="s">
        <v>1772</v>
      </c>
      <c r="I346" s="114" t="s">
        <v>1772</v>
      </c>
      <c r="J346" s="113" t="s">
        <v>1773</v>
      </c>
      <c r="K346" s="113" t="s">
        <v>1774</v>
      </c>
      <c r="L346" s="113" t="s">
        <v>1782</v>
      </c>
      <c r="M346" s="29" t="s">
        <v>1741</v>
      </c>
      <c r="N346" s="22" t="s">
        <v>1742</v>
      </c>
      <c r="O346" s="80"/>
      <c r="P346" s="29" t="s">
        <v>1776</v>
      </c>
      <c r="Q346" s="24" t="s">
        <v>116</v>
      </c>
      <c r="R346" s="66" t="s">
        <v>1744</v>
      </c>
      <c r="S346" s="29" t="s">
        <v>1760</v>
      </c>
      <c r="T346" s="29" t="s">
        <v>1777</v>
      </c>
      <c r="U346" s="107" t="s">
        <v>1778</v>
      </c>
      <c r="V346" s="31"/>
      <c r="W346" s="66" t="s">
        <v>1747</v>
      </c>
      <c r="X346" s="66"/>
      <c r="Y346" s="16">
        <v>1</v>
      </c>
      <c r="Z346" s="31"/>
      <c r="AA346" s="31"/>
      <c r="AB346" s="18">
        <v>2016</v>
      </c>
      <c r="AC346" s="16" t="s">
        <v>51</v>
      </c>
      <c r="AD346" s="30"/>
      <c r="AE346" s="29"/>
      <c r="AF346" s="29"/>
      <c r="AG346" s="29"/>
    </row>
    <row r="347" spans="1:33" x14ac:dyDescent="0.4">
      <c r="A347" s="108" t="s">
        <v>1735</v>
      </c>
      <c r="B347" s="49">
        <v>6</v>
      </c>
      <c r="C347" s="18">
        <v>345</v>
      </c>
      <c r="D347" s="17"/>
      <c r="E347" s="49">
        <v>2646816</v>
      </c>
      <c r="F347" s="29"/>
      <c r="G347" s="109" t="s">
        <v>36</v>
      </c>
      <c r="H347" s="114" t="s">
        <v>1772</v>
      </c>
      <c r="I347" s="114" t="s">
        <v>1772</v>
      </c>
      <c r="J347" s="113" t="s">
        <v>1773</v>
      </c>
      <c r="K347" s="113" t="s">
        <v>1774</v>
      </c>
      <c r="L347" s="113" t="s">
        <v>1783</v>
      </c>
      <c r="M347" s="29" t="s">
        <v>1741</v>
      </c>
      <c r="N347" s="22" t="s">
        <v>1742</v>
      </c>
      <c r="O347" s="80"/>
      <c r="P347" s="29" t="s">
        <v>1776</v>
      </c>
      <c r="Q347" s="24" t="s">
        <v>116</v>
      </c>
      <c r="R347" s="66" t="s">
        <v>1744</v>
      </c>
      <c r="S347" s="29" t="s">
        <v>1760</v>
      </c>
      <c r="T347" s="29" t="s">
        <v>1777</v>
      </c>
      <c r="U347" s="107" t="s">
        <v>1778</v>
      </c>
      <c r="V347" s="31"/>
      <c r="W347" s="66" t="s">
        <v>1747</v>
      </c>
      <c r="X347" s="66"/>
      <c r="Y347" s="16">
        <v>1</v>
      </c>
      <c r="Z347" s="31"/>
      <c r="AA347" s="31"/>
      <c r="AB347" s="18">
        <v>2016</v>
      </c>
      <c r="AC347" s="16" t="s">
        <v>51</v>
      </c>
      <c r="AD347" s="30"/>
      <c r="AE347" s="29"/>
      <c r="AF347" s="29"/>
      <c r="AG347" s="29"/>
    </row>
    <row r="348" spans="1:33" x14ac:dyDescent="0.4">
      <c r="A348" s="108" t="s">
        <v>1735</v>
      </c>
      <c r="B348" s="49">
        <v>7</v>
      </c>
      <c r="C348" s="18">
        <v>346</v>
      </c>
      <c r="D348" s="17"/>
      <c r="E348" s="49">
        <v>2646816</v>
      </c>
      <c r="F348" s="29"/>
      <c r="G348" s="109" t="s">
        <v>36</v>
      </c>
      <c r="H348" s="114" t="s">
        <v>1772</v>
      </c>
      <c r="I348" s="114" t="s">
        <v>1772</v>
      </c>
      <c r="J348" s="113" t="s">
        <v>1773</v>
      </c>
      <c r="K348" s="113" t="s">
        <v>1774</v>
      </c>
      <c r="L348" s="113" t="s">
        <v>1784</v>
      </c>
      <c r="M348" s="29" t="s">
        <v>1741</v>
      </c>
      <c r="N348" s="22" t="s">
        <v>1742</v>
      </c>
      <c r="O348" s="80"/>
      <c r="P348" s="29" t="s">
        <v>1776</v>
      </c>
      <c r="Q348" s="24" t="s">
        <v>116</v>
      </c>
      <c r="R348" s="66" t="s">
        <v>1744</v>
      </c>
      <c r="S348" s="29" t="s">
        <v>1760</v>
      </c>
      <c r="T348" s="29" t="s">
        <v>1777</v>
      </c>
      <c r="U348" s="107" t="s">
        <v>1778</v>
      </c>
      <c r="V348" s="31"/>
      <c r="W348" s="66" t="s">
        <v>1747</v>
      </c>
      <c r="X348" s="66"/>
      <c r="Y348" s="16">
        <v>1</v>
      </c>
      <c r="Z348" s="31"/>
      <c r="AA348" s="31"/>
      <c r="AB348" s="18">
        <v>2016</v>
      </c>
      <c r="AC348" s="16" t="s">
        <v>51</v>
      </c>
      <c r="AD348" s="30"/>
      <c r="AE348" s="29"/>
      <c r="AF348" s="29"/>
      <c r="AG348" s="29"/>
    </row>
    <row r="349" spans="1:33" x14ac:dyDescent="0.4">
      <c r="A349" s="108" t="s">
        <v>1735</v>
      </c>
      <c r="B349" s="49">
        <v>8</v>
      </c>
      <c r="C349" s="18">
        <v>347</v>
      </c>
      <c r="D349" s="17"/>
      <c r="E349" s="49">
        <v>2646816</v>
      </c>
      <c r="F349" s="29"/>
      <c r="G349" s="109" t="s">
        <v>36</v>
      </c>
      <c r="H349" s="114" t="s">
        <v>1772</v>
      </c>
      <c r="I349" s="114" t="s">
        <v>1772</v>
      </c>
      <c r="J349" s="113" t="s">
        <v>1773</v>
      </c>
      <c r="K349" s="113" t="s">
        <v>1774</v>
      </c>
      <c r="L349" s="113" t="s">
        <v>1785</v>
      </c>
      <c r="M349" s="29" t="s">
        <v>1741</v>
      </c>
      <c r="N349" s="22" t="s">
        <v>1742</v>
      </c>
      <c r="O349" s="80"/>
      <c r="P349" s="29" t="s">
        <v>1776</v>
      </c>
      <c r="Q349" s="24" t="s">
        <v>116</v>
      </c>
      <c r="R349" s="66" t="s">
        <v>1744</v>
      </c>
      <c r="S349" s="29" t="s">
        <v>1760</v>
      </c>
      <c r="T349" s="29" t="s">
        <v>1777</v>
      </c>
      <c r="U349" s="107" t="s">
        <v>1778</v>
      </c>
      <c r="V349" s="31"/>
      <c r="W349" s="66" t="s">
        <v>1747</v>
      </c>
      <c r="X349" s="66"/>
      <c r="Y349" s="16">
        <v>1</v>
      </c>
      <c r="Z349" s="31"/>
      <c r="AA349" s="31"/>
      <c r="AB349" s="18">
        <v>2016</v>
      </c>
      <c r="AC349" s="16" t="s">
        <v>51</v>
      </c>
      <c r="AD349" s="30"/>
      <c r="AE349" s="29"/>
      <c r="AF349" s="29"/>
      <c r="AG349" s="29"/>
    </row>
    <row r="350" spans="1:33" x14ac:dyDescent="0.4">
      <c r="A350" s="108" t="s">
        <v>1735</v>
      </c>
      <c r="B350" s="49">
        <v>1</v>
      </c>
      <c r="C350" s="18">
        <v>348</v>
      </c>
      <c r="D350" s="17"/>
      <c r="E350" s="49">
        <v>2549367</v>
      </c>
      <c r="F350" s="29"/>
      <c r="G350" s="109" t="s">
        <v>1786</v>
      </c>
      <c r="H350" s="114" t="s">
        <v>1787</v>
      </c>
      <c r="I350" s="114" t="s">
        <v>1787</v>
      </c>
      <c r="J350" s="113" t="s">
        <v>1788</v>
      </c>
      <c r="K350" s="113" t="s">
        <v>1789</v>
      </c>
      <c r="L350" s="113" t="s">
        <v>1790</v>
      </c>
      <c r="M350" s="29" t="s">
        <v>1791</v>
      </c>
      <c r="N350" s="29" t="s">
        <v>1792</v>
      </c>
      <c r="O350" s="109"/>
      <c r="P350" s="29" t="s">
        <v>1793</v>
      </c>
      <c r="Q350" s="66" t="s">
        <v>17</v>
      </c>
      <c r="R350" s="66" t="s">
        <v>1744</v>
      </c>
      <c r="S350" s="29" t="s">
        <v>68</v>
      </c>
      <c r="T350" s="29" t="s">
        <v>1794</v>
      </c>
      <c r="U350" s="107" t="s">
        <v>1795</v>
      </c>
      <c r="V350" s="31"/>
      <c r="W350" s="66" t="s">
        <v>1747</v>
      </c>
      <c r="X350" s="66"/>
      <c r="Y350" s="16">
        <v>1</v>
      </c>
      <c r="Z350" s="31"/>
      <c r="AA350" s="31"/>
      <c r="AB350" s="18">
        <v>2016</v>
      </c>
      <c r="AC350" s="16" t="s">
        <v>131</v>
      </c>
      <c r="AD350" s="30"/>
      <c r="AE350" s="29"/>
      <c r="AF350" s="29"/>
      <c r="AG350" s="29"/>
    </row>
    <row r="351" spans="1:33" x14ac:dyDescent="0.4">
      <c r="A351" s="108" t="s">
        <v>1735</v>
      </c>
      <c r="B351" s="49">
        <v>2</v>
      </c>
      <c r="C351" s="18">
        <v>349</v>
      </c>
      <c r="D351" s="17"/>
      <c r="E351" s="49">
        <v>2549367</v>
      </c>
      <c r="F351" s="29"/>
      <c r="G351" s="109" t="s">
        <v>1786</v>
      </c>
      <c r="H351" s="114" t="s">
        <v>1787</v>
      </c>
      <c r="I351" s="114" t="s">
        <v>1787</v>
      </c>
      <c r="J351" s="113" t="s">
        <v>1788</v>
      </c>
      <c r="K351" s="113" t="s">
        <v>1789</v>
      </c>
      <c r="L351" s="113" t="s">
        <v>1796</v>
      </c>
      <c r="M351" s="29" t="s">
        <v>1791</v>
      </c>
      <c r="N351" s="29" t="s">
        <v>1792</v>
      </c>
      <c r="O351" s="109"/>
      <c r="P351" s="29" t="s">
        <v>1793</v>
      </c>
      <c r="Q351" s="66" t="s">
        <v>17</v>
      </c>
      <c r="R351" s="66" t="s">
        <v>1744</v>
      </c>
      <c r="S351" s="29" t="s">
        <v>68</v>
      </c>
      <c r="T351" s="29" t="s">
        <v>1794</v>
      </c>
      <c r="U351" s="107" t="s">
        <v>1795</v>
      </c>
      <c r="V351" s="31"/>
      <c r="W351" s="66" t="s">
        <v>1747</v>
      </c>
      <c r="X351" s="66"/>
      <c r="Y351" s="16">
        <v>1</v>
      </c>
      <c r="Z351" s="31"/>
      <c r="AA351" s="31"/>
      <c r="AB351" s="18">
        <v>2016</v>
      </c>
      <c r="AC351" s="16" t="s">
        <v>131</v>
      </c>
      <c r="AD351" s="30"/>
      <c r="AE351" s="29"/>
      <c r="AF351" s="29"/>
      <c r="AG351" s="29"/>
    </row>
    <row r="352" spans="1:33" x14ac:dyDescent="0.4">
      <c r="A352" s="108" t="s">
        <v>1735</v>
      </c>
      <c r="B352" s="49">
        <v>3</v>
      </c>
      <c r="C352" s="18">
        <v>350</v>
      </c>
      <c r="D352" s="17"/>
      <c r="E352" s="49">
        <v>2549367</v>
      </c>
      <c r="F352" s="29"/>
      <c r="G352" s="109" t="s">
        <v>1786</v>
      </c>
      <c r="H352" s="114" t="s">
        <v>1787</v>
      </c>
      <c r="I352" s="114" t="s">
        <v>1787</v>
      </c>
      <c r="J352" s="113" t="s">
        <v>1788</v>
      </c>
      <c r="K352" s="113" t="s">
        <v>1789</v>
      </c>
      <c r="L352" s="113" t="s">
        <v>1797</v>
      </c>
      <c r="M352" s="29" t="s">
        <v>1791</v>
      </c>
      <c r="N352" s="29" t="s">
        <v>1792</v>
      </c>
      <c r="O352" s="109"/>
      <c r="P352" s="29" t="s">
        <v>1793</v>
      </c>
      <c r="Q352" s="66" t="s">
        <v>17</v>
      </c>
      <c r="R352" s="66" t="s">
        <v>1744</v>
      </c>
      <c r="S352" s="29" t="s">
        <v>68</v>
      </c>
      <c r="T352" s="29" t="s">
        <v>1794</v>
      </c>
      <c r="U352" s="107" t="s">
        <v>1795</v>
      </c>
      <c r="V352" s="31"/>
      <c r="W352" s="66" t="s">
        <v>1747</v>
      </c>
      <c r="X352" s="66"/>
      <c r="Y352" s="16">
        <v>1</v>
      </c>
      <c r="Z352" s="31"/>
      <c r="AA352" s="31"/>
      <c r="AB352" s="18">
        <v>2016</v>
      </c>
      <c r="AC352" s="16" t="s">
        <v>131</v>
      </c>
      <c r="AD352" s="30"/>
      <c r="AE352" s="29"/>
      <c r="AF352" s="29"/>
      <c r="AG352" s="29"/>
    </row>
    <row r="353" spans="1:33" x14ac:dyDescent="0.4">
      <c r="A353" s="108" t="s">
        <v>1735</v>
      </c>
      <c r="B353" s="49">
        <v>4</v>
      </c>
      <c r="C353" s="18">
        <v>351</v>
      </c>
      <c r="D353" s="17"/>
      <c r="E353" s="49">
        <v>2549367</v>
      </c>
      <c r="F353" s="29"/>
      <c r="G353" s="109" t="s">
        <v>1786</v>
      </c>
      <c r="H353" s="114" t="s">
        <v>1787</v>
      </c>
      <c r="I353" s="114" t="s">
        <v>1787</v>
      </c>
      <c r="J353" s="113" t="s">
        <v>1788</v>
      </c>
      <c r="K353" s="113" t="s">
        <v>1789</v>
      </c>
      <c r="L353" s="113" t="s">
        <v>1798</v>
      </c>
      <c r="M353" s="29" t="s">
        <v>1791</v>
      </c>
      <c r="N353" s="29" t="s">
        <v>1792</v>
      </c>
      <c r="O353" s="109"/>
      <c r="P353" s="29" t="s">
        <v>1793</v>
      </c>
      <c r="Q353" s="66" t="s">
        <v>17</v>
      </c>
      <c r="R353" s="66" t="s">
        <v>1744</v>
      </c>
      <c r="S353" s="29" t="s">
        <v>68</v>
      </c>
      <c r="T353" s="29" t="s">
        <v>1794</v>
      </c>
      <c r="U353" s="107" t="s">
        <v>1795</v>
      </c>
      <c r="V353" s="31"/>
      <c r="W353" s="66" t="s">
        <v>1747</v>
      </c>
      <c r="X353" s="66"/>
      <c r="Y353" s="16">
        <v>1</v>
      </c>
      <c r="Z353" s="31"/>
      <c r="AA353" s="31"/>
      <c r="AB353" s="18">
        <v>2016</v>
      </c>
      <c r="AC353" s="16" t="s">
        <v>51</v>
      </c>
      <c r="AD353" s="30"/>
      <c r="AE353" s="29"/>
      <c r="AF353" s="29"/>
      <c r="AG353" s="29"/>
    </row>
    <row r="354" spans="1:33" x14ac:dyDescent="0.4">
      <c r="A354" s="108" t="s">
        <v>1735</v>
      </c>
      <c r="B354" s="49">
        <v>5</v>
      </c>
      <c r="C354" s="18">
        <v>352</v>
      </c>
      <c r="D354" s="17"/>
      <c r="E354" s="49">
        <v>2549367</v>
      </c>
      <c r="F354" s="29"/>
      <c r="G354" s="109" t="s">
        <v>1786</v>
      </c>
      <c r="H354" s="114" t="s">
        <v>1787</v>
      </c>
      <c r="I354" s="114" t="s">
        <v>1787</v>
      </c>
      <c r="J354" s="113" t="s">
        <v>1788</v>
      </c>
      <c r="K354" s="113" t="s">
        <v>1789</v>
      </c>
      <c r="L354" s="113" t="s">
        <v>1799</v>
      </c>
      <c r="M354" s="29" t="s">
        <v>1791</v>
      </c>
      <c r="N354" s="29" t="s">
        <v>1792</v>
      </c>
      <c r="O354" s="109"/>
      <c r="P354" s="29" t="s">
        <v>1793</v>
      </c>
      <c r="Q354" s="66" t="s">
        <v>17</v>
      </c>
      <c r="R354" s="66" t="s">
        <v>1744</v>
      </c>
      <c r="S354" s="29" t="s">
        <v>68</v>
      </c>
      <c r="T354" s="29" t="s">
        <v>1794</v>
      </c>
      <c r="U354" s="107" t="s">
        <v>1795</v>
      </c>
      <c r="V354" s="31"/>
      <c r="W354" s="66" t="s">
        <v>1747</v>
      </c>
      <c r="X354" s="66"/>
      <c r="Y354" s="16">
        <v>1</v>
      </c>
      <c r="Z354" s="31"/>
      <c r="AA354" s="31"/>
      <c r="AB354" s="18">
        <v>2016</v>
      </c>
      <c r="AC354" s="16" t="s">
        <v>51</v>
      </c>
      <c r="AD354" s="30"/>
      <c r="AE354" s="29"/>
      <c r="AF354" s="29"/>
      <c r="AG354" s="29"/>
    </row>
    <row r="355" spans="1:33" x14ac:dyDescent="0.4">
      <c r="A355" s="108" t="s">
        <v>1735</v>
      </c>
      <c r="B355" s="49">
        <v>6</v>
      </c>
      <c r="C355" s="18">
        <v>353</v>
      </c>
      <c r="D355" s="102"/>
      <c r="E355" s="49">
        <v>2549367</v>
      </c>
      <c r="F355" s="29"/>
      <c r="G355" s="109" t="s">
        <v>1786</v>
      </c>
      <c r="H355" s="114" t="s">
        <v>1787</v>
      </c>
      <c r="I355" s="114" t="s">
        <v>1787</v>
      </c>
      <c r="J355" s="113" t="s">
        <v>1788</v>
      </c>
      <c r="K355" s="113" t="s">
        <v>1789</v>
      </c>
      <c r="L355" s="113" t="s">
        <v>1800</v>
      </c>
      <c r="M355" s="29" t="s">
        <v>1791</v>
      </c>
      <c r="N355" s="29" t="s">
        <v>1792</v>
      </c>
      <c r="O355" s="109"/>
      <c r="P355" s="29" t="s">
        <v>1793</v>
      </c>
      <c r="Q355" s="66" t="s">
        <v>17</v>
      </c>
      <c r="R355" s="66" t="s">
        <v>1744</v>
      </c>
      <c r="S355" s="29" t="s">
        <v>68</v>
      </c>
      <c r="T355" s="29" t="s">
        <v>1794</v>
      </c>
      <c r="U355" s="107" t="s">
        <v>1795</v>
      </c>
      <c r="V355" s="31"/>
      <c r="W355" s="66" t="s">
        <v>1747</v>
      </c>
      <c r="X355" s="66"/>
      <c r="Y355" s="16">
        <v>1</v>
      </c>
      <c r="Z355" s="31"/>
      <c r="AA355" s="31"/>
      <c r="AB355" s="18">
        <v>2016</v>
      </c>
      <c r="AC355" s="16" t="s">
        <v>51</v>
      </c>
      <c r="AD355" s="30"/>
      <c r="AE355" s="29"/>
      <c r="AF355" s="29"/>
      <c r="AG355" s="29"/>
    </row>
    <row r="356" spans="1:33" x14ac:dyDescent="0.4">
      <c r="A356" s="108" t="s">
        <v>1735</v>
      </c>
      <c r="B356" s="49">
        <v>7</v>
      </c>
      <c r="C356" s="17">
        <v>354</v>
      </c>
      <c r="D356" s="18" t="s">
        <v>1801</v>
      </c>
      <c r="E356" s="49">
        <v>2549367</v>
      </c>
      <c r="F356" s="29"/>
      <c r="G356" s="115" t="s">
        <v>1786</v>
      </c>
      <c r="H356" s="114" t="s">
        <v>1787</v>
      </c>
      <c r="I356" s="114" t="s">
        <v>1787</v>
      </c>
      <c r="J356" s="113" t="s">
        <v>1788</v>
      </c>
      <c r="K356" s="113" t="s">
        <v>1789</v>
      </c>
      <c r="L356" s="113" t="s">
        <v>1802</v>
      </c>
      <c r="M356" s="29" t="s">
        <v>1791</v>
      </c>
      <c r="N356" s="29" t="s">
        <v>1792</v>
      </c>
      <c r="O356" s="109"/>
      <c r="P356" s="29" t="s">
        <v>1793</v>
      </c>
      <c r="Q356" s="66" t="s">
        <v>17</v>
      </c>
      <c r="R356" s="66" t="s">
        <v>1744</v>
      </c>
      <c r="S356" s="29" t="s">
        <v>68</v>
      </c>
      <c r="T356" s="29" t="s">
        <v>1794</v>
      </c>
      <c r="U356" s="107" t="s">
        <v>1795</v>
      </c>
      <c r="V356" s="31"/>
      <c r="W356" s="66" t="s">
        <v>1747</v>
      </c>
      <c r="X356" s="66"/>
      <c r="Y356" s="16">
        <v>1</v>
      </c>
      <c r="Z356" s="31"/>
      <c r="AA356" s="31"/>
      <c r="AB356" s="18">
        <v>2016</v>
      </c>
      <c r="AC356" s="16" t="s">
        <v>51</v>
      </c>
      <c r="AD356" s="30"/>
      <c r="AE356" s="29"/>
      <c r="AF356" s="29"/>
      <c r="AG356" s="29"/>
    </row>
    <row r="357" spans="1:33" x14ac:dyDescent="0.4">
      <c r="A357" s="108" t="s">
        <v>1735</v>
      </c>
      <c r="B357" s="49">
        <v>8</v>
      </c>
      <c r="C357" s="18">
        <v>355</v>
      </c>
      <c r="D357" s="116"/>
      <c r="E357" s="49">
        <v>2549367</v>
      </c>
      <c r="F357" s="29"/>
      <c r="G357" s="109" t="s">
        <v>1786</v>
      </c>
      <c r="H357" s="114" t="s">
        <v>1787</v>
      </c>
      <c r="I357" s="114" t="s">
        <v>1787</v>
      </c>
      <c r="J357" s="113" t="s">
        <v>1788</v>
      </c>
      <c r="K357" s="113" t="s">
        <v>1789</v>
      </c>
      <c r="L357" s="113" t="s">
        <v>1803</v>
      </c>
      <c r="M357" s="29" t="s">
        <v>1791</v>
      </c>
      <c r="N357" s="29" t="s">
        <v>1792</v>
      </c>
      <c r="O357" s="109"/>
      <c r="P357" s="29" t="s">
        <v>1793</v>
      </c>
      <c r="Q357" s="66" t="s">
        <v>17</v>
      </c>
      <c r="R357" s="66" t="s">
        <v>1744</v>
      </c>
      <c r="S357" s="29" t="s">
        <v>68</v>
      </c>
      <c r="T357" s="29" t="s">
        <v>1794</v>
      </c>
      <c r="U357" s="107" t="s">
        <v>1795</v>
      </c>
      <c r="V357" s="31"/>
      <c r="W357" s="66" t="s">
        <v>1747</v>
      </c>
      <c r="X357" s="66"/>
      <c r="Y357" s="16">
        <v>1</v>
      </c>
      <c r="Z357" s="31"/>
      <c r="AA357" s="31"/>
      <c r="AB357" s="18">
        <v>2016</v>
      </c>
      <c r="AC357" s="16" t="s">
        <v>51</v>
      </c>
      <c r="AD357" s="30"/>
      <c r="AE357" s="29"/>
      <c r="AF357" s="29"/>
      <c r="AG357" s="29"/>
    </row>
    <row r="358" spans="1:33" x14ac:dyDescent="0.4">
      <c r="A358" s="108" t="s">
        <v>1735</v>
      </c>
      <c r="B358" s="49">
        <v>9</v>
      </c>
      <c r="C358" s="93">
        <v>356</v>
      </c>
      <c r="D358" s="18" t="s">
        <v>1804</v>
      </c>
      <c r="E358" s="74">
        <v>2549367</v>
      </c>
      <c r="F358" s="96"/>
      <c r="G358" s="115" t="s">
        <v>1786</v>
      </c>
      <c r="H358" s="114" t="s">
        <v>1787</v>
      </c>
      <c r="I358" s="114" t="s">
        <v>1787</v>
      </c>
      <c r="J358" s="113" t="s">
        <v>1788</v>
      </c>
      <c r="K358" s="113" t="s">
        <v>1789</v>
      </c>
      <c r="L358" s="113" t="s">
        <v>1805</v>
      </c>
      <c r="M358" s="29" t="s">
        <v>1791</v>
      </c>
      <c r="N358" s="29" t="s">
        <v>1792</v>
      </c>
      <c r="O358" s="109"/>
      <c r="P358" s="29" t="s">
        <v>1793</v>
      </c>
      <c r="Q358" s="24" t="s">
        <v>17</v>
      </c>
      <c r="R358" s="66" t="s">
        <v>1744</v>
      </c>
      <c r="S358" s="29" t="s">
        <v>68</v>
      </c>
      <c r="T358" s="29" t="s">
        <v>1794</v>
      </c>
      <c r="U358" s="107" t="s">
        <v>1795</v>
      </c>
      <c r="V358" s="31"/>
      <c r="W358" s="66" t="s">
        <v>1747</v>
      </c>
      <c r="X358" s="66"/>
      <c r="Y358" s="16">
        <v>1</v>
      </c>
      <c r="Z358" s="31"/>
      <c r="AA358" s="31"/>
      <c r="AB358" s="18">
        <v>2016</v>
      </c>
      <c r="AC358" s="16" t="s">
        <v>51</v>
      </c>
      <c r="AD358" s="30"/>
      <c r="AE358" s="29"/>
      <c r="AF358" s="29"/>
      <c r="AG358" s="29"/>
    </row>
    <row r="359" spans="1:33" x14ac:dyDescent="0.4">
      <c r="A359" s="108" t="s">
        <v>1735</v>
      </c>
      <c r="B359" s="49">
        <v>10</v>
      </c>
      <c r="C359" s="93">
        <v>357</v>
      </c>
      <c r="D359" s="18" t="s">
        <v>1806</v>
      </c>
      <c r="E359" s="74">
        <v>2549367</v>
      </c>
      <c r="F359" s="96"/>
      <c r="G359" s="115" t="s">
        <v>1786</v>
      </c>
      <c r="H359" s="114" t="s">
        <v>1787</v>
      </c>
      <c r="I359" s="114" t="s">
        <v>1787</v>
      </c>
      <c r="J359" s="113" t="s">
        <v>1788</v>
      </c>
      <c r="K359" s="113" t="s">
        <v>1789</v>
      </c>
      <c r="L359" s="113" t="s">
        <v>1807</v>
      </c>
      <c r="M359" s="29" t="s">
        <v>1791</v>
      </c>
      <c r="N359" s="29" t="s">
        <v>1792</v>
      </c>
      <c r="O359" s="109"/>
      <c r="P359" s="29" t="s">
        <v>1793</v>
      </c>
      <c r="Q359" s="24" t="s">
        <v>17</v>
      </c>
      <c r="R359" s="66" t="s">
        <v>1744</v>
      </c>
      <c r="S359" s="29" t="s">
        <v>1760</v>
      </c>
      <c r="T359" s="29" t="s">
        <v>1794</v>
      </c>
      <c r="U359" s="107" t="s">
        <v>1795</v>
      </c>
      <c r="V359" s="31"/>
      <c r="W359" s="66" t="s">
        <v>1747</v>
      </c>
      <c r="X359" s="66"/>
      <c r="Y359" s="16">
        <v>1</v>
      </c>
      <c r="Z359" s="31"/>
      <c r="AA359" s="31"/>
      <c r="AB359" s="18">
        <v>2016</v>
      </c>
      <c r="AC359" s="16" t="s">
        <v>51</v>
      </c>
      <c r="AD359" s="30"/>
      <c r="AE359" s="29"/>
      <c r="AF359" s="29"/>
      <c r="AG359" s="29"/>
    </row>
    <row r="360" spans="1:33" x14ac:dyDescent="0.4">
      <c r="A360" s="108" t="s">
        <v>1735</v>
      </c>
      <c r="B360" s="49">
        <v>11</v>
      </c>
      <c r="C360" s="18">
        <v>358</v>
      </c>
      <c r="D360" s="77"/>
      <c r="E360" s="49">
        <v>2549367</v>
      </c>
      <c r="F360" s="29"/>
      <c r="G360" s="109" t="s">
        <v>1786</v>
      </c>
      <c r="H360" s="114" t="s">
        <v>1787</v>
      </c>
      <c r="I360" s="114" t="s">
        <v>1787</v>
      </c>
      <c r="J360" s="113" t="s">
        <v>1788</v>
      </c>
      <c r="K360" s="113" t="s">
        <v>1789</v>
      </c>
      <c r="L360" s="113" t="s">
        <v>1808</v>
      </c>
      <c r="M360" s="29" t="s">
        <v>1791</v>
      </c>
      <c r="N360" s="29" t="s">
        <v>1792</v>
      </c>
      <c r="O360" s="109"/>
      <c r="P360" s="29" t="s">
        <v>1793</v>
      </c>
      <c r="Q360" s="24" t="s">
        <v>116</v>
      </c>
      <c r="R360" s="66" t="s">
        <v>1744</v>
      </c>
      <c r="S360" s="29" t="s">
        <v>1760</v>
      </c>
      <c r="T360" s="29" t="s">
        <v>1794</v>
      </c>
      <c r="U360" s="107" t="s">
        <v>1795</v>
      </c>
      <c r="V360" s="31"/>
      <c r="W360" s="66" t="s">
        <v>1747</v>
      </c>
      <c r="X360" s="66"/>
      <c r="Y360" s="16">
        <v>1</v>
      </c>
      <c r="Z360" s="31"/>
      <c r="AA360" s="31"/>
      <c r="AB360" s="18">
        <v>2016</v>
      </c>
      <c r="AC360" s="16" t="s">
        <v>51</v>
      </c>
      <c r="AD360" s="30"/>
      <c r="AE360" s="29"/>
      <c r="AF360" s="29"/>
      <c r="AG360" s="29"/>
    </row>
    <row r="361" spans="1:33" x14ac:dyDescent="0.4">
      <c r="A361" s="108" t="s">
        <v>1735</v>
      </c>
      <c r="B361" s="49">
        <v>12</v>
      </c>
      <c r="C361" s="18">
        <v>359</v>
      </c>
      <c r="D361" s="17"/>
      <c r="E361" s="49">
        <v>2549367</v>
      </c>
      <c r="F361" s="29"/>
      <c r="G361" s="109" t="s">
        <v>1786</v>
      </c>
      <c r="H361" s="114" t="s">
        <v>1787</v>
      </c>
      <c r="I361" s="114" t="s">
        <v>1787</v>
      </c>
      <c r="J361" s="113" t="s">
        <v>1788</v>
      </c>
      <c r="K361" s="113" t="s">
        <v>1789</v>
      </c>
      <c r="L361" s="113" t="s">
        <v>1809</v>
      </c>
      <c r="M361" s="29" t="s">
        <v>1791</v>
      </c>
      <c r="N361" s="29" t="s">
        <v>1792</v>
      </c>
      <c r="O361" s="109"/>
      <c r="P361" s="29" t="s">
        <v>1793</v>
      </c>
      <c r="Q361" s="24" t="s">
        <v>116</v>
      </c>
      <c r="R361" s="66" t="s">
        <v>1744</v>
      </c>
      <c r="S361" s="29" t="s">
        <v>1760</v>
      </c>
      <c r="T361" s="29" t="s">
        <v>1794</v>
      </c>
      <c r="U361" s="107" t="s">
        <v>1795</v>
      </c>
      <c r="V361" s="31"/>
      <c r="W361" s="66" t="s">
        <v>1747</v>
      </c>
      <c r="X361" s="66"/>
      <c r="Y361" s="16">
        <v>1</v>
      </c>
      <c r="Z361" s="31"/>
      <c r="AA361" s="31"/>
      <c r="AB361" s="18">
        <v>2016</v>
      </c>
      <c r="AC361" s="16" t="s">
        <v>51</v>
      </c>
      <c r="AD361" s="30"/>
      <c r="AE361" s="29"/>
      <c r="AF361" s="29"/>
      <c r="AG361" s="29"/>
    </row>
    <row r="362" spans="1:33" x14ac:dyDescent="0.4">
      <c r="A362" s="108" t="s">
        <v>1735</v>
      </c>
      <c r="B362" s="49">
        <v>13</v>
      </c>
      <c r="C362" s="18">
        <v>360</v>
      </c>
      <c r="D362" s="102"/>
      <c r="E362" s="49">
        <v>2549367</v>
      </c>
      <c r="F362" s="29"/>
      <c r="G362" s="109" t="s">
        <v>1786</v>
      </c>
      <c r="H362" s="114" t="s">
        <v>1787</v>
      </c>
      <c r="I362" s="114" t="s">
        <v>1787</v>
      </c>
      <c r="J362" s="113" t="s">
        <v>1788</v>
      </c>
      <c r="K362" s="113" t="s">
        <v>1789</v>
      </c>
      <c r="L362" s="113" t="s">
        <v>1810</v>
      </c>
      <c r="M362" s="29" t="s">
        <v>1791</v>
      </c>
      <c r="N362" s="29" t="s">
        <v>1792</v>
      </c>
      <c r="O362" s="109"/>
      <c r="P362" s="29" t="s">
        <v>1793</v>
      </c>
      <c r="Q362" s="24" t="s">
        <v>116</v>
      </c>
      <c r="R362" s="66" t="s">
        <v>1744</v>
      </c>
      <c r="S362" s="29" t="s">
        <v>1760</v>
      </c>
      <c r="T362" s="29" t="s">
        <v>1794</v>
      </c>
      <c r="U362" s="107" t="s">
        <v>1795</v>
      </c>
      <c r="V362" s="31"/>
      <c r="W362" s="66" t="s">
        <v>1747</v>
      </c>
      <c r="X362" s="66"/>
      <c r="Y362" s="16">
        <v>1</v>
      </c>
      <c r="Z362" s="31"/>
      <c r="AA362" s="31"/>
      <c r="AB362" s="18">
        <v>2016</v>
      </c>
      <c r="AC362" s="16" t="s">
        <v>51</v>
      </c>
      <c r="AD362" s="30"/>
      <c r="AE362" s="29"/>
      <c r="AF362" s="29"/>
      <c r="AG362" s="29"/>
    </row>
    <row r="363" spans="1:33" x14ac:dyDescent="0.4">
      <c r="A363" s="108" t="s">
        <v>1735</v>
      </c>
      <c r="B363" s="49">
        <v>14</v>
      </c>
      <c r="C363" s="93">
        <v>361</v>
      </c>
      <c r="D363" s="94" t="s">
        <v>1811</v>
      </c>
      <c r="E363" s="74">
        <v>2549367</v>
      </c>
      <c r="F363" s="96"/>
      <c r="G363" s="115" t="s">
        <v>1786</v>
      </c>
      <c r="H363" s="114" t="s">
        <v>1787</v>
      </c>
      <c r="I363" s="114" t="s">
        <v>1787</v>
      </c>
      <c r="J363" s="113" t="s">
        <v>1788</v>
      </c>
      <c r="K363" s="113" t="s">
        <v>1789</v>
      </c>
      <c r="L363" s="113" t="s">
        <v>1812</v>
      </c>
      <c r="M363" s="29" t="s">
        <v>1791</v>
      </c>
      <c r="N363" s="29" t="s">
        <v>1792</v>
      </c>
      <c r="O363" s="109"/>
      <c r="P363" s="29" t="s">
        <v>1793</v>
      </c>
      <c r="Q363" s="24" t="s">
        <v>17</v>
      </c>
      <c r="R363" s="66" t="s">
        <v>1744</v>
      </c>
      <c r="S363" s="29" t="s">
        <v>1760</v>
      </c>
      <c r="T363" s="29" t="s">
        <v>1794</v>
      </c>
      <c r="U363" s="107" t="s">
        <v>1795</v>
      </c>
      <c r="V363" s="31"/>
      <c r="W363" s="66" t="s">
        <v>1747</v>
      </c>
      <c r="X363" s="66"/>
      <c r="Y363" s="16">
        <v>1</v>
      </c>
      <c r="Z363" s="31"/>
      <c r="AA363" s="31"/>
      <c r="AB363" s="18">
        <v>2018</v>
      </c>
      <c r="AC363" s="16" t="s">
        <v>51</v>
      </c>
      <c r="AD363" s="30"/>
      <c r="AE363" s="29"/>
      <c r="AF363" s="29"/>
      <c r="AG363" s="29"/>
    </row>
    <row r="364" spans="1:33" x14ac:dyDescent="0.4">
      <c r="A364" s="108" t="s">
        <v>1735</v>
      </c>
      <c r="B364" s="49">
        <v>15</v>
      </c>
      <c r="C364" s="93">
        <v>362</v>
      </c>
      <c r="D364" s="94" t="s">
        <v>1813</v>
      </c>
      <c r="E364" s="74">
        <v>2549367</v>
      </c>
      <c r="F364" s="96"/>
      <c r="G364" s="115" t="s">
        <v>1786</v>
      </c>
      <c r="H364" s="114" t="s">
        <v>1787</v>
      </c>
      <c r="I364" s="114" t="s">
        <v>1787</v>
      </c>
      <c r="J364" s="113" t="s">
        <v>1788</v>
      </c>
      <c r="K364" s="113" t="s">
        <v>1789</v>
      </c>
      <c r="L364" s="113" t="s">
        <v>1814</v>
      </c>
      <c r="M364" s="29" t="s">
        <v>1791</v>
      </c>
      <c r="N364" s="29" t="s">
        <v>1792</v>
      </c>
      <c r="O364" s="109"/>
      <c r="P364" s="29" t="s">
        <v>1793</v>
      </c>
      <c r="Q364" s="24" t="s">
        <v>17</v>
      </c>
      <c r="R364" s="66" t="s">
        <v>1744</v>
      </c>
      <c r="S364" s="29" t="s">
        <v>1760</v>
      </c>
      <c r="T364" s="29" t="s">
        <v>1794</v>
      </c>
      <c r="U364" s="107" t="s">
        <v>1795</v>
      </c>
      <c r="V364" s="31"/>
      <c r="W364" s="66" t="s">
        <v>1747</v>
      </c>
      <c r="X364" s="66"/>
      <c r="Y364" s="16">
        <v>1</v>
      </c>
      <c r="Z364" s="31"/>
      <c r="AA364" s="31"/>
      <c r="AB364" s="18">
        <v>2018</v>
      </c>
      <c r="AC364" s="16" t="s">
        <v>51</v>
      </c>
      <c r="AD364" s="30"/>
      <c r="AE364" s="29"/>
      <c r="AF364" s="29"/>
      <c r="AG364" s="29"/>
    </row>
    <row r="365" spans="1:33" x14ac:dyDescent="0.4">
      <c r="A365" s="108" t="s">
        <v>1735</v>
      </c>
      <c r="B365" s="49">
        <v>16</v>
      </c>
      <c r="C365" s="93">
        <v>363</v>
      </c>
      <c r="D365" s="94" t="s">
        <v>1815</v>
      </c>
      <c r="E365" s="74">
        <v>2549367</v>
      </c>
      <c r="F365" s="96"/>
      <c r="G365" s="115" t="s">
        <v>1786</v>
      </c>
      <c r="H365" s="114" t="s">
        <v>1787</v>
      </c>
      <c r="I365" s="114" t="s">
        <v>1787</v>
      </c>
      <c r="J365" s="113" t="s">
        <v>1788</v>
      </c>
      <c r="K365" s="113" t="s">
        <v>1789</v>
      </c>
      <c r="L365" s="113" t="s">
        <v>1816</v>
      </c>
      <c r="M365" s="29" t="s">
        <v>1791</v>
      </c>
      <c r="N365" s="29" t="s">
        <v>1792</v>
      </c>
      <c r="O365" s="109"/>
      <c r="P365" s="29" t="s">
        <v>1793</v>
      </c>
      <c r="Q365" s="24" t="s">
        <v>17</v>
      </c>
      <c r="R365" s="66" t="s">
        <v>1744</v>
      </c>
      <c r="S365" s="29" t="s">
        <v>1760</v>
      </c>
      <c r="T365" s="29" t="s">
        <v>1794</v>
      </c>
      <c r="U365" s="107" t="s">
        <v>1795</v>
      </c>
      <c r="V365" s="31"/>
      <c r="W365" s="66" t="s">
        <v>1747</v>
      </c>
      <c r="X365" s="66"/>
      <c r="Y365" s="16">
        <v>1</v>
      </c>
      <c r="Z365" s="31"/>
      <c r="AA365" s="31"/>
      <c r="AB365" s="18">
        <v>2018</v>
      </c>
      <c r="AC365" s="16" t="s">
        <v>51</v>
      </c>
      <c r="AD365" s="30"/>
      <c r="AE365" s="29"/>
      <c r="AF365" s="29"/>
      <c r="AG365" s="29"/>
    </row>
    <row r="366" spans="1:33" x14ac:dyDescent="0.4">
      <c r="A366" s="108" t="s">
        <v>1735</v>
      </c>
      <c r="B366" s="49">
        <v>17</v>
      </c>
      <c r="C366" s="18">
        <v>364</v>
      </c>
      <c r="D366" s="77"/>
      <c r="E366" s="49">
        <v>2549367</v>
      </c>
      <c r="F366" s="29"/>
      <c r="G366" s="109" t="s">
        <v>1786</v>
      </c>
      <c r="H366" s="114" t="s">
        <v>1787</v>
      </c>
      <c r="I366" s="114" t="s">
        <v>1787</v>
      </c>
      <c r="J366" s="113" t="s">
        <v>1788</v>
      </c>
      <c r="K366" s="113" t="s">
        <v>1789</v>
      </c>
      <c r="L366" s="113" t="s">
        <v>1817</v>
      </c>
      <c r="M366" s="29" t="s">
        <v>1791</v>
      </c>
      <c r="N366" s="29" t="s">
        <v>1792</v>
      </c>
      <c r="O366" s="109"/>
      <c r="P366" s="29" t="s">
        <v>1793</v>
      </c>
      <c r="Q366" s="24" t="s">
        <v>116</v>
      </c>
      <c r="R366" s="66" t="s">
        <v>1744</v>
      </c>
      <c r="S366" s="29" t="s">
        <v>1760</v>
      </c>
      <c r="T366" s="29" t="s">
        <v>1794</v>
      </c>
      <c r="U366" s="107" t="s">
        <v>1795</v>
      </c>
      <c r="V366" s="31"/>
      <c r="W366" s="66" t="s">
        <v>1747</v>
      </c>
      <c r="X366" s="66"/>
      <c r="Y366" s="16">
        <v>1</v>
      </c>
      <c r="Z366" s="31"/>
      <c r="AA366" s="31"/>
      <c r="AB366" s="18">
        <v>2018</v>
      </c>
      <c r="AC366" s="16" t="s">
        <v>51</v>
      </c>
      <c r="AD366" s="30"/>
      <c r="AE366" s="29"/>
      <c r="AF366" s="29"/>
      <c r="AG366" s="29"/>
    </row>
    <row r="367" spans="1:33" x14ac:dyDescent="0.4">
      <c r="A367" s="108" t="s">
        <v>1735</v>
      </c>
      <c r="B367" s="49">
        <v>18</v>
      </c>
      <c r="C367" s="18">
        <v>365</v>
      </c>
      <c r="D367" s="17"/>
      <c r="E367" s="49">
        <v>2549367</v>
      </c>
      <c r="F367" s="29"/>
      <c r="G367" s="109" t="s">
        <v>1786</v>
      </c>
      <c r="H367" s="114" t="s">
        <v>1787</v>
      </c>
      <c r="I367" s="114" t="s">
        <v>1787</v>
      </c>
      <c r="J367" s="113" t="s">
        <v>1788</v>
      </c>
      <c r="K367" s="113" t="s">
        <v>1789</v>
      </c>
      <c r="L367" s="113" t="s">
        <v>1818</v>
      </c>
      <c r="M367" s="29" t="s">
        <v>1791</v>
      </c>
      <c r="N367" s="29" t="s">
        <v>1792</v>
      </c>
      <c r="O367" s="109"/>
      <c r="P367" s="29" t="s">
        <v>1793</v>
      </c>
      <c r="Q367" s="24" t="s">
        <v>116</v>
      </c>
      <c r="R367" s="66" t="s">
        <v>1744</v>
      </c>
      <c r="S367" s="29" t="s">
        <v>1760</v>
      </c>
      <c r="T367" s="29" t="s">
        <v>1794</v>
      </c>
      <c r="U367" s="107" t="s">
        <v>1795</v>
      </c>
      <c r="V367" s="31"/>
      <c r="W367" s="66" t="s">
        <v>1747</v>
      </c>
      <c r="X367" s="66"/>
      <c r="Y367" s="16">
        <v>1</v>
      </c>
      <c r="Z367" s="31"/>
      <c r="AA367" s="31"/>
      <c r="AB367" s="18">
        <v>2018</v>
      </c>
      <c r="AC367" s="16" t="s">
        <v>51</v>
      </c>
      <c r="AD367" s="30"/>
      <c r="AE367" s="29"/>
      <c r="AF367" s="29"/>
      <c r="AG367" s="29"/>
    </row>
    <row r="368" spans="1:33" x14ac:dyDescent="0.4">
      <c r="A368" s="108" t="s">
        <v>1735</v>
      </c>
      <c r="B368" s="49">
        <v>19</v>
      </c>
      <c r="C368" s="18">
        <v>366</v>
      </c>
      <c r="D368" s="102"/>
      <c r="E368" s="49">
        <v>2549367</v>
      </c>
      <c r="F368" s="29"/>
      <c r="G368" s="109" t="s">
        <v>1786</v>
      </c>
      <c r="H368" s="114" t="s">
        <v>1787</v>
      </c>
      <c r="I368" s="114" t="s">
        <v>1787</v>
      </c>
      <c r="J368" s="113" t="s">
        <v>1788</v>
      </c>
      <c r="K368" s="113" t="s">
        <v>1789</v>
      </c>
      <c r="L368" s="113" t="s">
        <v>1819</v>
      </c>
      <c r="M368" s="29" t="s">
        <v>1791</v>
      </c>
      <c r="N368" s="29" t="s">
        <v>1792</v>
      </c>
      <c r="O368" s="109"/>
      <c r="P368" s="29" t="s">
        <v>1793</v>
      </c>
      <c r="Q368" s="24" t="s">
        <v>116</v>
      </c>
      <c r="R368" s="66" t="s">
        <v>1744</v>
      </c>
      <c r="S368" s="29" t="s">
        <v>1760</v>
      </c>
      <c r="T368" s="29" t="s">
        <v>1794</v>
      </c>
      <c r="U368" s="107" t="s">
        <v>1795</v>
      </c>
      <c r="V368" s="31"/>
      <c r="W368" s="66" t="s">
        <v>1747</v>
      </c>
      <c r="X368" s="66"/>
      <c r="Y368" s="16">
        <v>1</v>
      </c>
      <c r="Z368" s="31"/>
      <c r="AA368" s="31"/>
      <c r="AB368" s="18">
        <v>2018</v>
      </c>
      <c r="AC368" s="16" t="s">
        <v>51</v>
      </c>
      <c r="AD368" s="30"/>
      <c r="AE368" s="29"/>
      <c r="AF368" s="29"/>
      <c r="AG368" s="29"/>
    </row>
    <row r="369" spans="1:33" x14ac:dyDescent="0.4">
      <c r="A369" s="108" t="s">
        <v>1735</v>
      </c>
      <c r="B369" s="49">
        <v>20</v>
      </c>
      <c r="C369" s="93">
        <v>367</v>
      </c>
      <c r="D369" s="94" t="s">
        <v>1820</v>
      </c>
      <c r="E369" s="74">
        <v>2549367</v>
      </c>
      <c r="F369" s="96"/>
      <c r="G369" s="115" t="s">
        <v>1786</v>
      </c>
      <c r="H369" s="114" t="s">
        <v>1787</v>
      </c>
      <c r="I369" s="114" t="s">
        <v>1787</v>
      </c>
      <c r="J369" s="113" t="s">
        <v>1788</v>
      </c>
      <c r="K369" s="113" t="s">
        <v>1789</v>
      </c>
      <c r="L369" s="113" t="s">
        <v>1821</v>
      </c>
      <c r="M369" s="29" t="s">
        <v>1791</v>
      </c>
      <c r="N369" s="29" t="s">
        <v>1792</v>
      </c>
      <c r="O369" s="109"/>
      <c r="P369" s="29" t="s">
        <v>1793</v>
      </c>
      <c r="Q369" s="24" t="s">
        <v>17</v>
      </c>
      <c r="R369" s="66" t="s">
        <v>1744</v>
      </c>
      <c r="S369" s="29" t="s">
        <v>1760</v>
      </c>
      <c r="T369" s="29" t="s">
        <v>1794</v>
      </c>
      <c r="U369" s="107" t="s">
        <v>1795</v>
      </c>
      <c r="V369" s="31"/>
      <c r="W369" s="66" t="s">
        <v>1747</v>
      </c>
      <c r="X369" s="66"/>
      <c r="Y369" s="16">
        <v>1</v>
      </c>
      <c r="Z369" s="31"/>
      <c r="AA369" s="31"/>
      <c r="AB369" s="18">
        <v>2018</v>
      </c>
      <c r="AC369" s="16" t="s">
        <v>51</v>
      </c>
      <c r="AD369" s="30"/>
      <c r="AE369" s="29"/>
      <c r="AF369" s="29"/>
      <c r="AG369" s="29"/>
    </row>
    <row r="370" spans="1:33" x14ac:dyDescent="0.4">
      <c r="A370" s="108" t="s">
        <v>1735</v>
      </c>
      <c r="B370" s="49">
        <v>21</v>
      </c>
      <c r="C370" s="93">
        <v>368</v>
      </c>
      <c r="D370" s="94" t="s">
        <v>1822</v>
      </c>
      <c r="E370" s="74">
        <v>2549367</v>
      </c>
      <c r="F370" s="96"/>
      <c r="G370" s="115" t="s">
        <v>1786</v>
      </c>
      <c r="H370" s="114" t="s">
        <v>1787</v>
      </c>
      <c r="I370" s="114" t="s">
        <v>1787</v>
      </c>
      <c r="J370" s="113" t="s">
        <v>1788</v>
      </c>
      <c r="K370" s="113" t="s">
        <v>1789</v>
      </c>
      <c r="L370" s="113" t="s">
        <v>1823</v>
      </c>
      <c r="M370" s="29" t="s">
        <v>1791</v>
      </c>
      <c r="N370" s="29" t="s">
        <v>1792</v>
      </c>
      <c r="O370" s="109"/>
      <c r="P370" s="29" t="s">
        <v>1793</v>
      </c>
      <c r="Q370" s="24" t="s">
        <v>17</v>
      </c>
      <c r="R370" s="66" t="s">
        <v>1744</v>
      </c>
      <c r="S370" s="29" t="s">
        <v>1760</v>
      </c>
      <c r="T370" s="29" t="s">
        <v>1794</v>
      </c>
      <c r="U370" s="107" t="s">
        <v>1795</v>
      </c>
      <c r="V370" s="31"/>
      <c r="W370" s="66" t="s">
        <v>1747</v>
      </c>
      <c r="X370" s="66"/>
      <c r="Y370" s="16">
        <v>1</v>
      </c>
      <c r="Z370" s="31"/>
      <c r="AA370" s="31"/>
      <c r="AB370" s="18">
        <v>2018</v>
      </c>
      <c r="AC370" s="16" t="s">
        <v>51</v>
      </c>
      <c r="AD370" s="30"/>
      <c r="AE370" s="29"/>
      <c r="AF370" s="29"/>
      <c r="AG370" s="29"/>
    </row>
    <row r="371" spans="1:33" x14ac:dyDescent="0.4">
      <c r="A371" s="108" t="s">
        <v>1735</v>
      </c>
      <c r="B371" s="49">
        <v>1</v>
      </c>
      <c r="C371" s="18">
        <v>369</v>
      </c>
      <c r="D371" s="77"/>
      <c r="E371" s="49">
        <v>2087637</v>
      </c>
      <c r="F371" s="29"/>
      <c r="G371" s="109" t="s">
        <v>36</v>
      </c>
      <c r="H371" s="114" t="s">
        <v>1824</v>
      </c>
      <c r="I371" s="114" t="s">
        <v>1824</v>
      </c>
      <c r="J371" s="113" t="s">
        <v>1825</v>
      </c>
      <c r="K371" s="113" t="s">
        <v>1826</v>
      </c>
      <c r="L371" s="113" t="s">
        <v>1827</v>
      </c>
      <c r="M371" s="29" t="s">
        <v>1791</v>
      </c>
      <c r="N371" s="29" t="s">
        <v>1792</v>
      </c>
      <c r="O371" s="109"/>
      <c r="P371" s="29" t="s">
        <v>1793</v>
      </c>
      <c r="Q371" s="66" t="s">
        <v>17</v>
      </c>
      <c r="R371" s="66" t="s">
        <v>1744</v>
      </c>
      <c r="S371" s="29" t="s">
        <v>68</v>
      </c>
      <c r="T371" s="29" t="s">
        <v>1828</v>
      </c>
      <c r="U371" s="107" t="s">
        <v>1829</v>
      </c>
      <c r="V371" s="31"/>
      <c r="W371" s="66" t="s">
        <v>1747</v>
      </c>
      <c r="X371" s="66"/>
      <c r="Y371" s="16">
        <v>1</v>
      </c>
      <c r="Z371" s="31"/>
      <c r="AA371" s="31"/>
      <c r="AB371" s="18">
        <v>2016</v>
      </c>
      <c r="AC371" s="16" t="s">
        <v>131</v>
      </c>
      <c r="AD371" s="30"/>
      <c r="AE371" s="29"/>
      <c r="AF371" s="29"/>
      <c r="AG371" s="29"/>
    </row>
    <row r="372" spans="1:33" x14ac:dyDescent="0.4">
      <c r="A372" s="108" t="s">
        <v>1735</v>
      </c>
      <c r="B372" s="49">
        <v>2</v>
      </c>
      <c r="C372" s="18">
        <v>370</v>
      </c>
      <c r="D372" s="17"/>
      <c r="E372" s="49">
        <v>2087637</v>
      </c>
      <c r="F372" s="29"/>
      <c r="G372" s="109" t="s">
        <v>36</v>
      </c>
      <c r="H372" s="114" t="s">
        <v>1824</v>
      </c>
      <c r="I372" s="114" t="s">
        <v>1824</v>
      </c>
      <c r="J372" s="113" t="s">
        <v>1825</v>
      </c>
      <c r="K372" s="113" t="s">
        <v>1826</v>
      </c>
      <c r="L372" s="113" t="s">
        <v>1830</v>
      </c>
      <c r="M372" s="29" t="s">
        <v>1791</v>
      </c>
      <c r="N372" s="29" t="s">
        <v>1792</v>
      </c>
      <c r="O372" s="109"/>
      <c r="P372" s="29" t="s">
        <v>1793</v>
      </c>
      <c r="Q372" s="66" t="s">
        <v>17</v>
      </c>
      <c r="R372" s="66" t="s">
        <v>1744</v>
      </c>
      <c r="S372" s="29" t="s">
        <v>68</v>
      </c>
      <c r="T372" s="29" t="s">
        <v>1828</v>
      </c>
      <c r="U372" s="107" t="s">
        <v>1829</v>
      </c>
      <c r="V372" s="31"/>
      <c r="W372" s="66" t="s">
        <v>1747</v>
      </c>
      <c r="X372" s="66"/>
      <c r="Y372" s="16">
        <v>1</v>
      </c>
      <c r="Z372" s="31"/>
      <c r="AA372" s="31"/>
      <c r="AB372" s="18">
        <v>2016</v>
      </c>
      <c r="AC372" s="16" t="s">
        <v>131</v>
      </c>
      <c r="AD372" s="30"/>
      <c r="AE372" s="29"/>
      <c r="AF372" s="29"/>
      <c r="AG372" s="29"/>
    </row>
    <row r="373" spans="1:33" x14ac:dyDescent="0.4">
      <c r="A373" s="108" t="s">
        <v>1735</v>
      </c>
      <c r="B373" s="49">
        <v>3</v>
      </c>
      <c r="C373" s="18">
        <v>371</v>
      </c>
      <c r="D373" s="17"/>
      <c r="E373" s="49">
        <v>2087637</v>
      </c>
      <c r="F373" s="29"/>
      <c r="G373" s="109" t="s">
        <v>36</v>
      </c>
      <c r="H373" s="114" t="s">
        <v>1824</v>
      </c>
      <c r="I373" s="114" t="s">
        <v>1824</v>
      </c>
      <c r="J373" s="113" t="s">
        <v>1825</v>
      </c>
      <c r="K373" s="113" t="s">
        <v>1826</v>
      </c>
      <c r="L373" s="113" t="s">
        <v>1831</v>
      </c>
      <c r="M373" s="29" t="s">
        <v>1791</v>
      </c>
      <c r="N373" s="29" t="s">
        <v>1792</v>
      </c>
      <c r="O373" s="109"/>
      <c r="P373" s="29" t="s">
        <v>1793</v>
      </c>
      <c r="Q373" s="66" t="s">
        <v>17</v>
      </c>
      <c r="R373" s="66" t="s">
        <v>1744</v>
      </c>
      <c r="S373" s="29" t="s">
        <v>68</v>
      </c>
      <c r="T373" s="29" t="s">
        <v>1828</v>
      </c>
      <c r="U373" s="107" t="s">
        <v>1829</v>
      </c>
      <c r="V373" s="31"/>
      <c r="W373" s="66" t="s">
        <v>1747</v>
      </c>
      <c r="X373" s="66"/>
      <c r="Y373" s="16">
        <v>1</v>
      </c>
      <c r="Z373" s="31"/>
      <c r="AA373" s="31"/>
      <c r="AB373" s="18">
        <v>2016</v>
      </c>
      <c r="AC373" s="16" t="s">
        <v>131</v>
      </c>
      <c r="AD373" s="30"/>
      <c r="AE373" s="29"/>
      <c r="AF373" s="29"/>
      <c r="AG373" s="29"/>
    </row>
    <row r="374" spans="1:33" x14ac:dyDescent="0.4">
      <c r="A374" s="108" t="s">
        <v>1735</v>
      </c>
      <c r="B374" s="49">
        <v>4</v>
      </c>
      <c r="C374" s="18">
        <v>372</v>
      </c>
      <c r="D374" s="17"/>
      <c r="E374" s="49">
        <v>2087637</v>
      </c>
      <c r="F374" s="29"/>
      <c r="G374" s="109" t="s">
        <v>36</v>
      </c>
      <c r="H374" s="114" t="s">
        <v>1824</v>
      </c>
      <c r="I374" s="114" t="s">
        <v>1824</v>
      </c>
      <c r="J374" s="113" t="s">
        <v>1825</v>
      </c>
      <c r="K374" s="113" t="s">
        <v>1826</v>
      </c>
      <c r="L374" s="113" t="s">
        <v>1832</v>
      </c>
      <c r="M374" s="29" t="s">
        <v>1791</v>
      </c>
      <c r="N374" s="29" t="s">
        <v>1792</v>
      </c>
      <c r="O374" s="109"/>
      <c r="P374" s="29" t="s">
        <v>1793</v>
      </c>
      <c r="Q374" s="66" t="s">
        <v>17</v>
      </c>
      <c r="R374" s="66" t="s">
        <v>1744</v>
      </c>
      <c r="S374" s="29" t="s">
        <v>68</v>
      </c>
      <c r="T374" s="29" t="s">
        <v>1828</v>
      </c>
      <c r="U374" s="107" t="s">
        <v>1829</v>
      </c>
      <c r="V374" s="31"/>
      <c r="W374" s="66" t="s">
        <v>1747</v>
      </c>
      <c r="X374" s="66"/>
      <c r="Y374" s="16">
        <v>1</v>
      </c>
      <c r="Z374" s="31"/>
      <c r="AA374" s="31"/>
      <c r="AB374" s="18">
        <v>2016</v>
      </c>
      <c r="AC374" s="16" t="s">
        <v>51</v>
      </c>
      <c r="AD374" s="30"/>
      <c r="AE374" s="29"/>
      <c r="AF374" s="29"/>
      <c r="AG374" s="29"/>
    </row>
    <row r="375" spans="1:33" x14ac:dyDescent="0.4">
      <c r="A375" s="108" t="s">
        <v>1735</v>
      </c>
      <c r="B375" s="49">
        <v>5</v>
      </c>
      <c r="C375" s="18">
        <v>373</v>
      </c>
      <c r="D375" s="17"/>
      <c r="E375" s="49">
        <v>2087637</v>
      </c>
      <c r="F375" s="29"/>
      <c r="G375" s="109" t="s">
        <v>36</v>
      </c>
      <c r="H375" s="114" t="s">
        <v>1824</v>
      </c>
      <c r="I375" s="114" t="s">
        <v>1824</v>
      </c>
      <c r="J375" s="113" t="s">
        <v>1825</v>
      </c>
      <c r="K375" s="113" t="s">
        <v>1826</v>
      </c>
      <c r="L375" s="113" t="s">
        <v>1833</v>
      </c>
      <c r="M375" s="29" t="s">
        <v>1791</v>
      </c>
      <c r="N375" s="29" t="s">
        <v>1792</v>
      </c>
      <c r="O375" s="109"/>
      <c r="P375" s="29" t="s">
        <v>1793</v>
      </c>
      <c r="Q375" s="66" t="s">
        <v>17</v>
      </c>
      <c r="R375" s="66" t="s">
        <v>1744</v>
      </c>
      <c r="S375" s="29" t="s">
        <v>68</v>
      </c>
      <c r="T375" s="29" t="s">
        <v>1828</v>
      </c>
      <c r="U375" s="107" t="s">
        <v>1829</v>
      </c>
      <c r="V375" s="31"/>
      <c r="W375" s="66" t="s">
        <v>1747</v>
      </c>
      <c r="X375" s="66"/>
      <c r="Y375" s="16">
        <v>1</v>
      </c>
      <c r="Z375" s="31"/>
      <c r="AA375" s="31"/>
      <c r="AB375" s="18">
        <v>2016</v>
      </c>
      <c r="AC375" s="16" t="s">
        <v>51</v>
      </c>
      <c r="AD375" s="30"/>
      <c r="AE375" s="29"/>
      <c r="AF375" s="29"/>
      <c r="AG375" s="29"/>
    </row>
    <row r="376" spans="1:33" x14ac:dyDescent="0.4">
      <c r="A376" s="108" t="s">
        <v>1735</v>
      </c>
      <c r="B376" s="49">
        <v>6</v>
      </c>
      <c r="C376" s="18">
        <v>374</v>
      </c>
      <c r="D376" s="17"/>
      <c r="E376" s="49">
        <v>2087637</v>
      </c>
      <c r="F376" s="29"/>
      <c r="G376" s="109" t="s">
        <v>36</v>
      </c>
      <c r="H376" s="114" t="s">
        <v>1824</v>
      </c>
      <c r="I376" s="114" t="s">
        <v>1824</v>
      </c>
      <c r="J376" s="113" t="s">
        <v>1825</v>
      </c>
      <c r="K376" s="113" t="s">
        <v>1826</v>
      </c>
      <c r="L376" s="113" t="s">
        <v>1834</v>
      </c>
      <c r="M376" s="29" t="s">
        <v>1791</v>
      </c>
      <c r="N376" s="29" t="s">
        <v>1792</v>
      </c>
      <c r="O376" s="109"/>
      <c r="P376" s="29" t="s">
        <v>1793</v>
      </c>
      <c r="Q376" s="24" t="s">
        <v>116</v>
      </c>
      <c r="R376" s="66" t="s">
        <v>1744</v>
      </c>
      <c r="S376" s="29" t="s">
        <v>68</v>
      </c>
      <c r="T376" s="29" t="s">
        <v>1828</v>
      </c>
      <c r="U376" s="107" t="s">
        <v>1829</v>
      </c>
      <c r="V376" s="31"/>
      <c r="W376" s="66" t="s">
        <v>1747</v>
      </c>
      <c r="X376" s="66"/>
      <c r="Y376" s="16">
        <v>1</v>
      </c>
      <c r="Z376" s="31"/>
      <c r="AA376" s="31"/>
      <c r="AB376" s="18">
        <v>2016</v>
      </c>
      <c r="AC376" s="16" t="s">
        <v>51</v>
      </c>
      <c r="AD376" s="30"/>
      <c r="AE376" s="29"/>
      <c r="AF376" s="29"/>
      <c r="AG376" s="29"/>
    </row>
    <row r="377" spans="1:33" x14ac:dyDescent="0.4">
      <c r="A377" s="108" t="s">
        <v>1735</v>
      </c>
      <c r="B377" s="49">
        <v>7</v>
      </c>
      <c r="C377" s="18">
        <v>375</v>
      </c>
      <c r="D377" s="17"/>
      <c r="E377" s="49">
        <v>2087637</v>
      </c>
      <c r="F377" s="29"/>
      <c r="G377" s="109" t="s">
        <v>36</v>
      </c>
      <c r="H377" s="114" t="s">
        <v>1824</v>
      </c>
      <c r="I377" s="114" t="s">
        <v>1824</v>
      </c>
      <c r="J377" s="113" t="s">
        <v>1825</v>
      </c>
      <c r="K377" s="113" t="s">
        <v>1826</v>
      </c>
      <c r="L377" s="113" t="s">
        <v>1835</v>
      </c>
      <c r="M377" s="29" t="s">
        <v>1791</v>
      </c>
      <c r="N377" s="29" t="s">
        <v>1792</v>
      </c>
      <c r="O377" s="109"/>
      <c r="P377" s="29" t="s">
        <v>1793</v>
      </c>
      <c r="Q377" s="24" t="s">
        <v>116</v>
      </c>
      <c r="R377" s="66" t="s">
        <v>1744</v>
      </c>
      <c r="S377" s="29" t="s">
        <v>68</v>
      </c>
      <c r="T377" s="29" t="s">
        <v>1828</v>
      </c>
      <c r="U377" s="107" t="s">
        <v>1829</v>
      </c>
      <c r="V377" s="31"/>
      <c r="W377" s="66" t="s">
        <v>1747</v>
      </c>
      <c r="X377" s="66"/>
      <c r="Y377" s="16">
        <v>1</v>
      </c>
      <c r="Z377" s="31"/>
      <c r="AA377" s="31"/>
      <c r="AB377" s="18">
        <v>2016</v>
      </c>
      <c r="AC377" s="16" t="s">
        <v>51</v>
      </c>
      <c r="AD377" s="30"/>
      <c r="AE377" s="29"/>
      <c r="AF377" s="29"/>
      <c r="AG377" s="29"/>
    </row>
    <row r="378" spans="1:33" x14ac:dyDescent="0.4">
      <c r="A378" s="108" t="s">
        <v>1735</v>
      </c>
      <c r="B378" s="49">
        <v>8</v>
      </c>
      <c r="C378" s="18">
        <v>376</v>
      </c>
      <c r="D378" s="17"/>
      <c r="E378" s="49">
        <v>2087637</v>
      </c>
      <c r="F378" s="29"/>
      <c r="G378" s="109" t="s">
        <v>36</v>
      </c>
      <c r="H378" s="114" t="s">
        <v>1824</v>
      </c>
      <c r="I378" s="114" t="s">
        <v>1824</v>
      </c>
      <c r="J378" s="113" t="s">
        <v>1825</v>
      </c>
      <c r="K378" s="113" t="s">
        <v>1826</v>
      </c>
      <c r="L378" s="113" t="s">
        <v>1836</v>
      </c>
      <c r="M378" s="29" t="s">
        <v>1791</v>
      </c>
      <c r="N378" s="29" t="s">
        <v>1792</v>
      </c>
      <c r="O378" s="109"/>
      <c r="P378" s="29" t="s">
        <v>1793</v>
      </c>
      <c r="Q378" s="24" t="s">
        <v>116</v>
      </c>
      <c r="R378" s="66" t="s">
        <v>1744</v>
      </c>
      <c r="S378" s="29" t="s">
        <v>68</v>
      </c>
      <c r="T378" s="29" t="s">
        <v>1828</v>
      </c>
      <c r="U378" s="107" t="s">
        <v>1829</v>
      </c>
      <c r="V378" s="31"/>
      <c r="W378" s="66" t="s">
        <v>1747</v>
      </c>
      <c r="X378" s="66"/>
      <c r="Y378" s="16">
        <v>1</v>
      </c>
      <c r="Z378" s="31"/>
      <c r="AA378" s="31"/>
      <c r="AB378" s="18">
        <v>2016</v>
      </c>
      <c r="AC378" s="16" t="s">
        <v>51</v>
      </c>
      <c r="AD378" s="30"/>
      <c r="AE378" s="29"/>
      <c r="AF378" s="29"/>
      <c r="AG378" s="29"/>
    </row>
    <row r="379" spans="1:33" x14ac:dyDescent="0.4">
      <c r="A379" s="108" t="s">
        <v>1735</v>
      </c>
      <c r="B379" s="49">
        <v>9</v>
      </c>
      <c r="C379" s="18">
        <v>377</v>
      </c>
      <c r="D379" s="17"/>
      <c r="E379" s="49">
        <v>2087637</v>
      </c>
      <c r="F379" s="29"/>
      <c r="G379" s="109" t="s">
        <v>36</v>
      </c>
      <c r="H379" s="114" t="s">
        <v>1824</v>
      </c>
      <c r="I379" s="114" t="s">
        <v>1824</v>
      </c>
      <c r="J379" s="113" t="s">
        <v>1825</v>
      </c>
      <c r="K379" s="113" t="s">
        <v>1826</v>
      </c>
      <c r="L379" s="113" t="s">
        <v>1837</v>
      </c>
      <c r="M379" s="29" t="s">
        <v>1791</v>
      </c>
      <c r="N379" s="29" t="s">
        <v>1792</v>
      </c>
      <c r="O379" s="109"/>
      <c r="P379" s="29" t="s">
        <v>1793</v>
      </c>
      <c r="Q379" s="24" t="s">
        <v>116</v>
      </c>
      <c r="R379" s="66" t="s">
        <v>1744</v>
      </c>
      <c r="S379" s="29" t="s">
        <v>68</v>
      </c>
      <c r="T379" s="29" t="s">
        <v>1828</v>
      </c>
      <c r="U379" s="107" t="s">
        <v>1829</v>
      </c>
      <c r="V379" s="31"/>
      <c r="W379" s="66" t="s">
        <v>1747</v>
      </c>
      <c r="X379" s="66"/>
      <c r="Y379" s="16">
        <v>1</v>
      </c>
      <c r="Z379" s="31"/>
      <c r="AA379" s="31"/>
      <c r="AB379" s="18">
        <v>2016</v>
      </c>
      <c r="AC379" s="16" t="s">
        <v>51</v>
      </c>
      <c r="AD379" s="30"/>
      <c r="AE379" s="29"/>
      <c r="AF379" s="29"/>
      <c r="AG379" s="29"/>
    </row>
    <row r="380" spans="1:33" x14ac:dyDescent="0.4">
      <c r="A380" s="108" t="s">
        <v>1735</v>
      </c>
      <c r="B380" s="49">
        <v>10</v>
      </c>
      <c r="C380" s="18">
        <v>378</v>
      </c>
      <c r="D380" s="17"/>
      <c r="E380" s="49">
        <v>2087637</v>
      </c>
      <c r="F380" s="29"/>
      <c r="G380" s="109" t="s">
        <v>36</v>
      </c>
      <c r="H380" s="114" t="s">
        <v>1824</v>
      </c>
      <c r="I380" s="114" t="s">
        <v>1824</v>
      </c>
      <c r="J380" s="113" t="s">
        <v>1825</v>
      </c>
      <c r="K380" s="113" t="s">
        <v>1826</v>
      </c>
      <c r="L380" s="113" t="s">
        <v>1838</v>
      </c>
      <c r="M380" s="29" t="s">
        <v>1791</v>
      </c>
      <c r="N380" s="29" t="s">
        <v>1792</v>
      </c>
      <c r="O380" s="109"/>
      <c r="P380" s="29" t="s">
        <v>1793</v>
      </c>
      <c r="Q380" s="24" t="s">
        <v>116</v>
      </c>
      <c r="R380" s="66" t="s">
        <v>1744</v>
      </c>
      <c r="S380" s="29" t="s">
        <v>68</v>
      </c>
      <c r="T380" s="29" t="s">
        <v>1828</v>
      </c>
      <c r="U380" s="107" t="s">
        <v>1829</v>
      </c>
      <c r="V380" s="31"/>
      <c r="W380" s="66" t="s">
        <v>1747</v>
      </c>
      <c r="X380" s="66"/>
      <c r="Y380" s="16">
        <v>1</v>
      </c>
      <c r="Z380" s="31"/>
      <c r="AA380" s="31"/>
      <c r="AB380" s="18">
        <v>2016</v>
      </c>
      <c r="AC380" s="16" t="s">
        <v>51</v>
      </c>
      <c r="AD380" s="30"/>
      <c r="AE380" s="29"/>
      <c r="AF380" s="29"/>
      <c r="AG380" s="29"/>
    </row>
    <row r="381" spans="1:33" x14ac:dyDescent="0.4">
      <c r="A381" s="108" t="s">
        <v>1735</v>
      </c>
      <c r="B381" s="49">
        <v>11</v>
      </c>
      <c r="C381" s="18">
        <v>379</v>
      </c>
      <c r="D381" s="17"/>
      <c r="E381" s="49">
        <v>2087637</v>
      </c>
      <c r="F381" s="29"/>
      <c r="G381" s="109" t="s">
        <v>36</v>
      </c>
      <c r="H381" s="114" t="s">
        <v>1824</v>
      </c>
      <c r="I381" s="114" t="s">
        <v>1824</v>
      </c>
      <c r="J381" s="113" t="s">
        <v>1825</v>
      </c>
      <c r="K381" s="113" t="s">
        <v>1826</v>
      </c>
      <c r="L381" s="113" t="s">
        <v>1839</v>
      </c>
      <c r="M381" s="29" t="s">
        <v>1791</v>
      </c>
      <c r="N381" s="29" t="s">
        <v>1792</v>
      </c>
      <c r="O381" s="109"/>
      <c r="P381" s="29" t="s">
        <v>1793</v>
      </c>
      <c r="Q381" s="24" t="s">
        <v>116</v>
      </c>
      <c r="R381" s="66" t="s">
        <v>1744</v>
      </c>
      <c r="S381" s="29" t="s">
        <v>68</v>
      </c>
      <c r="T381" s="29" t="s">
        <v>1828</v>
      </c>
      <c r="U381" s="107" t="s">
        <v>1829</v>
      </c>
      <c r="V381" s="31"/>
      <c r="W381" s="66" t="s">
        <v>1747</v>
      </c>
      <c r="X381" s="66"/>
      <c r="Y381" s="16">
        <v>1</v>
      </c>
      <c r="Z381" s="31"/>
      <c r="AA381" s="31"/>
      <c r="AB381" s="18">
        <v>2016</v>
      </c>
      <c r="AC381" s="16" t="s">
        <v>51</v>
      </c>
      <c r="AD381" s="30"/>
      <c r="AE381" s="29"/>
      <c r="AF381" s="29"/>
      <c r="AG381" s="29"/>
    </row>
    <row r="382" spans="1:33" x14ac:dyDescent="0.4">
      <c r="A382" s="108" t="s">
        <v>1735</v>
      </c>
      <c r="B382" s="49">
        <v>12</v>
      </c>
      <c r="C382" s="18">
        <v>380</v>
      </c>
      <c r="D382" s="17"/>
      <c r="E382" s="49">
        <v>2087637</v>
      </c>
      <c r="F382" s="29"/>
      <c r="G382" s="109" t="s">
        <v>36</v>
      </c>
      <c r="H382" s="114" t="s">
        <v>1824</v>
      </c>
      <c r="I382" s="114" t="s">
        <v>1824</v>
      </c>
      <c r="J382" s="113" t="s">
        <v>1825</v>
      </c>
      <c r="K382" s="113" t="s">
        <v>1826</v>
      </c>
      <c r="L382" s="113" t="s">
        <v>1840</v>
      </c>
      <c r="M382" s="29" t="s">
        <v>1791</v>
      </c>
      <c r="N382" s="29" t="s">
        <v>1792</v>
      </c>
      <c r="O382" s="109"/>
      <c r="P382" s="29" t="s">
        <v>1793</v>
      </c>
      <c r="Q382" s="24" t="s">
        <v>116</v>
      </c>
      <c r="R382" s="66" t="s">
        <v>1744</v>
      </c>
      <c r="S382" s="29" t="s">
        <v>68</v>
      </c>
      <c r="T382" s="29" t="s">
        <v>1828</v>
      </c>
      <c r="U382" s="107" t="s">
        <v>1829</v>
      </c>
      <c r="V382" s="31"/>
      <c r="W382" s="66" t="s">
        <v>1747</v>
      </c>
      <c r="X382" s="66"/>
      <c r="Y382" s="16">
        <v>1</v>
      </c>
      <c r="Z382" s="31"/>
      <c r="AA382" s="31"/>
      <c r="AB382" s="18">
        <v>2016</v>
      </c>
      <c r="AC382" s="16" t="s">
        <v>51</v>
      </c>
      <c r="AD382" s="30"/>
      <c r="AE382" s="29"/>
      <c r="AF382" s="29"/>
      <c r="AG382" s="29"/>
    </row>
    <row r="383" spans="1:33" x14ac:dyDescent="0.4">
      <c r="A383" s="108" t="s">
        <v>1735</v>
      </c>
      <c r="B383" s="49">
        <v>13</v>
      </c>
      <c r="C383" s="18">
        <v>381</v>
      </c>
      <c r="D383" s="17"/>
      <c r="E383" s="49">
        <v>2087637</v>
      </c>
      <c r="F383" s="29"/>
      <c r="G383" s="109" t="s">
        <v>36</v>
      </c>
      <c r="H383" s="114" t="s">
        <v>1824</v>
      </c>
      <c r="I383" s="114" t="s">
        <v>1824</v>
      </c>
      <c r="J383" s="113" t="s">
        <v>1825</v>
      </c>
      <c r="K383" s="113" t="s">
        <v>1826</v>
      </c>
      <c r="L383" s="113" t="s">
        <v>1841</v>
      </c>
      <c r="M383" s="29" t="s">
        <v>1791</v>
      </c>
      <c r="N383" s="29" t="s">
        <v>1792</v>
      </c>
      <c r="O383" s="109"/>
      <c r="P383" s="29" t="s">
        <v>1793</v>
      </c>
      <c r="Q383" s="24" t="s">
        <v>116</v>
      </c>
      <c r="R383" s="66" t="s">
        <v>1744</v>
      </c>
      <c r="S383" s="29" t="s">
        <v>68</v>
      </c>
      <c r="T383" s="29" t="s">
        <v>1828</v>
      </c>
      <c r="U383" s="107" t="s">
        <v>1829</v>
      </c>
      <c r="V383" s="31"/>
      <c r="W383" s="66" t="s">
        <v>1747</v>
      </c>
      <c r="X383" s="66"/>
      <c r="Y383" s="16">
        <v>1</v>
      </c>
      <c r="Z383" s="31"/>
      <c r="AA383" s="31"/>
      <c r="AB383" s="18">
        <v>2016</v>
      </c>
      <c r="AC383" s="16" t="s">
        <v>51</v>
      </c>
      <c r="AD383" s="30"/>
      <c r="AE383" s="29"/>
      <c r="AF383" s="29"/>
      <c r="AG383" s="29"/>
    </row>
    <row r="384" spans="1:33" x14ac:dyDescent="0.4">
      <c r="A384" s="108" t="s">
        <v>1735</v>
      </c>
      <c r="B384" s="49">
        <v>14</v>
      </c>
      <c r="C384" s="18">
        <v>382</v>
      </c>
      <c r="D384" s="17"/>
      <c r="E384" s="49">
        <v>2087637</v>
      </c>
      <c r="F384" s="29"/>
      <c r="G384" s="109" t="s">
        <v>36</v>
      </c>
      <c r="H384" s="114" t="s">
        <v>1824</v>
      </c>
      <c r="I384" s="114" t="s">
        <v>1824</v>
      </c>
      <c r="J384" s="113" t="s">
        <v>1825</v>
      </c>
      <c r="K384" s="113" t="s">
        <v>1826</v>
      </c>
      <c r="L384" s="113" t="s">
        <v>1842</v>
      </c>
      <c r="M384" s="29" t="s">
        <v>1791</v>
      </c>
      <c r="N384" s="29" t="s">
        <v>1792</v>
      </c>
      <c r="O384" s="109"/>
      <c r="P384" s="29" t="s">
        <v>1793</v>
      </c>
      <c r="Q384" s="24" t="s">
        <v>116</v>
      </c>
      <c r="R384" s="66" t="s">
        <v>1744</v>
      </c>
      <c r="S384" s="29" t="s">
        <v>68</v>
      </c>
      <c r="T384" s="29" t="s">
        <v>1828</v>
      </c>
      <c r="U384" s="107" t="s">
        <v>1829</v>
      </c>
      <c r="V384" s="31"/>
      <c r="W384" s="66" t="s">
        <v>1747</v>
      </c>
      <c r="X384" s="66"/>
      <c r="Y384" s="16">
        <v>1</v>
      </c>
      <c r="Z384" s="31"/>
      <c r="AA384" s="31"/>
      <c r="AB384" s="18">
        <v>2016</v>
      </c>
      <c r="AC384" s="16" t="s">
        <v>51</v>
      </c>
      <c r="AD384" s="30"/>
      <c r="AE384" s="29"/>
      <c r="AF384" s="29"/>
      <c r="AG384" s="29"/>
    </row>
    <row r="385" spans="1:33" x14ac:dyDescent="0.4">
      <c r="A385" s="108" t="s">
        <v>1735</v>
      </c>
      <c r="B385" s="49">
        <v>15</v>
      </c>
      <c r="C385" s="18">
        <v>383</v>
      </c>
      <c r="D385" s="17"/>
      <c r="E385" s="49">
        <v>2087637</v>
      </c>
      <c r="F385" s="29"/>
      <c r="G385" s="109" t="s">
        <v>36</v>
      </c>
      <c r="H385" s="114" t="s">
        <v>1824</v>
      </c>
      <c r="I385" s="114" t="s">
        <v>1824</v>
      </c>
      <c r="J385" s="113" t="s">
        <v>1825</v>
      </c>
      <c r="K385" s="113" t="s">
        <v>1826</v>
      </c>
      <c r="L385" s="113" t="s">
        <v>1843</v>
      </c>
      <c r="M385" s="29" t="s">
        <v>1791</v>
      </c>
      <c r="N385" s="29" t="s">
        <v>1792</v>
      </c>
      <c r="O385" s="109"/>
      <c r="P385" s="29" t="s">
        <v>1793</v>
      </c>
      <c r="Q385" s="24" t="s">
        <v>116</v>
      </c>
      <c r="R385" s="66" t="s">
        <v>1744</v>
      </c>
      <c r="S385" s="29" t="s">
        <v>68</v>
      </c>
      <c r="T385" s="29" t="s">
        <v>1828</v>
      </c>
      <c r="U385" s="107" t="s">
        <v>1829</v>
      </c>
      <c r="V385" s="31"/>
      <c r="W385" s="66" t="s">
        <v>1747</v>
      </c>
      <c r="X385" s="66"/>
      <c r="Y385" s="16">
        <v>1</v>
      </c>
      <c r="Z385" s="31"/>
      <c r="AA385" s="31"/>
      <c r="AB385" s="18">
        <v>2016</v>
      </c>
      <c r="AC385" s="16" t="s">
        <v>51</v>
      </c>
      <c r="AD385" s="30"/>
      <c r="AE385" s="29"/>
      <c r="AF385" s="29"/>
      <c r="AG385" s="29"/>
    </row>
    <row r="386" spans="1:33" x14ac:dyDescent="0.4">
      <c r="A386" s="108" t="s">
        <v>1735</v>
      </c>
      <c r="B386" s="49">
        <v>16</v>
      </c>
      <c r="C386" s="18">
        <v>384</v>
      </c>
      <c r="D386" s="102"/>
      <c r="E386" s="49">
        <v>2087637</v>
      </c>
      <c r="F386" s="29"/>
      <c r="G386" s="109" t="s">
        <v>36</v>
      </c>
      <c r="H386" s="114" t="s">
        <v>1824</v>
      </c>
      <c r="I386" s="114" t="s">
        <v>1824</v>
      </c>
      <c r="J386" s="113" t="s">
        <v>1825</v>
      </c>
      <c r="K386" s="113" t="s">
        <v>1826</v>
      </c>
      <c r="L386" s="113" t="s">
        <v>1844</v>
      </c>
      <c r="M386" s="29" t="s">
        <v>1791</v>
      </c>
      <c r="N386" s="29" t="s">
        <v>1792</v>
      </c>
      <c r="O386" s="109"/>
      <c r="P386" s="29" t="s">
        <v>1793</v>
      </c>
      <c r="Q386" s="24" t="s">
        <v>116</v>
      </c>
      <c r="R386" s="66" t="s">
        <v>1744</v>
      </c>
      <c r="S386" s="29" t="s">
        <v>68</v>
      </c>
      <c r="T386" s="29" t="s">
        <v>1828</v>
      </c>
      <c r="U386" s="107" t="s">
        <v>1829</v>
      </c>
      <c r="V386" s="31"/>
      <c r="W386" s="66" t="s">
        <v>1747</v>
      </c>
      <c r="X386" s="66"/>
      <c r="Y386" s="16">
        <v>1</v>
      </c>
      <c r="Z386" s="31"/>
      <c r="AA386" s="31"/>
      <c r="AB386" s="18">
        <v>2016</v>
      </c>
      <c r="AC386" s="16" t="s">
        <v>51</v>
      </c>
      <c r="AD386" s="30"/>
      <c r="AE386" s="29"/>
      <c r="AF386" s="29"/>
      <c r="AG386" s="29"/>
    </row>
    <row r="387" spans="1:33" x14ac:dyDescent="0.4">
      <c r="A387" s="108" t="s">
        <v>1735</v>
      </c>
      <c r="B387" s="49">
        <v>17</v>
      </c>
      <c r="C387" s="17">
        <v>385</v>
      </c>
      <c r="D387" s="18"/>
      <c r="E387" s="49">
        <v>2087637</v>
      </c>
      <c r="F387" s="29"/>
      <c r="G387" s="109" t="s">
        <v>36</v>
      </c>
      <c r="H387" s="114" t="s">
        <v>1824</v>
      </c>
      <c r="I387" s="117" t="s">
        <v>1824</v>
      </c>
      <c r="J387" s="113" t="s">
        <v>1825</v>
      </c>
      <c r="K387" s="113" t="s">
        <v>1826</v>
      </c>
      <c r="L387" s="113" t="s">
        <v>1845</v>
      </c>
      <c r="M387" s="29" t="s">
        <v>1791</v>
      </c>
      <c r="N387" s="29" t="s">
        <v>1792</v>
      </c>
      <c r="O387" s="109"/>
      <c r="P387" s="29" t="s">
        <v>1793</v>
      </c>
      <c r="Q387" s="24" t="s">
        <v>17</v>
      </c>
      <c r="R387" s="66" t="s">
        <v>1744</v>
      </c>
      <c r="S387" s="29" t="s">
        <v>1760</v>
      </c>
      <c r="T387" s="29" t="s">
        <v>1828</v>
      </c>
      <c r="U387" s="107" t="s">
        <v>1829</v>
      </c>
      <c r="V387" s="31"/>
      <c r="W387" s="66" t="s">
        <v>1747</v>
      </c>
      <c r="X387" s="66"/>
      <c r="Y387" s="16">
        <v>1</v>
      </c>
      <c r="Z387" s="31"/>
      <c r="AA387" s="31"/>
      <c r="AB387" s="18">
        <v>2018</v>
      </c>
      <c r="AC387" s="22" t="s">
        <v>131</v>
      </c>
      <c r="AD387" s="118"/>
      <c r="AE387" s="29"/>
      <c r="AF387" s="29"/>
      <c r="AG387" s="29"/>
    </row>
    <row r="388" spans="1:33" x14ac:dyDescent="0.4">
      <c r="A388" s="108" t="s">
        <v>1735</v>
      </c>
      <c r="B388" s="49">
        <v>18</v>
      </c>
      <c r="C388" s="18">
        <v>386</v>
      </c>
      <c r="D388" s="116"/>
      <c r="E388" s="49">
        <v>2087637</v>
      </c>
      <c r="F388" s="29"/>
      <c r="G388" s="109" t="s">
        <v>36</v>
      </c>
      <c r="H388" s="114" t="s">
        <v>1824</v>
      </c>
      <c r="I388" s="114" t="s">
        <v>1824</v>
      </c>
      <c r="J388" s="113" t="s">
        <v>1825</v>
      </c>
      <c r="K388" s="113" t="s">
        <v>1826</v>
      </c>
      <c r="L388" s="113" t="s">
        <v>1846</v>
      </c>
      <c r="M388" s="29" t="s">
        <v>1791</v>
      </c>
      <c r="N388" s="29" t="s">
        <v>1792</v>
      </c>
      <c r="O388" s="109"/>
      <c r="P388" s="29" t="s">
        <v>1793</v>
      </c>
      <c r="Q388" s="24" t="s">
        <v>116</v>
      </c>
      <c r="R388" s="66" t="s">
        <v>1744</v>
      </c>
      <c r="S388" s="29" t="s">
        <v>1760</v>
      </c>
      <c r="T388" s="29" t="s">
        <v>1828</v>
      </c>
      <c r="U388" s="107" t="s">
        <v>1829</v>
      </c>
      <c r="V388" s="31"/>
      <c r="W388" s="66" t="s">
        <v>1747</v>
      </c>
      <c r="X388" s="66"/>
      <c r="Y388" s="16">
        <v>1</v>
      </c>
      <c r="Z388" s="31"/>
      <c r="AA388" s="31"/>
      <c r="AB388" s="18">
        <v>2018</v>
      </c>
      <c r="AC388" s="16" t="s">
        <v>51</v>
      </c>
      <c r="AD388" s="30"/>
      <c r="AE388" s="29"/>
      <c r="AF388" s="29"/>
      <c r="AG388" s="29"/>
    </row>
    <row r="389" spans="1:33" x14ac:dyDescent="0.4">
      <c r="A389" s="108" t="s">
        <v>1735</v>
      </c>
      <c r="B389" s="49">
        <v>19</v>
      </c>
      <c r="C389" s="17">
        <v>387</v>
      </c>
      <c r="D389" s="18" t="s">
        <v>1847</v>
      </c>
      <c r="E389" s="49">
        <v>2087637</v>
      </c>
      <c r="F389" s="29"/>
      <c r="G389" s="109" t="s">
        <v>36</v>
      </c>
      <c r="H389" s="114" t="s">
        <v>1824</v>
      </c>
      <c r="I389" s="114" t="s">
        <v>1824</v>
      </c>
      <c r="J389" s="113" t="s">
        <v>1825</v>
      </c>
      <c r="K389" s="113" t="s">
        <v>1826</v>
      </c>
      <c r="L389" s="113" t="s">
        <v>1848</v>
      </c>
      <c r="M389" s="29" t="s">
        <v>1791</v>
      </c>
      <c r="N389" s="29" t="s">
        <v>1792</v>
      </c>
      <c r="O389" s="109"/>
      <c r="P389" s="29" t="s">
        <v>1793</v>
      </c>
      <c r="Q389" s="24" t="s">
        <v>17</v>
      </c>
      <c r="R389" s="66" t="s">
        <v>1744</v>
      </c>
      <c r="S389" s="29" t="s">
        <v>1760</v>
      </c>
      <c r="T389" s="29" t="s">
        <v>1828</v>
      </c>
      <c r="U389" s="107" t="s">
        <v>1829</v>
      </c>
      <c r="V389" s="31"/>
      <c r="W389" s="66" t="s">
        <v>1747</v>
      </c>
      <c r="X389" s="66"/>
      <c r="Y389" s="16">
        <v>1</v>
      </c>
      <c r="Z389" s="31"/>
      <c r="AA389" s="31"/>
      <c r="AB389" s="18">
        <v>2018</v>
      </c>
      <c r="AC389" s="16" t="s">
        <v>51</v>
      </c>
      <c r="AD389" s="30"/>
      <c r="AE389" s="29"/>
      <c r="AF389" s="29"/>
      <c r="AG389" s="29"/>
    </row>
    <row r="390" spans="1:33" x14ac:dyDescent="0.4">
      <c r="A390" s="108" t="s">
        <v>1735</v>
      </c>
      <c r="B390" s="49">
        <v>20</v>
      </c>
      <c r="C390" s="17">
        <v>388</v>
      </c>
      <c r="D390" s="18" t="s">
        <v>1849</v>
      </c>
      <c r="E390" s="49">
        <v>2087637</v>
      </c>
      <c r="F390" s="29"/>
      <c r="G390" s="109" t="s">
        <v>36</v>
      </c>
      <c r="H390" s="114" t="s">
        <v>1824</v>
      </c>
      <c r="I390" s="114" t="s">
        <v>1824</v>
      </c>
      <c r="J390" s="113" t="s">
        <v>1825</v>
      </c>
      <c r="K390" s="113" t="s">
        <v>1826</v>
      </c>
      <c r="L390" s="113" t="s">
        <v>1850</v>
      </c>
      <c r="M390" s="29" t="s">
        <v>1791</v>
      </c>
      <c r="N390" s="29" t="s">
        <v>1792</v>
      </c>
      <c r="O390" s="109"/>
      <c r="P390" s="29" t="s">
        <v>1793</v>
      </c>
      <c r="Q390" s="24" t="s">
        <v>17</v>
      </c>
      <c r="R390" s="66" t="s">
        <v>1744</v>
      </c>
      <c r="S390" s="29" t="s">
        <v>1760</v>
      </c>
      <c r="T390" s="29" t="s">
        <v>1828</v>
      </c>
      <c r="U390" s="107" t="s">
        <v>1829</v>
      </c>
      <c r="V390" s="31"/>
      <c r="W390" s="66" t="s">
        <v>1747</v>
      </c>
      <c r="X390" s="66"/>
      <c r="Y390" s="16">
        <v>1</v>
      </c>
      <c r="Z390" s="31"/>
      <c r="AA390" s="31"/>
      <c r="AB390" s="18">
        <v>2018</v>
      </c>
      <c r="AC390" s="16" t="s">
        <v>51</v>
      </c>
      <c r="AD390" s="30"/>
      <c r="AE390" s="29"/>
      <c r="AF390" s="29"/>
      <c r="AG390" s="29"/>
    </row>
    <row r="391" spans="1:33" x14ac:dyDescent="0.4">
      <c r="A391" s="108" t="s">
        <v>1735</v>
      </c>
      <c r="B391" s="49">
        <v>21</v>
      </c>
      <c r="C391" s="18">
        <v>389</v>
      </c>
      <c r="D391" s="116"/>
      <c r="E391" s="49">
        <v>2087637</v>
      </c>
      <c r="F391" s="29"/>
      <c r="G391" s="109" t="s">
        <v>36</v>
      </c>
      <c r="H391" s="114" t="s">
        <v>1824</v>
      </c>
      <c r="I391" s="114" t="s">
        <v>1824</v>
      </c>
      <c r="J391" s="113" t="s">
        <v>1825</v>
      </c>
      <c r="K391" s="113" t="s">
        <v>1826</v>
      </c>
      <c r="L391" s="113" t="s">
        <v>1851</v>
      </c>
      <c r="M391" s="29" t="s">
        <v>1791</v>
      </c>
      <c r="N391" s="29" t="s">
        <v>1792</v>
      </c>
      <c r="O391" s="109"/>
      <c r="P391" s="29" t="s">
        <v>1793</v>
      </c>
      <c r="Q391" s="24" t="s">
        <v>116</v>
      </c>
      <c r="R391" s="66" t="s">
        <v>1744</v>
      </c>
      <c r="S391" s="29" t="s">
        <v>1760</v>
      </c>
      <c r="T391" s="29" t="s">
        <v>1828</v>
      </c>
      <c r="U391" s="107" t="s">
        <v>1829</v>
      </c>
      <c r="V391" s="31"/>
      <c r="W391" s="66" t="s">
        <v>1747</v>
      </c>
      <c r="X391" s="66"/>
      <c r="Y391" s="16">
        <v>1</v>
      </c>
      <c r="Z391" s="31"/>
      <c r="AA391" s="31"/>
      <c r="AB391" s="18">
        <v>2018</v>
      </c>
      <c r="AC391" s="16" t="s">
        <v>51</v>
      </c>
      <c r="AD391" s="30"/>
      <c r="AE391" s="29"/>
      <c r="AF391" s="29"/>
      <c r="AG391" s="29"/>
    </row>
    <row r="392" spans="1:33" x14ac:dyDescent="0.4">
      <c r="A392" s="108" t="s">
        <v>1735</v>
      </c>
      <c r="B392" s="49">
        <v>22</v>
      </c>
      <c r="C392" s="17">
        <v>390</v>
      </c>
      <c r="D392" s="18" t="s">
        <v>1852</v>
      </c>
      <c r="E392" s="49">
        <v>2087637</v>
      </c>
      <c r="F392" s="29"/>
      <c r="G392" s="109" t="s">
        <v>36</v>
      </c>
      <c r="H392" s="114" t="s">
        <v>1824</v>
      </c>
      <c r="I392" s="114" t="s">
        <v>1824</v>
      </c>
      <c r="J392" s="113" t="s">
        <v>1825</v>
      </c>
      <c r="K392" s="113" t="s">
        <v>1826</v>
      </c>
      <c r="L392" s="113" t="s">
        <v>1853</v>
      </c>
      <c r="M392" s="29" t="s">
        <v>1791</v>
      </c>
      <c r="N392" s="29" t="s">
        <v>1792</v>
      </c>
      <c r="O392" s="109"/>
      <c r="P392" s="29" t="s">
        <v>1793</v>
      </c>
      <c r="Q392" s="24" t="s">
        <v>17</v>
      </c>
      <c r="R392" s="66" t="s">
        <v>1744</v>
      </c>
      <c r="S392" s="29" t="s">
        <v>1760</v>
      </c>
      <c r="T392" s="29" t="s">
        <v>1828</v>
      </c>
      <c r="U392" s="107" t="s">
        <v>1829</v>
      </c>
      <c r="V392" s="31"/>
      <c r="W392" s="66" t="s">
        <v>1747</v>
      </c>
      <c r="X392" s="66"/>
      <c r="Y392" s="16">
        <v>1</v>
      </c>
      <c r="Z392" s="31"/>
      <c r="AA392" s="31"/>
      <c r="AB392" s="18">
        <v>2018</v>
      </c>
      <c r="AC392" s="16" t="s">
        <v>51</v>
      </c>
      <c r="AD392" s="30"/>
      <c r="AE392" s="29"/>
      <c r="AF392" s="29"/>
      <c r="AG392" s="29"/>
    </row>
    <row r="393" spans="1:33" x14ac:dyDescent="0.4">
      <c r="A393" s="108" t="s">
        <v>1735</v>
      </c>
      <c r="B393" s="49">
        <v>23</v>
      </c>
      <c r="C393" s="17">
        <v>391</v>
      </c>
      <c r="D393" s="18"/>
      <c r="E393" s="49">
        <v>2087637</v>
      </c>
      <c r="F393" s="29"/>
      <c r="G393" s="109" t="s">
        <v>36</v>
      </c>
      <c r="H393" s="114" t="s">
        <v>1824</v>
      </c>
      <c r="I393" s="114" t="s">
        <v>1824</v>
      </c>
      <c r="J393" s="113" t="s">
        <v>1825</v>
      </c>
      <c r="K393" s="113" t="s">
        <v>1826</v>
      </c>
      <c r="L393" s="113" t="s">
        <v>1854</v>
      </c>
      <c r="M393" s="29" t="s">
        <v>1791</v>
      </c>
      <c r="N393" s="29" t="s">
        <v>1792</v>
      </c>
      <c r="O393" s="109"/>
      <c r="P393" s="29" t="s">
        <v>1793</v>
      </c>
      <c r="Q393" s="24" t="s">
        <v>17</v>
      </c>
      <c r="R393" s="66" t="s">
        <v>1744</v>
      </c>
      <c r="S393" s="29" t="s">
        <v>1760</v>
      </c>
      <c r="T393" s="29" t="s">
        <v>1828</v>
      </c>
      <c r="U393" s="107" t="s">
        <v>1829</v>
      </c>
      <c r="V393" s="31"/>
      <c r="W393" s="66" t="s">
        <v>1747</v>
      </c>
      <c r="X393" s="66"/>
      <c r="Y393" s="16">
        <v>1</v>
      </c>
      <c r="Z393" s="31"/>
      <c r="AA393" s="31"/>
      <c r="AB393" s="18">
        <v>2018</v>
      </c>
      <c r="AC393" s="16" t="s">
        <v>51</v>
      </c>
      <c r="AD393" s="30"/>
      <c r="AE393" s="29"/>
      <c r="AF393" s="29"/>
      <c r="AG393" s="29"/>
    </row>
    <row r="394" spans="1:33" x14ac:dyDescent="0.4">
      <c r="A394" s="108" t="s">
        <v>1735</v>
      </c>
      <c r="B394" s="49">
        <v>24</v>
      </c>
      <c r="C394" s="17">
        <v>392</v>
      </c>
      <c r="D394" s="18" t="s">
        <v>1855</v>
      </c>
      <c r="E394" s="49">
        <v>2087637</v>
      </c>
      <c r="F394" s="29"/>
      <c r="G394" s="109" t="s">
        <v>36</v>
      </c>
      <c r="H394" s="114" t="s">
        <v>1824</v>
      </c>
      <c r="I394" s="114" t="s">
        <v>1824</v>
      </c>
      <c r="J394" s="113" t="s">
        <v>1825</v>
      </c>
      <c r="K394" s="113" t="s">
        <v>1826</v>
      </c>
      <c r="L394" s="113" t="s">
        <v>1856</v>
      </c>
      <c r="M394" s="29" t="s">
        <v>1791</v>
      </c>
      <c r="N394" s="29" t="s">
        <v>1792</v>
      </c>
      <c r="O394" s="109"/>
      <c r="P394" s="29" t="s">
        <v>1793</v>
      </c>
      <c r="Q394" s="24" t="s">
        <v>17</v>
      </c>
      <c r="R394" s="66" t="s">
        <v>1744</v>
      </c>
      <c r="S394" s="29" t="s">
        <v>1760</v>
      </c>
      <c r="T394" s="29" t="s">
        <v>1828</v>
      </c>
      <c r="U394" s="107" t="s">
        <v>1829</v>
      </c>
      <c r="V394" s="31"/>
      <c r="W394" s="66" t="s">
        <v>1747</v>
      </c>
      <c r="X394" s="66"/>
      <c r="Y394" s="16">
        <v>1</v>
      </c>
      <c r="Z394" s="31"/>
      <c r="AA394" s="31"/>
      <c r="AB394" s="18">
        <v>2018</v>
      </c>
      <c r="AC394" s="16" t="s">
        <v>51</v>
      </c>
      <c r="AD394" s="30"/>
      <c r="AE394" s="29"/>
      <c r="AF394" s="29"/>
      <c r="AG394" s="29"/>
    </row>
    <row r="395" spans="1:33" x14ac:dyDescent="0.4">
      <c r="A395" s="108" t="s">
        <v>1735</v>
      </c>
      <c r="B395" s="49">
        <v>25</v>
      </c>
      <c r="C395" s="17">
        <v>393</v>
      </c>
      <c r="D395" s="18"/>
      <c r="E395" s="49">
        <v>2087637</v>
      </c>
      <c r="F395" s="29"/>
      <c r="G395" s="109" t="s">
        <v>36</v>
      </c>
      <c r="H395" s="114" t="s">
        <v>1824</v>
      </c>
      <c r="I395" s="114" t="s">
        <v>1824</v>
      </c>
      <c r="J395" s="113" t="s">
        <v>1825</v>
      </c>
      <c r="K395" s="113" t="s">
        <v>1826</v>
      </c>
      <c r="L395" s="113" t="s">
        <v>1857</v>
      </c>
      <c r="M395" s="29" t="s">
        <v>1791</v>
      </c>
      <c r="N395" s="29" t="s">
        <v>1792</v>
      </c>
      <c r="O395" s="109"/>
      <c r="P395" s="29" t="s">
        <v>1793</v>
      </c>
      <c r="Q395" s="24" t="s">
        <v>17</v>
      </c>
      <c r="R395" s="66" t="s">
        <v>1744</v>
      </c>
      <c r="S395" s="29" t="s">
        <v>1760</v>
      </c>
      <c r="T395" s="29" t="s">
        <v>1828</v>
      </c>
      <c r="U395" s="107" t="s">
        <v>1829</v>
      </c>
      <c r="V395" s="31"/>
      <c r="W395" s="66" t="s">
        <v>1747</v>
      </c>
      <c r="X395" s="66"/>
      <c r="Y395" s="16">
        <v>1</v>
      </c>
      <c r="Z395" s="31"/>
      <c r="AA395" s="31"/>
      <c r="AB395" s="18">
        <v>2018</v>
      </c>
      <c r="AC395" s="16" t="s">
        <v>51</v>
      </c>
      <c r="AD395" s="30"/>
      <c r="AE395" s="29"/>
      <c r="AF395" s="29"/>
      <c r="AG395" s="29"/>
    </row>
    <row r="396" spans="1:33" x14ac:dyDescent="0.4">
      <c r="A396" s="108" t="s">
        <v>1735</v>
      </c>
      <c r="B396" s="49">
        <v>26</v>
      </c>
      <c r="C396" s="18">
        <v>394</v>
      </c>
      <c r="D396" s="77"/>
      <c r="E396" s="49">
        <v>2087637</v>
      </c>
      <c r="F396" s="29"/>
      <c r="G396" s="109" t="s">
        <v>36</v>
      </c>
      <c r="H396" s="114" t="s">
        <v>1824</v>
      </c>
      <c r="I396" s="114" t="s">
        <v>1824</v>
      </c>
      <c r="J396" s="113" t="s">
        <v>1825</v>
      </c>
      <c r="K396" s="113" t="s">
        <v>1826</v>
      </c>
      <c r="L396" s="113" t="s">
        <v>1858</v>
      </c>
      <c r="M396" s="29" t="s">
        <v>1791</v>
      </c>
      <c r="N396" s="29" t="s">
        <v>1792</v>
      </c>
      <c r="O396" s="109"/>
      <c r="P396" s="29" t="s">
        <v>1793</v>
      </c>
      <c r="Q396" s="24" t="s">
        <v>116</v>
      </c>
      <c r="R396" s="66" t="s">
        <v>1744</v>
      </c>
      <c r="S396" s="29" t="s">
        <v>1760</v>
      </c>
      <c r="T396" s="29" t="s">
        <v>1828</v>
      </c>
      <c r="U396" s="107" t="s">
        <v>1829</v>
      </c>
      <c r="V396" s="31"/>
      <c r="W396" s="66" t="s">
        <v>1747</v>
      </c>
      <c r="X396" s="66"/>
      <c r="Y396" s="16">
        <v>1</v>
      </c>
      <c r="Z396" s="31"/>
      <c r="AA396" s="31"/>
      <c r="AB396" s="18">
        <v>2018</v>
      </c>
      <c r="AC396" s="16" t="s">
        <v>51</v>
      </c>
      <c r="AD396" s="30"/>
      <c r="AE396" s="29"/>
      <c r="AF396" s="29"/>
      <c r="AG396" s="29"/>
    </row>
    <row r="397" spans="1:33" x14ac:dyDescent="0.4">
      <c r="A397" s="108" t="s">
        <v>1735</v>
      </c>
      <c r="B397" s="49">
        <v>27</v>
      </c>
      <c r="C397" s="18">
        <v>395</v>
      </c>
      <c r="D397" s="17"/>
      <c r="E397" s="49">
        <v>2087637</v>
      </c>
      <c r="F397" s="29"/>
      <c r="G397" s="109" t="s">
        <v>36</v>
      </c>
      <c r="H397" s="114" t="s">
        <v>1824</v>
      </c>
      <c r="I397" s="114" t="s">
        <v>1824</v>
      </c>
      <c r="J397" s="113" t="s">
        <v>1825</v>
      </c>
      <c r="K397" s="113" t="s">
        <v>1826</v>
      </c>
      <c r="L397" s="113" t="s">
        <v>1859</v>
      </c>
      <c r="M397" s="29" t="s">
        <v>1791</v>
      </c>
      <c r="N397" s="29" t="s">
        <v>1792</v>
      </c>
      <c r="O397" s="109"/>
      <c r="P397" s="29" t="s">
        <v>1793</v>
      </c>
      <c r="Q397" s="24" t="s">
        <v>116</v>
      </c>
      <c r="R397" s="66" t="s">
        <v>1744</v>
      </c>
      <c r="S397" s="29" t="s">
        <v>1760</v>
      </c>
      <c r="T397" s="29" t="s">
        <v>1828</v>
      </c>
      <c r="U397" s="107" t="s">
        <v>1829</v>
      </c>
      <c r="V397" s="31"/>
      <c r="W397" s="66" t="s">
        <v>1747</v>
      </c>
      <c r="X397" s="66"/>
      <c r="Y397" s="16">
        <v>1</v>
      </c>
      <c r="Z397" s="31"/>
      <c r="AA397" s="31"/>
      <c r="AB397" s="18">
        <v>2018</v>
      </c>
      <c r="AC397" s="16" t="s">
        <v>51</v>
      </c>
      <c r="AD397" s="30"/>
      <c r="AE397" s="29"/>
      <c r="AF397" s="29"/>
      <c r="AG397" s="29"/>
    </row>
    <row r="398" spans="1:33" x14ac:dyDescent="0.4">
      <c r="A398" s="108" t="s">
        <v>1735</v>
      </c>
      <c r="B398" s="49">
        <v>28</v>
      </c>
      <c r="C398" s="18">
        <v>396</v>
      </c>
      <c r="D398" s="102"/>
      <c r="E398" s="49">
        <v>2087637</v>
      </c>
      <c r="F398" s="29"/>
      <c r="G398" s="109" t="s">
        <v>36</v>
      </c>
      <c r="H398" s="114" t="s">
        <v>1824</v>
      </c>
      <c r="I398" s="114" t="s">
        <v>1824</v>
      </c>
      <c r="J398" s="113" t="s">
        <v>1825</v>
      </c>
      <c r="K398" s="113" t="s">
        <v>1826</v>
      </c>
      <c r="L398" s="113" t="s">
        <v>1860</v>
      </c>
      <c r="M398" s="29" t="s">
        <v>1791</v>
      </c>
      <c r="N398" s="29" t="s">
        <v>1792</v>
      </c>
      <c r="O398" s="109"/>
      <c r="P398" s="29" t="s">
        <v>1793</v>
      </c>
      <c r="Q398" s="24" t="s">
        <v>116</v>
      </c>
      <c r="R398" s="66" t="s">
        <v>1744</v>
      </c>
      <c r="S398" s="29" t="s">
        <v>1760</v>
      </c>
      <c r="T398" s="29" t="s">
        <v>1828</v>
      </c>
      <c r="U398" s="107" t="s">
        <v>1829</v>
      </c>
      <c r="V398" s="31"/>
      <c r="W398" s="66" t="s">
        <v>1747</v>
      </c>
      <c r="X398" s="66"/>
      <c r="Y398" s="16">
        <v>1</v>
      </c>
      <c r="Z398" s="31"/>
      <c r="AA398" s="31"/>
      <c r="AB398" s="18">
        <v>2018</v>
      </c>
      <c r="AC398" s="16" t="s">
        <v>51</v>
      </c>
      <c r="AD398" s="30"/>
      <c r="AE398" s="29"/>
      <c r="AF398" s="29"/>
      <c r="AG398" s="29"/>
    </row>
    <row r="399" spans="1:33" x14ac:dyDescent="0.4">
      <c r="A399" s="108" t="s">
        <v>1735</v>
      </c>
      <c r="B399" s="49">
        <v>29</v>
      </c>
      <c r="C399" s="17">
        <v>397</v>
      </c>
      <c r="D399" s="18"/>
      <c r="E399" s="49">
        <v>2087637</v>
      </c>
      <c r="F399" s="29"/>
      <c r="G399" s="109" t="s">
        <v>36</v>
      </c>
      <c r="H399" s="114" t="s">
        <v>1824</v>
      </c>
      <c r="I399" s="114" t="s">
        <v>1824</v>
      </c>
      <c r="J399" s="113" t="s">
        <v>1825</v>
      </c>
      <c r="K399" s="113" t="s">
        <v>1826</v>
      </c>
      <c r="L399" s="113" t="s">
        <v>1861</v>
      </c>
      <c r="M399" s="29" t="s">
        <v>1791</v>
      </c>
      <c r="N399" s="29" t="s">
        <v>1792</v>
      </c>
      <c r="O399" s="109"/>
      <c r="P399" s="29" t="s">
        <v>1793</v>
      </c>
      <c r="Q399" s="24" t="s">
        <v>17</v>
      </c>
      <c r="R399" s="66" t="s">
        <v>1744</v>
      </c>
      <c r="S399" s="29" t="s">
        <v>1760</v>
      </c>
      <c r="T399" s="29" t="s">
        <v>1828</v>
      </c>
      <c r="U399" s="107" t="s">
        <v>1829</v>
      </c>
      <c r="V399" s="31"/>
      <c r="W399" s="66" t="s">
        <v>1747</v>
      </c>
      <c r="X399" s="66"/>
      <c r="Y399" s="16">
        <v>1</v>
      </c>
      <c r="Z399" s="31"/>
      <c r="AA399" s="31"/>
      <c r="AB399" s="18">
        <v>2018</v>
      </c>
      <c r="AC399" s="16" t="s">
        <v>51</v>
      </c>
      <c r="AD399" s="30"/>
      <c r="AE399" s="29"/>
      <c r="AF399" s="29"/>
      <c r="AG399" s="29"/>
    </row>
    <row r="400" spans="1:33" x14ac:dyDescent="0.4">
      <c r="A400" s="108" t="s">
        <v>1735</v>
      </c>
      <c r="B400" s="49">
        <v>30</v>
      </c>
      <c r="C400" s="18">
        <v>398</v>
      </c>
      <c r="D400" s="116"/>
      <c r="E400" s="49">
        <v>2087637</v>
      </c>
      <c r="F400" s="29"/>
      <c r="G400" s="109" t="s">
        <v>36</v>
      </c>
      <c r="H400" s="114" t="s">
        <v>1824</v>
      </c>
      <c r="I400" s="114" t="s">
        <v>1824</v>
      </c>
      <c r="J400" s="113" t="s">
        <v>1825</v>
      </c>
      <c r="K400" s="113" t="s">
        <v>1826</v>
      </c>
      <c r="L400" s="113" t="s">
        <v>1862</v>
      </c>
      <c r="M400" s="29" t="s">
        <v>1791</v>
      </c>
      <c r="N400" s="29" t="s">
        <v>1792</v>
      </c>
      <c r="O400" s="109"/>
      <c r="P400" s="29" t="s">
        <v>1793</v>
      </c>
      <c r="Q400" s="24" t="s">
        <v>116</v>
      </c>
      <c r="R400" s="66" t="s">
        <v>1744</v>
      </c>
      <c r="S400" s="29" t="s">
        <v>1760</v>
      </c>
      <c r="T400" s="29" t="s">
        <v>1828</v>
      </c>
      <c r="U400" s="107" t="s">
        <v>1829</v>
      </c>
      <c r="V400" s="31"/>
      <c r="W400" s="66" t="s">
        <v>1747</v>
      </c>
      <c r="X400" s="66"/>
      <c r="Y400" s="16">
        <v>1</v>
      </c>
      <c r="Z400" s="31"/>
      <c r="AA400" s="31"/>
      <c r="AB400" s="18">
        <v>2018</v>
      </c>
      <c r="AC400" s="16" t="s">
        <v>51</v>
      </c>
      <c r="AD400" s="30"/>
      <c r="AE400" s="29"/>
      <c r="AF400" s="29"/>
      <c r="AG400" s="29"/>
    </row>
    <row r="401" spans="1:33" x14ac:dyDescent="0.4">
      <c r="A401" s="108" t="s">
        <v>1735</v>
      </c>
      <c r="B401" s="49">
        <v>31</v>
      </c>
      <c r="C401" s="17">
        <v>399</v>
      </c>
      <c r="D401" s="18"/>
      <c r="E401" s="49">
        <v>2087637</v>
      </c>
      <c r="F401" s="29"/>
      <c r="G401" s="109" t="s">
        <v>36</v>
      </c>
      <c r="H401" s="114" t="s">
        <v>1824</v>
      </c>
      <c r="I401" s="114" t="s">
        <v>1824</v>
      </c>
      <c r="J401" s="113" t="s">
        <v>1825</v>
      </c>
      <c r="K401" s="113" t="s">
        <v>1826</v>
      </c>
      <c r="L401" s="113" t="s">
        <v>1863</v>
      </c>
      <c r="M401" s="29" t="s">
        <v>1791</v>
      </c>
      <c r="N401" s="29" t="s">
        <v>1792</v>
      </c>
      <c r="O401" s="109"/>
      <c r="P401" s="29" t="s">
        <v>1793</v>
      </c>
      <c r="Q401" s="24" t="s">
        <v>17</v>
      </c>
      <c r="R401" s="66" t="s">
        <v>1744</v>
      </c>
      <c r="S401" s="29" t="s">
        <v>1760</v>
      </c>
      <c r="T401" s="29" t="s">
        <v>1828</v>
      </c>
      <c r="U401" s="107" t="s">
        <v>1829</v>
      </c>
      <c r="V401" s="31"/>
      <c r="W401" s="66" t="s">
        <v>1747</v>
      </c>
      <c r="X401" s="66"/>
      <c r="Y401" s="16">
        <v>1</v>
      </c>
      <c r="Z401" s="31"/>
      <c r="AA401" s="31"/>
      <c r="AB401" s="18">
        <v>2018</v>
      </c>
      <c r="AC401" s="16" t="s">
        <v>51</v>
      </c>
      <c r="AD401" s="30"/>
      <c r="AE401" s="29"/>
      <c r="AF401" s="29"/>
      <c r="AG401" s="29"/>
    </row>
    <row r="402" spans="1:33" x14ac:dyDescent="0.4">
      <c r="A402" s="108" t="s">
        <v>1735</v>
      </c>
      <c r="B402" s="49">
        <v>32</v>
      </c>
      <c r="C402" s="17">
        <v>400</v>
      </c>
      <c r="D402" s="18" t="s">
        <v>1864</v>
      </c>
      <c r="E402" s="49">
        <v>2087637</v>
      </c>
      <c r="F402" s="29"/>
      <c r="G402" s="109" t="s">
        <v>36</v>
      </c>
      <c r="H402" s="114" t="s">
        <v>1824</v>
      </c>
      <c r="I402" s="114" t="s">
        <v>1824</v>
      </c>
      <c r="J402" s="113" t="s">
        <v>1825</v>
      </c>
      <c r="K402" s="113" t="s">
        <v>1826</v>
      </c>
      <c r="L402" s="113" t="s">
        <v>1865</v>
      </c>
      <c r="M402" s="29" t="s">
        <v>1791</v>
      </c>
      <c r="N402" s="29" t="s">
        <v>1792</v>
      </c>
      <c r="O402" s="109"/>
      <c r="P402" s="29" t="s">
        <v>1793</v>
      </c>
      <c r="Q402" s="24" t="s">
        <v>17</v>
      </c>
      <c r="R402" s="66" t="s">
        <v>1744</v>
      </c>
      <c r="S402" s="29" t="s">
        <v>1760</v>
      </c>
      <c r="T402" s="29" t="s">
        <v>1828</v>
      </c>
      <c r="U402" s="107" t="s">
        <v>1829</v>
      </c>
      <c r="V402" s="31"/>
      <c r="W402" s="66" t="s">
        <v>1747</v>
      </c>
      <c r="X402" s="66"/>
      <c r="Y402" s="16">
        <v>1</v>
      </c>
      <c r="Z402" s="31"/>
      <c r="AA402" s="31"/>
      <c r="AB402" s="18">
        <v>2018</v>
      </c>
      <c r="AC402" s="16" t="s">
        <v>51</v>
      </c>
      <c r="AD402" s="30"/>
      <c r="AE402" s="29"/>
      <c r="AF402" s="29"/>
      <c r="AG402" s="29"/>
    </row>
    <row r="403" spans="1:33" x14ac:dyDescent="0.4">
      <c r="A403" s="108" t="s">
        <v>1735</v>
      </c>
      <c r="B403" s="49">
        <v>1</v>
      </c>
      <c r="C403" s="17">
        <v>401</v>
      </c>
      <c r="D403" s="119" t="s">
        <v>1866</v>
      </c>
      <c r="E403" s="49">
        <v>2377443</v>
      </c>
      <c r="F403" s="29"/>
      <c r="G403" s="109" t="s">
        <v>716</v>
      </c>
      <c r="H403" s="120" t="s">
        <v>1867</v>
      </c>
      <c r="I403" s="114" t="s">
        <v>1867</v>
      </c>
      <c r="J403" s="113" t="s">
        <v>1868</v>
      </c>
      <c r="K403" s="113" t="s">
        <v>1869</v>
      </c>
      <c r="L403" s="113" t="s">
        <v>1870</v>
      </c>
      <c r="M403" s="29" t="s">
        <v>1791</v>
      </c>
      <c r="N403" s="29" t="s">
        <v>1742</v>
      </c>
      <c r="O403" s="109"/>
      <c r="P403" s="29" t="s">
        <v>1793</v>
      </c>
      <c r="Q403" s="24" t="s">
        <v>17</v>
      </c>
      <c r="R403" s="66" t="s">
        <v>1744</v>
      </c>
      <c r="S403" s="29" t="s">
        <v>68</v>
      </c>
      <c r="T403" s="29" t="s">
        <v>1871</v>
      </c>
      <c r="U403" s="107" t="s">
        <v>1872</v>
      </c>
      <c r="V403" s="31"/>
      <c r="W403" s="66" t="s">
        <v>1747</v>
      </c>
      <c r="X403" s="66"/>
      <c r="Y403" s="16">
        <v>1</v>
      </c>
      <c r="Z403" s="31"/>
      <c r="AA403" s="31"/>
      <c r="AB403" s="18">
        <v>2016</v>
      </c>
      <c r="AC403" s="16" t="s">
        <v>51</v>
      </c>
      <c r="AD403" s="30"/>
      <c r="AE403" s="29"/>
      <c r="AF403" s="29"/>
      <c r="AG403" s="29"/>
    </row>
    <row r="404" spans="1:33" x14ac:dyDescent="0.4">
      <c r="A404" s="108" t="s">
        <v>1735</v>
      </c>
      <c r="B404" s="49">
        <v>2</v>
      </c>
      <c r="C404" s="17">
        <v>402</v>
      </c>
      <c r="D404" s="119" t="s">
        <v>1873</v>
      </c>
      <c r="E404" s="49">
        <v>2377443</v>
      </c>
      <c r="F404" s="29"/>
      <c r="G404" s="109" t="s">
        <v>716</v>
      </c>
      <c r="H404" s="120" t="s">
        <v>1867</v>
      </c>
      <c r="I404" s="114" t="s">
        <v>1867</v>
      </c>
      <c r="J404" s="113" t="s">
        <v>1868</v>
      </c>
      <c r="K404" s="113" t="s">
        <v>1869</v>
      </c>
      <c r="L404" s="113" t="s">
        <v>1874</v>
      </c>
      <c r="M404" s="29" t="s">
        <v>1791</v>
      </c>
      <c r="N404" s="29" t="s">
        <v>1742</v>
      </c>
      <c r="O404" s="109"/>
      <c r="P404" s="29" t="s">
        <v>1793</v>
      </c>
      <c r="Q404" s="24" t="s">
        <v>17</v>
      </c>
      <c r="R404" s="66" t="s">
        <v>1744</v>
      </c>
      <c r="S404" s="29" t="s">
        <v>68</v>
      </c>
      <c r="T404" s="29" t="s">
        <v>1871</v>
      </c>
      <c r="U404" s="107" t="s">
        <v>1872</v>
      </c>
      <c r="V404" s="31"/>
      <c r="W404" s="66" t="s">
        <v>1747</v>
      </c>
      <c r="X404" s="66"/>
      <c r="Y404" s="16">
        <v>1</v>
      </c>
      <c r="Z404" s="31"/>
      <c r="AA404" s="31"/>
      <c r="AB404" s="18">
        <v>2016</v>
      </c>
      <c r="AC404" s="16" t="s">
        <v>51</v>
      </c>
      <c r="AD404" s="30"/>
      <c r="AE404" s="29"/>
      <c r="AF404" s="29"/>
      <c r="AG404" s="29"/>
    </row>
    <row r="405" spans="1:33" x14ac:dyDescent="0.4">
      <c r="A405" s="108" t="s">
        <v>1735</v>
      </c>
      <c r="B405" s="49">
        <v>3</v>
      </c>
      <c r="C405" s="17">
        <v>403</v>
      </c>
      <c r="D405" s="119" t="s">
        <v>1875</v>
      </c>
      <c r="E405" s="49">
        <v>2377443</v>
      </c>
      <c r="F405" s="29"/>
      <c r="G405" s="109" t="s">
        <v>716</v>
      </c>
      <c r="H405" s="120" t="s">
        <v>1867</v>
      </c>
      <c r="I405" s="114" t="s">
        <v>1867</v>
      </c>
      <c r="J405" s="113" t="s">
        <v>1868</v>
      </c>
      <c r="K405" s="113" t="s">
        <v>1869</v>
      </c>
      <c r="L405" s="113" t="s">
        <v>1876</v>
      </c>
      <c r="M405" s="29" t="s">
        <v>1791</v>
      </c>
      <c r="N405" s="29" t="s">
        <v>1742</v>
      </c>
      <c r="O405" s="109"/>
      <c r="P405" s="29" t="s">
        <v>1793</v>
      </c>
      <c r="Q405" s="24" t="s">
        <v>17</v>
      </c>
      <c r="R405" s="66" t="s">
        <v>1744</v>
      </c>
      <c r="S405" s="29" t="s">
        <v>68</v>
      </c>
      <c r="T405" s="29" t="s">
        <v>1871</v>
      </c>
      <c r="U405" s="107" t="s">
        <v>1872</v>
      </c>
      <c r="V405" s="31"/>
      <c r="W405" s="66" t="s">
        <v>1747</v>
      </c>
      <c r="X405" s="66"/>
      <c r="Y405" s="16">
        <v>1</v>
      </c>
      <c r="Z405" s="31"/>
      <c r="AA405" s="31"/>
      <c r="AB405" s="18">
        <v>2016</v>
      </c>
      <c r="AC405" s="16" t="s">
        <v>51</v>
      </c>
      <c r="AD405" s="30"/>
      <c r="AE405" s="29"/>
      <c r="AF405" s="29"/>
      <c r="AG405" s="29"/>
    </row>
    <row r="406" spans="1:33" x14ac:dyDescent="0.4">
      <c r="A406" s="108" t="s">
        <v>1735</v>
      </c>
      <c r="B406" s="49">
        <v>4</v>
      </c>
      <c r="C406" s="18">
        <v>404</v>
      </c>
      <c r="D406" s="121"/>
      <c r="E406" s="49">
        <v>2377443</v>
      </c>
      <c r="F406" s="29"/>
      <c r="G406" s="109" t="s">
        <v>716</v>
      </c>
      <c r="H406" s="120" t="s">
        <v>1867</v>
      </c>
      <c r="I406" s="114" t="s">
        <v>1867</v>
      </c>
      <c r="J406" s="113" t="s">
        <v>1868</v>
      </c>
      <c r="K406" s="113" t="s">
        <v>1869</v>
      </c>
      <c r="L406" s="113" t="s">
        <v>1877</v>
      </c>
      <c r="M406" s="29" t="s">
        <v>1791</v>
      </c>
      <c r="N406" s="29" t="s">
        <v>1742</v>
      </c>
      <c r="O406" s="109"/>
      <c r="P406" s="29" t="s">
        <v>1793</v>
      </c>
      <c r="Q406" s="66" t="s">
        <v>17</v>
      </c>
      <c r="R406" s="66" t="s">
        <v>1744</v>
      </c>
      <c r="S406" s="29" t="s">
        <v>68</v>
      </c>
      <c r="T406" s="29" t="s">
        <v>1871</v>
      </c>
      <c r="U406" s="107" t="s">
        <v>1872</v>
      </c>
      <c r="V406" s="31"/>
      <c r="W406" s="66" t="s">
        <v>1747</v>
      </c>
      <c r="X406" s="66"/>
      <c r="Y406" s="16">
        <v>1</v>
      </c>
      <c r="Z406" s="31"/>
      <c r="AA406" s="31"/>
      <c r="AB406" s="18">
        <v>2016</v>
      </c>
      <c r="AC406" s="16" t="s">
        <v>51</v>
      </c>
      <c r="AD406" s="30"/>
      <c r="AE406" s="29"/>
      <c r="AF406" s="29"/>
      <c r="AG406" s="29"/>
    </row>
    <row r="407" spans="1:33" x14ac:dyDescent="0.4">
      <c r="A407" s="108" t="s">
        <v>1735</v>
      </c>
      <c r="B407" s="49">
        <v>5</v>
      </c>
      <c r="C407" s="17">
        <v>405</v>
      </c>
      <c r="D407" s="119" t="s">
        <v>1878</v>
      </c>
      <c r="E407" s="49">
        <v>2377443</v>
      </c>
      <c r="F407" s="29"/>
      <c r="G407" s="109" t="s">
        <v>716</v>
      </c>
      <c r="H407" s="120" t="s">
        <v>1867</v>
      </c>
      <c r="I407" s="114" t="s">
        <v>1867</v>
      </c>
      <c r="J407" s="113" t="s">
        <v>1868</v>
      </c>
      <c r="K407" s="113" t="s">
        <v>1869</v>
      </c>
      <c r="L407" s="113" t="s">
        <v>1879</v>
      </c>
      <c r="M407" s="29" t="s">
        <v>1791</v>
      </c>
      <c r="N407" s="29" t="s">
        <v>1742</v>
      </c>
      <c r="O407" s="109"/>
      <c r="P407" s="29" t="s">
        <v>1793</v>
      </c>
      <c r="Q407" s="24" t="s">
        <v>17</v>
      </c>
      <c r="R407" s="66" t="s">
        <v>1744</v>
      </c>
      <c r="S407" s="29" t="s">
        <v>68</v>
      </c>
      <c r="T407" s="29" t="s">
        <v>1871</v>
      </c>
      <c r="U407" s="107" t="s">
        <v>1872</v>
      </c>
      <c r="V407" s="31"/>
      <c r="W407" s="66" t="s">
        <v>1747</v>
      </c>
      <c r="X407" s="66"/>
      <c r="Y407" s="16">
        <v>1</v>
      </c>
      <c r="Z407" s="31"/>
      <c r="AA407" s="31"/>
      <c r="AB407" s="18">
        <v>2016</v>
      </c>
      <c r="AC407" s="16" t="s">
        <v>51</v>
      </c>
      <c r="AD407" s="30"/>
      <c r="AE407" s="29"/>
      <c r="AF407" s="29"/>
      <c r="AG407" s="29"/>
    </row>
    <row r="408" spans="1:33" x14ac:dyDescent="0.4">
      <c r="A408" s="108" t="s">
        <v>1735</v>
      </c>
      <c r="B408" s="49">
        <v>6</v>
      </c>
      <c r="C408" s="18">
        <v>406</v>
      </c>
      <c r="D408" s="121"/>
      <c r="E408" s="49">
        <v>2377443</v>
      </c>
      <c r="F408" s="29"/>
      <c r="G408" s="109" t="s">
        <v>716</v>
      </c>
      <c r="H408" s="120" t="s">
        <v>1867</v>
      </c>
      <c r="I408" s="114" t="s">
        <v>1867</v>
      </c>
      <c r="J408" s="113" t="s">
        <v>1868</v>
      </c>
      <c r="K408" s="113" t="s">
        <v>1869</v>
      </c>
      <c r="L408" s="113" t="s">
        <v>1880</v>
      </c>
      <c r="M408" s="29" t="s">
        <v>1791</v>
      </c>
      <c r="N408" s="29" t="s">
        <v>1742</v>
      </c>
      <c r="O408" s="109"/>
      <c r="P408" s="29" t="s">
        <v>1793</v>
      </c>
      <c r="Q408" s="66" t="s">
        <v>17</v>
      </c>
      <c r="R408" s="66" t="s">
        <v>1744</v>
      </c>
      <c r="S408" s="29" t="s">
        <v>1760</v>
      </c>
      <c r="T408" s="29" t="s">
        <v>1871</v>
      </c>
      <c r="U408" s="107" t="s">
        <v>1872</v>
      </c>
      <c r="V408" s="31"/>
      <c r="W408" s="66" t="s">
        <v>1747</v>
      </c>
      <c r="X408" s="66"/>
      <c r="Y408" s="16">
        <v>1</v>
      </c>
      <c r="Z408" s="31"/>
      <c r="AA408" s="31"/>
      <c r="AB408" s="18">
        <v>2016</v>
      </c>
      <c r="AC408" s="122" t="s">
        <v>51</v>
      </c>
      <c r="AD408" s="123"/>
      <c r="AE408" s="29"/>
      <c r="AF408" s="29"/>
      <c r="AG408" s="29"/>
    </row>
    <row r="409" spans="1:33" x14ac:dyDescent="0.4">
      <c r="A409" s="108" t="s">
        <v>1735</v>
      </c>
      <c r="B409" s="49">
        <v>7</v>
      </c>
      <c r="C409" s="17">
        <v>407</v>
      </c>
      <c r="D409" s="119" t="s">
        <v>1881</v>
      </c>
      <c r="E409" s="49">
        <v>2377443</v>
      </c>
      <c r="F409" s="29"/>
      <c r="G409" s="109" t="s">
        <v>716</v>
      </c>
      <c r="H409" s="120" t="s">
        <v>1867</v>
      </c>
      <c r="I409" s="114" t="s">
        <v>1867</v>
      </c>
      <c r="J409" s="113" t="s">
        <v>1868</v>
      </c>
      <c r="K409" s="113" t="s">
        <v>1869</v>
      </c>
      <c r="L409" s="113" t="s">
        <v>1882</v>
      </c>
      <c r="M409" s="29" t="s">
        <v>1791</v>
      </c>
      <c r="N409" s="29" t="s">
        <v>1742</v>
      </c>
      <c r="O409" s="109"/>
      <c r="P409" s="29" t="s">
        <v>1793</v>
      </c>
      <c r="Q409" s="24" t="s">
        <v>17</v>
      </c>
      <c r="R409" s="66" t="s">
        <v>1744</v>
      </c>
      <c r="S409" s="29" t="s">
        <v>68</v>
      </c>
      <c r="T409" s="29" t="s">
        <v>1871</v>
      </c>
      <c r="U409" s="107" t="s">
        <v>1872</v>
      </c>
      <c r="V409" s="31"/>
      <c r="W409" s="66" t="s">
        <v>1747</v>
      </c>
      <c r="X409" s="66"/>
      <c r="Y409" s="16">
        <v>1</v>
      </c>
      <c r="Z409" s="31"/>
      <c r="AA409" s="31"/>
      <c r="AB409" s="18">
        <v>2016</v>
      </c>
      <c r="AC409" s="16" t="s">
        <v>51</v>
      </c>
      <c r="AD409" s="30"/>
      <c r="AE409" s="29"/>
      <c r="AF409" s="29"/>
      <c r="AG409" s="29"/>
    </row>
    <row r="410" spans="1:33" x14ac:dyDescent="0.4">
      <c r="A410" s="108" t="s">
        <v>1735</v>
      </c>
      <c r="B410" s="49">
        <v>8</v>
      </c>
      <c r="C410" s="17">
        <v>408</v>
      </c>
      <c r="D410" s="119" t="s">
        <v>1883</v>
      </c>
      <c r="E410" s="49">
        <v>2377443</v>
      </c>
      <c r="F410" s="29"/>
      <c r="G410" s="109" t="s">
        <v>716</v>
      </c>
      <c r="H410" s="120" t="s">
        <v>1867</v>
      </c>
      <c r="I410" s="114" t="s">
        <v>1867</v>
      </c>
      <c r="J410" s="113" t="s">
        <v>1868</v>
      </c>
      <c r="K410" s="113" t="s">
        <v>1869</v>
      </c>
      <c r="L410" s="113" t="s">
        <v>1884</v>
      </c>
      <c r="M410" s="29" t="s">
        <v>1791</v>
      </c>
      <c r="N410" s="29" t="s">
        <v>1742</v>
      </c>
      <c r="O410" s="109"/>
      <c r="P410" s="29" t="s">
        <v>1793</v>
      </c>
      <c r="Q410" s="24" t="s">
        <v>17</v>
      </c>
      <c r="R410" s="66" t="s">
        <v>1744</v>
      </c>
      <c r="S410" s="29" t="s">
        <v>68</v>
      </c>
      <c r="T410" s="29" t="s">
        <v>1871</v>
      </c>
      <c r="U410" s="107" t="s">
        <v>1872</v>
      </c>
      <c r="V410" s="31"/>
      <c r="W410" s="66" t="s">
        <v>1747</v>
      </c>
      <c r="X410" s="66"/>
      <c r="Y410" s="16">
        <v>1</v>
      </c>
      <c r="Z410" s="31"/>
      <c r="AA410" s="31"/>
      <c r="AB410" s="18">
        <v>2016</v>
      </c>
      <c r="AC410" s="16" t="s">
        <v>51</v>
      </c>
      <c r="AD410" s="30"/>
      <c r="AE410" s="29"/>
      <c r="AF410" s="29"/>
      <c r="AG410" s="29"/>
    </row>
    <row r="411" spans="1:33" x14ac:dyDescent="0.4">
      <c r="A411" s="108" t="s">
        <v>1735</v>
      </c>
      <c r="B411" s="49">
        <v>9</v>
      </c>
      <c r="C411" s="18">
        <v>409</v>
      </c>
      <c r="D411" s="119" t="s">
        <v>1885</v>
      </c>
      <c r="E411" s="49">
        <v>2377443</v>
      </c>
      <c r="F411" s="29"/>
      <c r="G411" s="109" t="s">
        <v>716</v>
      </c>
      <c r="H411" s="120" t="s">
        <v>1867</v>
      </c>
      <c r="I411" s="114" t="s">
        <v>1867</v>
      </c>
      <c r="J411" s="113" t="s">
        <v>1868</v>
      </c>
      <c r="K411" s="113" t="s">
        <v>1869</v>
      </c>
      <c r="L411" s="113" t="s">
        <v>1886</v>
      </c>
      <c r="M411" s="29" t="s">
        <v>1791</v>
      </c>
      <c r="N411" s="29" t="s">
        <v>1742</v>
      </c>
      <c r="O411" s="109"/>
      <c r="P411" s="29" t="s">
        <v>1793</v>
      </c>
      <c r="Q411" s="66" t="s">
        <v>17</v>
      </c>
      <c r="R411" s="66" t="s">
        <v>1744</v>
      </c>
      <c r="S411" s="29" t="s">
        <v>1760</v>
      </c>
      <c r="T411" s="29" t="s">
        <v>1871</v>
      </c>
      <c r="U411" s="107" t="s">
        <v>1872</v>
      </c>
      <c r="V411" s="31"/>
      <c r="W411" s="66" t="s">
        <v>1747</v>
      </c>
      <c r="X411" s="66"/>
      <c r="Y411" s="16">
        <v>1</v>
      </c>
      <c r="Z411" s="31"/>
      <c r="AA411" s="31"/>
      <c r="AB411" s="18">
        <v>2016</v>
      </c>
      <c r="AC411" s="16" t="s">
        <v>51</v>
      </c>
      <c r="AD411" s="30"/>
      <c r="AE411" s="29"/>
      <c r="AF411" s="29"/>
      <c r="AG411" s="29"/>
    </row>
    <row r="412" spans="1:33" x14ac:dyDescent="0.4">
      <c r="A412" s="108" t="s">
        <v>1735</v>
      </c>
      <c r="B412" s="49">
        <v>10</v>
      </c>
      <c r="C412" s="17">
        <v>410</v>
      </c>
      <c r="D412" s="119"/>
      <c r="E412" s="49">
        <v>2377443</v>
      </c>
      <c r="F412" s="29"/>
      <c r="G412" s="109" t="s">
        <v>716</v>
      </c>
      <c r="H412" s="120" t="s">
        <v>1867</v>
      </c>
      <c r="I412" s="114" t="s">
        <v>1867</v>
      </c>
      <c r="J412" s="113" t="s">
        <v>1868</v>
      </c>
      <c r="K412" s="113" t="s">
        <v>1869</v>
      </c>
      <c r="L412" s="113" t="s">
        <v>1887</v>
      </c>
      <c r="M412" s="29" t="s">
        <v>1791</v>
      </c>
      <c r="N412" s="29" t="s">
        <v>1742</v>
      </c>
      <c r="O412" s="109"/>
      <c r="P412" s="29" t="s">
        <v>1793</v>
      </c>
      <c r="Q412" s="24" t="s">
        <v>116</v>
      </c>
      <c r="R412" s="66" t="s">
        <v>1744</v>
      </c>
      <c r="S412" s="29" t="s">
        <v>1760</v>
      </c>
      <c r="T412" s="29" t="s">
        <v>1871</v>
      </c>
      <c r="U412" s="107" t="s">
        <v>1872</v>
      </c>
      <c r="V412" s="31"/>
      <c r="W412" s="66" t="s">
        <v>1747</v>
      </c>
      <c r="X412" s="66"/>
      <c r="Y412" s="16">
        <v>1</v>
      </c>
      <c r="Z412" s="31"/>
      <c r="AA412" s="31"/>
      <c r="AB412" s="18">
        <v>2016</v>
      </c>
      <c r="AC412" s="122" t="s">
        <v>51</v>
      </c>
      <c r="AD412" s="123"/>
      <c r="AE412" s="29"/>
      <c r="AF412" s="29"/>
      <c r="AG412" s="29"/>
    </row>
    <row r="413" spans="1:33" x14ac:dyDescent="0.4">
      <c r="A413" s="108" t="s">
        <v>1735</v>
      </c>
      <c r="B413" s="49">
        <v>11</v>
      </c>
      <c r="C413" s="17">
        <v>411</v>
      </c>
      <c r="D413" s="119" t="s">
        <v>1888</v>
      </c>
      <c r="E413" s="49">
        <v>2377443</v>
      </c>
      <c r="F413" s="29"/>
      <c r="G413" s="109" t="s">
        <v>716</v>
      </c>
      <c r="H413" s="120" t="s">
        <v>1867</v>
      </c>
      <c r="I413" s="114" t="s">
        <v>1867</v>
      </c>
      <c r="J413" s="113" t="s">
        <v>1868</v>
      </c>
      <c r="K413" s="113" t="s">
        <v>1869</v>
      </c>
      <c r="L413" s="113" t="s">
        <v>1889</v>
      </c>
      <c r="M413" s="29" t="s">
        <v>1791</v>
      </c>
      <c r="N413" s="29" t="s">
        <v>1742</v>
      </c>
      <c r="O413" s="109"/>
      <c r="P413" s="29" t="s">
        <v>1793</v>
      </c>
      <c r="Q413" s="24" t="s">
        <v>17</v>
      </c>
      <c r="R413" s="66" t="s">
        <v>1744</v>
      </c>
      <c r="S413" s="29" t="s">
        <v>1760</v>
      </c>
      <c r="T413" s="29" t="s">
        <v>1871</v>
      </c>
      <c r="U413" s="107" t="s">
        <v>1872</v>
      </c>
      <c r="V413" s="31"/>
      <c r="W413" s="66" t="s">
        <v>1747</v>
      </c>
      <c r="X413" s="66"/>
      <c r="Y413" s="16">
        <v>1</v>
      </c>
      <c r="Z413" s="31"/>
      <c r="AA413" s="31"/>
      <c r="AB413" s="18">
        <v>2016</v>
      </c>
      <c r="AC413" s="16" t="s">
        <v>51</v>
      </c>
      <c r="AD413" s="30"/>
      <c r="AE413" s="29"/>
      <c r="AF413" s="29"/>
      <c r="AG413" s="29"/>
    </row>
    <row r="414" spans="1:33" x14ac:dyDescent="0.4">
      <c r="A414" s="108" t="s">
        <v>1735</v>
      </c>
      <c r="B414" s="49">
        <v>12</v>
      </c>
      <c r="C414" s="17">
        <v>412</v>
      </c>
      <c r="D414" s="119" t="s">
        <v>1890</v>
      </c>
      <c r="E414" s="23">
        <v>2377443</v>
      </c>
      <c r="F414" s="113"/>
      <c r="G414" s="109" t="s">
        <v>716</v>
      </c>
      <c r="H414" s="120" t="s">
        <v>1867</v>
      </c>
      <c r="I414" s="114" t="s">
        <v>1867</v>
      </c>
      <c r="J414" s="113" t="s">
        <v>1868</v>
      </c>
      <c r="K414" s="113" t="s">
        <v>1869</v>
      </c>
      <c r="L414" s="113" t="s">
        <v>1891</v>
      </c>
      <c r="M414" s="29" t="s">
        <v>1791</v>
      </c>
      <c r="N414" s="29" t="s">
        <v>1742</v>
      </c>
      <c r="O414" s="109"/>
      <c r="P414" s="29" t="s">
        <v>1793</v>
      </c>
      <c r="Q414" s="24" t="s">
        <v>17</v>
      </c>
      <c r="R414" s="66" t="s">
        <v>1744</v>
      </c>
      <c r="S414" s="29" t="s">
        <v>1760</v>
      </c>
      <c r="T414" s="29" t="s">
        <v>1871</v>
      </c>
      <c r="U414" s="107" t="s">
        <v>1872</v>
      </c>
      <c r="V414" s="31"/>
      <c r="W414" s="66" t="s">
        <v>1747</v>
      </c>
      <c r="X414" s="66"/>
      <c r="Y414" s="16">
        <v>1</v>
      </c>
      <c r="Z414" s="31"/>
      <c r="AA414" s="31"/>
      <c r="AB414" s="18">
        <v>2016</v>
      </c>
      <c r="AC414" s="122" t="s">
        <v>51</v>
      </c>
      <c r="AD414" s="123"/>
      <c r="AE414" s="113"/>
      <c r="AF414" s="113"/>
      <c r="AG414" s="113"/>
    </row>
    <row r="415" spans="1:33" x14ac:dyDescent="0.4">
      <c r="A415" s="124" t="s">
        <v>1735</v>
      </c>
      <c r="B415" s="23">
        <v>13</v>
      </c>
      <c r="C415" s="17">
        <v>413</v>
      </c>
      <c r="D415" s="119" t="s">
        <v>1892</v>
      </c>
      <c r="E415" s="23">
        <v>2377443</v>
      </c>
      <c r="F415" s="113"/>
      <c r="G415" s="125" t="s">
        <v>716</v>
      </c>
      <c r="H415" s="120" t="s">
        <v>1867</v>
      </c>
      <c r="I415" s="114" t="s">
        <v>1867</v>
      </c>
      <c r="J415" s="113" t="s">
        <v>1868</v>
      </c>
      <c r="K415" s="113" t="s">
        <v>1869</v>
      </c>
      <c r="L415" s="113" t="s">
        <v>1893</v>
      </c>
      <c r="M415" s="29" t="s">
        <v>1791</v>
      </c>
      <c r="N415" s="29" t="s">
        <v>1742</v>
      </c>
      <c r="O415" s="109"/>
      <c r="P415" s="29" t="s">
        <v>1793</v>
      </c>
      <c r="Q415" s="24" t="s">
        <v>17</v>
      </c>
      <c r="R415" s="66" t="s">
        <v>1744</v>
      </c>
      <c r="S415" s="29" t="s">
        <v>1760</v>
      </c>
      <c r="T415" s="29" t="s">
        <v>1871</v>
      </c>
      <c r="U415" s="107" t="s">
        <v>1872</v>
      </c>
      <c r="V415" s="31"/>
      <c r="W415" s="66" t="s">
        <v>1747</v>
      </c>
      <c r="X415" s="66"/>
      <c r="Y415" s="16">
        <v>1</v>
      </c>
      <c r="Z415" s="31"/>
      <c r="AA415" s="31"/>
      <c r="AB415" s="18">
        <v>2016</v>
      </c>
      <c r="AC415" s="122" t="s">
        <v>51</v>
      </c>
      <c r="AD415" s="123"/>
      <c r="AE415" s="113"/>
      <c r="AF415" s="113"/>
      <c r="AG415" s="113"/>
    </row>
    <row r="416" spans="1:33" x14ac:dyDescent="0.4">
      <c r="A416" s="124" t="s">
        <v>1735</v>
      </c>
      <c r="B416" s="23">
        <v>14</v>
      </c>
      <c r="C416" s="17">
        <v>414</v>
      </c>
      <c r="D416" s="119" t="s">
        <v>1894</v>
      </c>
      <c r="E416" s="23">
        <v>2377443</v>
      </c>
      <c r="F416" s="113"/>
      <c r="G416" s="125" t="s">
        <v>716</v>
      </c>
      <c r="H416" s="120" t="s">
        <v>1867</v>
      </c>
      <c r="I416" s="114" t="s">
        <v>1867</v>
      </c>
      <c r="J416" s="113" t="s">
        <v>1868</v>
      </c>
      <c r="K416" s="113" t="s">
        <v>1869</v>
      </c>
      <c r="L416" s="113" t="s">
        <v>1895</v>
      </c>
      <c r="M416" s="29" t="s">
        <v>1791</v>
      </c>
      <c r="N416" s="29" t="s">
        <v>1742</v>
      </c>
      <c r="O416" s="109"/>
      <c r="P416" s="29" t="s">
        <v>1793</v>
      </c>
      <c r="Q416" s="24" t="s">
        <v>17</v>
      </c>
      <c r="R416" s="66" t="s">
        <v>1744</v>
      </c>
      <c r="S416" s="29" t="s">
        <v>1760</v>
      </c>
      <c r="T416" s="29" t="s">
        <v>1871</v>
      </c>
      <c r="U416" s="107" t="s">
        <v>1872</v>
      </c>
      <c r="V416" s="31"/>
      <c r="W416" s="66" t="s">
        <v>1747</v>
      </c>
      <c r="X416" s="66"/>
      <c r="Y416" s="16">
        <v>1</v>
      </c>
      <c r="Z416" s="31"/>
      <c r="AA416" s="31"/>
      <c r="AB416" s="18">
        <v>2016</v>
      </c>
      <c r="AC416" s="122" t="s">
        <v>51</v>
      </c>
      <c r="AD416" s="123"/>
      <c r="AE416" s="113"/>
      <c r="AF416" s="113"/>
      <c r="AG416" s="113"/>
    </row>
    <row r="417" spans="1:33" x14ac:dyDescent="0.4">
      <c r="A417" s="124" t="s">
        <v>1735</v>
      </c>
      <c r="B417" s="23">
        <v>15</v>
      </c>
      <c r="C417" s="18">
        <v>415</v>
      </c>
      <c r="D417" s="119"/>
      <c r="E417" s="23">
        <v>2377443</v>
      </c>
      <c r="F417" s="113"/>
      <c r="G417" s="125" t="s">
        <v>716</v>
      </c>
      <c r="H417" s="120" t="s">
        <v>1867</v>
      </c>
      <c r="I417" s="114" t="s">
        <v>1867</v>
      </c>
      <c r="J417" s="113" t="s">
        <v>1868</v>
      </c>
      <c r="K417" s="113" t="s">
        <v>1869</v>
      </c>
      <c r="L417" s="113" t="s">
        <v>1896</v>
      </c>
      <c r="M417" s="29" t="s">
        <v>1791</v>
      </c>
      <c r="N417" s="29" t="s">
        <v>1742</v>
      </c>
      <c r="O417" s="109"/>
      <c r="P417" s="29" t="s">
        <v>1793</v>
      </c>
      <c r="Q417" s="28" t="s">
        <v>17</v>
      </c>
      <c r="R417" s="66" t="s">
        <v>1744</v>
      </c>
      <c r="S417" s="29" t="s">
        <v>1760</v>
      </c>
      <c r="T417" s="29" t="s">
        <v>1871</v>
      </c>
      <c r="U417" s="107" t="s">
        <v>1872</v>
      </c>
      <c r="V417" s="31"/>
      <c r="W417" s="66" t="s">
        <v>1747</v>
      </c>
      <c r="X417" s="66"/>
      <c r="Y417" s="16">
        <v>1</v>
      </c>
      <c r="Z417" s="31"/>
      <c r="AA417" s="31"/>
      <c r="AB417" s="18">
        <v>2016</v>
      </c>
      <c r="AC417" s="122" t="s">
        <v>51</v>
      </c>
      <c r="AD417" s="123"/>
      <c r="AE417" s="113"/>
      <c r="AF417" s="113"/>
      <c r="AG417" s="113"/>
    </row>
    <row r="418" spans="1:33" x14ac:dyDescent="0.4">
      <c r="A418" s="124" t="s">
        <v>1735</v>
      </c>
      <c r="B418" s="23">
        <v>16</v>
      </c>
      <c r="C418" s="17">
        <v>416</v>
      </c>
      <c r="D418" s="119" t="s">
        <v>1897</v>
      </c>
      <c r="E418" s="23">
        <v>2377443</v>
      </c>
      <c r="F418" s="113"/>
      <c r="G418" s="125" t="s">
        <v>716</v>
      </c>
      <c r="H418" s="120" t="s">
        <v>1867</v>
      </c>
      <c r="I418" s="114" t="s">
        <v>1867</v>
      </c>
      <c r="J418" s="113" t="s">
        <v>1868</v>
      </c>
      <c r="K418" s="113" t="s">
        <v>1869</v>
      </c>
      <c r="L418" s="113" t="s">
        <v>1898</v>
      </c>
      <c r="M418" s="29" t="s">
        <v>1791</v>
      </c>
      <c r="N418" s="29" t="s">
        <v>1742</v>
      </c>
      <c r="O418" s="109"/>
      <c r="P418" s="29" t="s">
        <v>1793</v>
      </c>
      <c r="Q418" s="24" t="s">
        <v>17</v>
      </c>
      <c r="R418" s="66" t="s">
        <v>1744</v>
      </c>
      <c r="S418" s="29" t="s">
        <v>1760</v>
      </c>
      <c r="T418" s="29" t="s">
        <v>1871</v>
      </c>
      <c r="U418" s="107" t="s">
        <v>1872</v>
      </c>
      <c r="V418" s="31"/>
      <c r="W418" s="66" t="s">
        <v>1747</v>
      </c>
      <c r="X418" s="66"/>
      <c r="Y418" s="16">
        <v>1</v>
      </c>
      <c r="Z418" s="31"/>
      <c r="AA418" s="31"/>
      <c r="AB418" s="18">
        <v>2016</v>
      </c>
      <c r="AC418" s="122" t="s">
        <v>51</v>
      </c>
      <c r="AD418" s="123"/>
      <c r="AE418" s="113"/>
      <c r="AF418" s="113"/>
      <c r="AG418" s="113"/>
    </row>
    <row r="419" spans="1:33" x14ac:dyDescent="0.4">
      <c r="A419" s="126" t="s">
        <v>1735</v>
      </c>
      <c r="B419" s="46">
        <v>1</v>
      </c>
      <c r="C419" s="17">
        <v>417</v>
      </c>
      <c r="D419" s="18" t="s">
        <v>1899</v>
      </c>
      <c r="E419" s="49">
        <v>2455597</v>
      </c>
      <c r="F419" s="60"/>
      <c r="G419" s="127" t="s">
        <v>716</v>
      </c>
      <c r="H419" s="128" t="s">
        <v>1900</v>
      </c>
      <c r="I419" s="127" t="s">
        <v>1901</v>
      </c>
      <c r="J419" s="60" t="s">
        <v>1902</v>
      </c>
      <c r="K419" s="60" t="s">
        <v>1903</v>
      </c>
      <c r="L419" s="60" t="s">
        <v>1904</v>
      </c>
      <c r="M419" s="60" t="s">
        <v>1791</v>
      </c>
      <c r="N419" s="60" t="s">
        <v>1742</v>
      </c>
      <c r="O419" s="127"/>
      <c r="P419" s="127" t="s">
        <v>1793</v>
      </c>
      <c r="Q419" s="24" t="s">
        <v>17</v>
      </c>
      <c r="R419" s="127" t="s">
        <v>1744</v>
      </c>
      <c r="S419" s="29" t="s">
        <v>1760</v>
      </c>
      <c r="T419" s="29" t="s">
        <v>1905</v>
      </c>
      <c r="U419" s="107" t="s">
        <v>1906</v>
      </c>
      <c r="V419" s="31"/>
      <c r="W419" s="66" t="s">
        <v>1747</v>
      </c>
      <c r="X419" s="66"/>
      <c r="Y419" s="29">
        <v>1</v>
      </c>
      <c r="Z419" s="66"/>
      <c r="AA419" s="66"/>
      <c r="AB419" s="18">
        <v>2016</v>
      </c>
      <c r="AC419" s="127" t="s">
        <v>51</v>
      </c>
      <c r="AD419" s="129"/>
      <c r="AE419" s="29"/>
      <c r="AF419" s="29"/>
      <c r="AG419" s="29"/>
    </row>
    <row r="420" spans="1:33" x14ac:dyDescent="0.4">
      <c r="A420" s="108" t="s">
        <v>1735</v>
      </c>
      <c r="B420" s="49">
        <v>2</v>
      </c>
      <c r="C420" s="17">
        <v>418</v>
      </c>
      <c r="D420" s="18" t="s">
        <v>1907</v>
      </c>
      <c r="E420" s="49">
        <v>2455597</v>
      </c>
      <c r="F420" s="29"/>
      <c r="G420" s="109" t="s">
        <v>716</v>
      </c>
      <c r="H420" s="120" t="s">
        <v>1900</v>
      </c>
      <c r="I420" s="114" t="s">
        <v>1901</v>
      </c>
      <c r="J420" s="60" t="s">
        <v>1902</v>
      </c>
      <c r="K420" s="60" t="s">
        <v>1903</v>
      </c>
      <c r="L420" s="113" t="s">
        <v>1908</v>
      </c>
      <c r="M420" s="29" t="s">
        <v>1791</v>
      </c>
      <c r="N420" s="29" t="s">
        <v>1742</v>
      </c>
      <c r="O420" s="109"/>
      <c r="P420" s="29" t="s">
        <v>1793</v>
      </c>
      <c r="Q420" s="24" t="s">
        <v>17</v>
      </c>
      <c r="R420" s="66" t="s">
        <v>1744</v>
      </c>
      <c r="S420" s="29" t="s">
        <v>1760</v>
      </c>
      <c r="T420" s="29" t="s">
        <v>1905</v>
      </c>
      <c r="U420" s="107" t="s">
        <v>1906</v>
      </c>
      <c r="V420" s="31"/>
      <c r="W420" s="66" t="s">
        <v>1747</v>
      </c>
      <c r="X420" s="66"/>
      <c r="Y420" s="16">
        <v>1</v>
      </c>
      <c r="Z420" s="31"/>
      <c r="AA420" s="31"/>
      <c r="AB420" s="18">
        <v>2016</v>
      </c>
      <c r="AC420" s="16" t="s">
        <v>51</v>
      </c>
      <c r="AD420" s="30"/>
      <c r="AE420" s="29"/>
      <c r="AF420" s="29"/>
      <c r="AG420" s="29"/>
    </row>
    <row r="421" spans="1:33" x14ac:dyDescent="0.4">
      <c r="A421" s="108" t="s">
        <v>1735</v>
      </c>
      <c r="B421" s="49">
        <v>3</v>
      </c>
      <c r="C421" s="17">
        <v>419</v>
      </c>
      <c r="D421" s="18" t="s">
        <v>1909</v>
      </c>
      <c r="E421" s="49">
        <v>2455597</v>
      </c>
      <c r="F421" s="29"/>
      <c r="G421" s="109" t="s">
        <v>716</v>
      </c>
      <c r="H421" s="120" t="s">
        <v>1900</v>
      </c>
      <c r="I421" s="114" t="s">
        <v>1901</v>
      </c>
      <c r="J421" s="60" t="s">
        <v>1902</v>
      </c>
      <c r="K421" s="60" t="s">
        <v>1903</v>
      </c>
      <c r="L421" s="113" t="s">
        <v>1910</v>
      </c>
      <c r="M421" s="29" t="s">
        <v>1791</v>
      </c>
      <c r="N421" s="29" t="s">
        <v>1742</v>
      </c>
      <c r="O421" s="109"/>
      <c r="P421" s="29" t="s">
        <v>1793</v>
      </c>
      <c r="Q421" s="24" t="s">
        <v>17</v>
      </c>
      <c r="R421" s="66" t="s">
        <v>1744</v>
      </c>
      <c r="S421" s="29" t="s">
        <v>1760</v>
      </c>
      <c r="T421" s="29" t="s">
        <v>1905</v>
      </c>
      <c r="U421" s="107" t="s">
        <v>1906</v>
      </c>
      <c r="V421" s="31"/>
      <c r="W421" s="66" t="s">
        <v>1747</v>
      </c>
      <c r="X421" s="66"/>
      <c r="Y421" s="16">
        <v>1</v>
      </c>
      <c r="Z421" s="31"/>
      <c r="AA421" s="31"/>
      <c r="AB421" s="18">
        <v>2016</v>
      </c>
      <c r="AC421" s="16" t="s">
        <v>51</v>
      </c>
      <c r="AD421" s="30"/>
      <c r="AE421" s="29"/>
      <c r="AF421" s="29"/>
      <c r="AG421" s="29"/>
    </row>
    <row r="422" spans="1:33" x14ac:dyDescent="0.4">
      <c r="A422" s="108" t="s">
        <v>1735</v>
      </c>
      <c r="B422" s="49">
        <v>4</v>
      </c>
      <c r="C422" s="17">
        <v>420</v>
      </c>
      <c r="D422" s="116"/>
      <c r="E422" s="49">
        <v>2455597</v>
      </c>
      <c r="F422" s="29"/>
      <c r="G422" s="109" t="s">
        <v>716</v>
      </c>
      <c r="H422" s="120" t="s">
        <v>1900</v>
      </c>
      <c r="I422" s="114" t="s">
        <v>1901</v>
      </c>
      <c r="J422" s="60" t="s">
        <v>1902</v>
      </c>
      <c r="K422" s="60" t="s">
        <v>1903</v>
      </c>
      <c r="L422" s="113" t="s">
        <v>1911</v>
      </c>
      <c r="M422" s="29" t="s">
        <v>1791</v>
      </c>
      <c r="N422" s="29" t="s">
        <v>1742</v>
      </c>
      <c r="O422" s="109"/>
      <c r="P422" s="29" t="s">
        <v>1793</v>
      </c>
      <c r="Q422" s="24" t="s">
        <v>17</v>
      </c>
      <c r="R422" s="66" t="s">
        <v>1744</v>
      </c>
      <c r="S422" s="29" t="s">
        <v>1760</v>
      </c>
      <c r="T422" s="29" t="s">
        <v>1905</v>
      </c>
      <c r="U422" s="107" t="s">
        <v>1906</v>
      </c>
      <c r="V422" s="31"/>
      <c r="W422" s="66" t="s">
        <v>1747</v>
      </c>
      <c r="X422" s="66"/>
      <c r="Y422" s="16">
        <v>1</v>
      </c>
      <c r="Z422" s="31"/>
      <c r="AA422" s="31"/>
      <c r="AB422" s="18">
        <v>2016</v>
      </c>
      <c r="AC422" s="16" t="s">
        <v>51</v>
      </c>
      <c r="AD422" s="30"/>
      <c r="AE422" s="29"/>
      <c r="AF422" s="29"/>
      <c r="AG422" s="29"/>
    </row>
    <row r="423" spans="1:33" x14ac:dyDescent="0.4">
      <c r="A423" s="108" t="s">
        <v>1735</v>
      </c>
      <c r="B423" s="49">
        <v>5</v>
      </c>
      <c r="C423" s="18">
        <v>421</v>
      </c>
      <c r="D423" s="18" t="s">
        <v>1912</v>
      </c>
      <c r="E423" s="49">
        <v>2455597</v>
      </c>
      <c r="F423" s="29"/>
      <c r="G423" s="109" t="s">
        <v>716</v>
      </c>
      <c r="H423" s="120" t="s">
        <v>1900</v>
      </c>
      <c r="I423" s="114" t="s">
        <v>1901</v>
      </c>
      <c r="J423" s="60" t="s">
        <v>1902</v>
      </c>
      <c r="K423" s="60" t="s">
        <v>1903</v>
      </c>
      <c r="L423" s="113" t="s">
        <v>1913</v>
      </c>
      <c r="M423" s="29" t="s">
        <v>1791</v>
      </c>
      <c r="N423" s="29" t="s">
        <v>1742</v>
      </c>
      <c r="O423" s="109"/>
      <c r="P423" s="29" t="s">
        <v>1793</v>
      </c>
      <c r="Q423" s="127" t="s">
        <v>17</v>
      </c>
      <c r="R423" s="66" t="s">
        <v>1744</v>
      </c>
      <c r="S423" s="29" t="s">
        <v>1760</v>
      </c>
      <c r="T423" s="29" t="s">
        <v>1905</v>
      </c>
      <c r="U423" s="107" t="s">
        <v>1906</v>
      </c>
      <c r="V423" s="31"/>
      <c r="W423" s="66" t="s">
        <v>1747</v>
      </c>
      <c r="X423" s="66"/>
      <c r="Y423" s="16">
        <v>1</v>
      </c>
      <c r="Z423" s="31"/>
      <c r="AA423" s="31"/>
      <c r="AB423" s="18">
        <v>2016</v>
      </c>
      <c r="AC423" s="16" t="s">
        <v>51</v>
      </c>
      <c r="AD423" s="30"/>
      <c r="AE423" s="29"/>
      <c r="AF423" s="29"/>
      <c r="AG423" s="29"/>
    </row>
    <row r="424" spans="1:33" x14ac:dyDescent="0.4">
      <c r="A424" s="108" t="s">
        <v>1735</v>
      </c>
      <c r="B424" s="49">
        <v>6</v>
      </c>
      <c r="C424" s="17">
        <v>422</v>
      </c>
      <c r="D424" s="18" t="s">
        <v>1914</v>
      </c>
      <c r="E424" s="46">
        <v>2455597</v>
      </c>
      <c r="F424" s="46"/>
      <c r="G424" s="109" t="s">
        <v>716</v>
      </c>
      <c r="H424" s="120" t="s">
        <v>1900</v>
      </c>
      <c r="I424" s="114" t="s">
        <v>1901</v>
      </c>
      <c r="J424" s="60" t="s">
        <v>1902</v>
      </c>
      <c r="K424" s="60" t="s">
        <v>1903</v>
      </c>
      <c r="L424" s="113" t="s">
        <v>1915</v>
      </c>
      <c r="M424" s="29" t="s">
        <v>1791</v>
      </c>
      <c r="N424" s="29" t="s">
        <v>1742</v>
      </c>
      <c r="O424" s="109"/>
      <c r="P424" s="29" t="s">
        <v>1793</v>
      </c>
      <c r="Q424" s="24" t="s">
        <v>17</v>
      </c>
      <c r="R424" s="66" t="s">
        <v>1744</v>
      </c>
      <c r="S424" s="29" t="s">
        <v>1760</v>
      </c>
      <c r="T424" s="29" t="s">
        <v>1905</v>
      </c>
      <c r="U424" s="107" t="s">
        <v>1906</v>
      </c>
      <c r="V424" s="31"/>
      <c r="W424" s="66" t="s">
        <v>1747</v>
      </c>
      <c r="X424" s="66"/>
      <c r="Y424" s="16">
        <v>1</v>
      </c>
      <c r="Z424" s="31"/>
      <c r="AA424" s="31"/>
      <c r="AB424" s="18">
        <v>2016</v>
      </c>
      <c r="AC424" s="16" t="s">
        <v>51</v>
      </c>
      <c r="AD424" s="30"/>
      <c r="AE424" s="49"/>
      <c r="AF424" s="49"/>
      <c r="AG424" s="49"/>
    </row>
    <row r="425" spans="1:33" x14ac:dyDescent="0.4">
      <c r="A425" s="130" t="s">
        <v>1735</v>
      </c>
      <c r="B425" s="46">
        <v>7</v>
      </c>
      <c r="C425" s="17">
        <v>423</v>
      </c>
      <c r="D425" s="18" t="s">
        <v>1916</v>
      </c>
      <c r="E425" s="49">
        <v>2455597</v>
      </c>
      <c r="F425" s="60"/>
      <c r="G425" s="69" t="s">
        <v>716</v>
      </c>
      <c r="H425" s="131" t="s">
        <v>1900</v>
      </c>
      <c r="I425" s="69" t="s">
        <v>1901</v>
      </c>
      <c r="J425" s="60" t="s">
        <v>1902</v>
      </c>
      <c r="K425" s="60" t="s">
        <v>1903</v>
      </c>
      <c r="L425" s="60" t="s">
        <v>1917</v>
      </c>
      <c r="M425" s="46" t="s">
        <v>1791</v>
      </c>
      <c r="N425" s="46" t="s">
        <v>1742</v>
      </c>
      <c r="O425" s="69"/>
      <c r="P425" s="69" t="s">
        <v>1793</v>
      </c>
      <c r="Q425" s="24" t="s">
        <v>17</v>
      </c>
      <c r="R425" s="69" t="s">
        <v>1744</v>
      </c>
      <c r="S425" s="44" t="s">
        <v>1760</v>
      </c>
      <c r="T425" s="29" t="s">
        <v>1905</v>
      </c>
      <c r="U425" s="107" t="s">
        <v>1906</v>
      </c>
      <c r="V425" s="31"/>
      <c r="W425" s="44" t="s">
        <v>1747</v>
      </c>
      <c r="X425" s="44"/>
      <c r="Y425" s="49">
        <v>1</v>
      </c>
      <c r="Z425" s="66"/>
      <c r="AA425" s="66"/>
      <c r="AB425" s="18">
        <v>2016</v>
      </c>
      <c r="AC425" s="69" t="s">
        <v>51</v>
      </c>
      <c r="AD425" s="132"/>
      <c r="AE425" s="29"/>
      <c r="AF425" s="29"/>
      <c r="AG425" s="29"/>
    </row>
    <row r="426" spans="1:33" x14ac:dyDescent="0.4">
      <c r="A426" s="108" t="s">
        <v>1735</v>
      </c>
      <c r="B426" s="49">
        <v>8</v>
      </c>
      <c r="C426" s="17">
        <v>424</v>
      </c>
      <c r="D426" s="18" t="s">
        <v>1918</v>
      </c>
      <c r="E426" s="49">
        <v>2455597</v>
      </c>
      <c r="F426" s="29"/>
      <c r="G426" s="109" t="s">
        <v>716</v>
      </c>
      <c r="H426" s="120" t="s">
        <v>1900</v>
      </c>
      <c r="I426" s="114" t="s">
        <v>1901</v>
      </c>
      <c r="J426" s="60" t="s">
        <v>1902</v>
      </c>
      <c r="K426" s="60" t="s">
        <v>1903</v>
      </c>
      <c r="L426" s="113" t="s">
        <v>1919</v>
      </c>
      <c r="M426" s="29" t="s">
        <v>1791</v>
      </c>
      <c r="N426" s="29" t="s">
        <v>1742</v>
      </c>
      <c r="O426" s="109"/>
      <c r="P426" s="29" t="s">
        <v>1793</v>
      </c>
      <c r="Q426" s="24" t="s">
        <v>17</v>
      </c>
      <c r="R426" s="66" t="s">
        <v>1744</v>
      </c>
      <c r="S426" s="29" t="s">
        <v>1760</v>
      </c>
      <c r="T426" s="29" t="s">
        <v>1905</v>
      </c>
      <c r="U426" s="107" t="s">
        <v>1906</v>
      </c>
      <c r="V426" s="31"/>
      <c r="W426" s="66" t="s">
        <v>1747</v>
      </c>
      <c r="X426" s="66"/>
      <c r="Y426" s="16">
        <v>1</v>
      </c>
      <c r="Z426" s="31"/>
      <c r="AA426" s="31"/>
      <c r="AB426" s="18">
        <v>2016</v>
      </c>
      <c r="AC426" s="16" t="s">
        <v>51</v>
      </c>
      <c r="AD426" s="30"/>
      <c r="AE426" s="29"/>
      <c r="AF426" s="29"/>
      <c r="AG426" s="29"/>
    </row>
    <row r="427" spans="1:33" x14ac:dyDescent="0.4">
      <c r="A427" s="108" t="s">
        <v>1735</v>
      </c>
      <c r="B427" s="49">
        <v>9</v>
      </c>
      <c r="C427" s="17">
        <v>425</v>
      </c>
      <c r="D427" s="116"/>
      <c r="E427" s="49">
        <v>2455597</v>
      </c>
      <c r="F427" s="29"/>
      <c r="G427" s="109" t="s">
        <v>716</v>
      </c>
      <c r="H427" s="120" t="s">
        <v>1900</v>
      </c>
      <c r="I427" s="114" t="s">
        <v>1901</v>
      </c>
      <c r="J427" s="60" t="s">
        <v>1902</v>
      </c>
      <c r="K427" s="60" t="s">
        <v>1903</v>
      </c>
      <c r="L427" s="113" t="s">
        <v>1920</v>
      </c>
      <c r="M427" s="29" t="s">
        <v>1791</v>
      </c>
      <c r="N427" s="29" t="s">
        <v>1742</v>
      </c>
      <c r="O427" s="109"/>
      <c r="P427" s="29" t="s">
        <v>1793</v>
      </c>
      <c r="Q427" s="24" t="s">
        <v>17</v>
      </c>
      <c r="R427" s="66" t="s">
        <v>1744</v>
      </c>
      <c r="S427" s="29" t="s">
        <v>1760</v>
      </c>
      <c r="T427" s="29" t="s">
        <v>1905</v>
      </c>
      <c r="U427" s="107" t="s">
        <v>1906</v>
      </c>
      <c r="V427" s="31"/>
      <c r="W427" s="66" t="s">
        <v>1747</v>
      </c>
      <c r="X427" s="66"/>
      <c r="Y427" s="16">
        <v>1</v>
      </c>
      <c r="Z427" s="31"/>
      <c r="AA427" s="31"/>
      <c r="AB427" s="18">
        <v>2016</v>
      </c>
      <c r="AC427" s="16" t="s">
        <v>51</v>
      </c>
      <c r="AD427" s="30"/>
      <c r="AE427" s="29"/>
      <c r="AF427" s="29"/>
      <c r="AG427" s="29"/>
    </row>
    <row r="428" spans="1:33" x14ac:dyDescent="0.4">
      <c r="A428" s="108" t="s">
        <v>1735</v>
      </c>
      <c r="B428" s="49">
        <v>10</v>
      </c>
      <c r="C428" s="18">
        <v>426</v>
      </c>
      <c r="D428" s="18" t="s">
        <v>1921</v>
      </c>
      <c r="E428" s="49">
        <v>2455597</v>
      </c>
      <c r="F428" s="29"/>
      <c r="G428" s="109" t="s">
        <v>716</v>
      </c>
      <c r="H428" s="120" t="s">
        <v>1900</v>
      </c>
      <c r="I428" s="114" t="s">
        <v>1901</v>
      </c>
      <c r="J428" s="60" t="s">
        <v>1902</v>
      </c>
      <c r="K428" s="60" t="s">
        <v>1903</v>
      </c>
      <c r="L428" s="113" t="s">
        <v>1922</v>
      </c>
      <c r="M428" s="29" t="s">
        <v>1791</v>
      </c>
      <c r="N428" s="29" t="s">
        <v>1742</v>
      </c>
      <c r="O428" s="109"/>
      <c r="P428" s="29" t="s">
        <v>1793</v>
      </c>
      <c r="Q428" s="127" t="s">
        <v>17</v>
      </c>
      <c r="R428" s="66" t="s">
        <v>1744</v>
      </c>
      <c r="S428" s="29" t="s">
        <v>68</v>
      </c>
      <c r="T428" s="29" t="s">
        <v>1905</v>
      </c>
      <c r="U428" s="107" t="s">
        <v>1906</v>
      </c>
      <c r="V428" s="31"/>
      <c r="W428" s="66" t="s">
        <v>1747</v>
      </c>
      <c r="X428" s="66"/>
      <c r="Y428" s="16">
        <v>1</v>
      </c>
      <c r="Z428" s="31"/>
      <c r="AA428" s="31"/>
      <c r="AB428" s="18">
        <v>2016</v>
      </c>
      <c r="AC428" s="16" t="s">
        <v>51</v>
      </c>
      <c r="AD428" s="30"/>
      <c r="AE428" s="29"/>
      <c r="AF428" s="29"/>
      <c r="AG428" s="29"/>
    </row>
    <row r="429" spans="1:33" x14ac:dyDescent="0.4">
      <c r="A429" s="108" t="s">
        <v>1735</v>
      </c>
      <c r="B429" s="49">
        <v>11</v>
      </c>
      <c r="C429" s="17">
        <v>427</v>
      </c>
      <c r="D429" s="18"/>
      <c r="E429" s="49">
        <v>2455597</v>
      </c>
      <c r="F429" s="29"/>
      <c r="G429" s="109" t="s">
        <v>716</v>
      </c>
      <c r="H429" s="120" t="s">
        <v>1900</v>
      </c>
      <c r="I429" s="114" t="s">
        <v>1901</v>
      </c>
      <c r="J429" s="60" t="s">
        <v>1902</v>
      </c>
      <c r="K429" s="60" t="s">
        <v>1903</v>
      </c>
      <c r="L429" s="113" t="s">
        <v>1923</v>
      </c>
      <c r="M429" s="29" t="s">
        <v>1791</v>
      </c>
      <c r="N429" s="29" t="s">
        <v>1742</v>
      </c>
      <c r="O429" s="109"/>
      <c r="P429" s="29" t="s">
        <v>1793</v>
      </c>
      <c r="Q429" s="24" t="s">
        <v>17</v>
      </c>
      <c r="R429" s="66" t="s">
        <v>1744</v>
      </c>
      <c r="S429" s="29" t="s">
        <v>68</v>
      </c>
      <c r="T429" s="29" t="s">
        <v>1905</v>
      </c>
      <c r="U429" s="107" t="s">
        <v>1906</v>
      </c>
      <c r="V429" s="31"/>
      <c r="W429" s="66" t="s">
        <v>1747</v>
      </c>
      <c r="X429" s="66"/>
      <c r="Y429" s="16">
        <v>1</v>
      </c>
      <c r="Z429" s="31"/>
      <c r="AA429" s="31"/>
      <c r="AB429" s="18">
        <v>2016</v>
      </c>
      <c r="AC429" s="16" t="s">
        <v>51</v>
      </c>
      <c r="AD429" s="30"/>
      <c r="AE429" s="29"/>
      <c r="AF429" s="29"/>
      <c r="AG429" s="29"/>
    </row>
    <row r="430" spans="1:33" x14ac:dyDescent="0.4">
      <c r="A430" s="108" t="s">
        <v>1735</v>
      </c>
      <c r="B430" s="49">
        <v>12</v>
      </c>
      <c r="C430" s="17">
        <v>428</v>
      </c>
      <c r="D430" s="18" t="s">
        <v>1924</v>
      </c>
      <c r="E430" s="49">
        <v>2455597</v>
      </c>
      <c r="F430" s="29"/>
      <c r="G430" s="109" t="s">
        <v>716</v>
      </c>
      <c r="H430" s="120" t="s">
        <v>1900</v>
      </c>
      <c r="I430" s="114" t="s">
        <v>1901</v>
      </c>
      <c r="J430" s="60" t="s">
        <v>1902</v>
      </c>
      <c r="K430" s="60" t="s">
        <v>1903</v>
      </c>
      <c r="L430" s="113" t="s">
        <v>1925</v>
      </c>
      <c r="M430" s="29" t="s">
        <v>1791</v>
      </c>
      <c r="N430" s="29" t="s">
        <v>1742</v>
      </c>
      <c r="O430" s="109"/>
      <c r="P430" s="29" t="s">
        <v>1793</v>
      </c>
      <c r="Q430" s="24" t="s">
        <v>17</v>
      </c>
      <c r="R430" s="66" t="s">
        <v>1744</v>
      </c>
      <c r="S430" s="29" t="s">
        <v>68</v>
      </c>
      <c r="T430" s="29" t="s">
        <v>1905</v>
      </c>
      <c r="U430" s="107" t="s">
        <v>1906</v>
      </c>
      <c r="V430" s="31"/>
      <c r="W430" s="66" t="s">
        <v>1747</v>
      </c>
      <c r="X430" s="66"/>
      <c r="Y430" s="16">
        <v>1</v>
      </c>
      <c r="Z430" s="31"/>
      <c r="AA430" s="31"/>
      <c r="AB430" s="18">
        <v>2016</v>
      </c>
      <c r="AC430" s="16" t="s">
        <v>51</v>
      </c>
      <c r="AD430" s="30"/>
      <c r="AE430" s="29"/>
      <c r="AF430" s="29"/>
      <c r="AG430" s="29"/>
    </row>
    <row r="431" spans="1:33" x14ac:dyDescent="0.4">
      <c r="A431" s="108" t="s">
        <v>1735</v>
      </c>
      <c r="B431" s="49">
        <v>13</v>
      </c>
      <c r="C431" s="17">
        <v>429</v>
      </c>
      <c r="D431" s="18" t="s">
        <v>1926</v>
      </c>
      <c r="E431" s="49">
        <v>2455597</v>
      </c>
      <c r="F431" s="29"/>
      <c r="G431" s="109" t="s">
        <v>716</v>
      </c>
      <c r="H431" s="120" t="s">
        <v>1900</v>
      </c>
      <c r="I431" s="114" t="s">
        <v>1901</v>
      </c>
      <c r="J431" s="60" t="s">
        <v>1902</v>
      </c>
      <c r="K431" s="60" t="s">
        <v>1903</v>
      </c>
      <c r="L431" s="113" t="s">
        <v>1927</v>
      </c>
      <c r="M431" s="29" t="s">
        <v>1791</v>
      </c>
      <c r="N431" s="29" t="s">
        <v>1742</v>
      </c>
      <c r="O431" s="109"/>
      <c r="P431" s="29" t="s">
        <v>1793</v>
      </c>
      <c r="Q431" s="24" t="s">
        <v>17</v>
      </c>
      <c r="R431" s="66" t="s">
        <v>1744</v>
      </c>
      <c r="S431" s="29" t="s">
        <v>68</v>
      </c>
      <c r="T431" s="29" t="s">
        <v>1905</v>
      </c>
      <c r="U431" s="107" t="s">
        <v>1906</v>
      </c>
      <c r="V431" s="31"/>
      <c r="W431" s="66" t="s">
        <v>1747</v>
      </c>
      <c r="X431" s="66"/>
      <c r="Y431" s="16">
        <v>1</v>
      </c>
      <c r="Z431" s="31"/>
      <c r="AA431" s="31"/>
      <c r="AB431" s="18">
        <v>2016</v>
      </c>
      <c r="AC431" s="16" t="s">
        <v>51</v>
      </c>
      <c r="AD431" s="30"/>
      <c r="AE431" s="29"/>
      <c r="AF431" s="29"/>
      <c r="AG431" s="29"/>
    </row>
    <row r="432" spans="1:33" x14ac:dyDescent="0.4">
      <c r="A432" s="108" t="s">
        <v>1735</v>
      </c>
      <c r="B432" s="49">
        <v>14</v>
      </c>
      <c r="C432" s="17">
        <v>430</v>
      </c>
      <c r="D432" s="18"/>
      <c r="E432" s="49">
        <v>2455597</v>
      </c>
      <c r="F432" s="29"/>
      <c r="G432" s="109" t="s">
        <v>716</v>
      </c>
      <c r="H432" s="120" t="s">
        <v>1900</v>
      </c>
      <c r="I432" s="114" t="s">
        <v>1901</v>
      </c>
      <c r="J432" s="60" t="s">
        <v>1902</v>
      </c>
      <c r="K432" s="60" t="s">
        <v>1903</v>
      </c>
      <c r="L432" s="113" t="s">
        <v>1928</v>
      </c>
      <c r="M432" s="29" t="s">
        <v>1791</v>
      </c>
      <c r="N432" s="29" t="s">
        <v>1742</v>
      </c>
      <c r="O432" s="109"/>
      <c r="P432" s="29" t="s">
        <v>1793</v>
      </c>
      <c r="Q432" s="24" t="s">
        <v>17</v>
      </c>
      <c r="R432" s="66" t="s">
        <v>1744</v>
      </c>
      <c r="S432" s="29" t="s">
        <v>68</v>
      </c>
      <c r="T432" s="29" t="s">
        <v>1905</v>
      </c>
      <c r="U432" s="107" t="s">
        <v>1906</v>
      </c>
      <c r="V432" s="31"/>
      <c r="W432" s="66" t="s">
        <v>1747</v>
      </c>
      <c r="X432" s="66"/>
      <c r="Y432" s="16">
        <v>1</v>
      </c>
      <c r="Z432" s="31"/>
      <c r="AA432" s="31"/>
      <c r="AB432" s="18">
        <v>2016</v>
      </c>
      <c r="AC432" s="16" t="s">
        <v>51</v>
      </c>
      <c r="AD432" s="30"/>
      <c r="AE432" s="29"/>
      <c r="AF432" s="29"/>
      <c r="AG432" s="29"/>
    </row>
    <row r="433" spans="1:33" x14ac:dyDescent="0.4">
      <c r="A433" s="108" t="s">
        <v>1735</v>
      </c>
      <c r="B433" s="49">
        <v>15</v>
      </c>
      <c r="C433" s="18">
        <v>431</v>
      </c>
      <c r="D433" s="116"/>
      <c r="E433" s="49">
        <v>2455597</v>
      </c>
      <c r="F433" s="29"/>
      <c r="G433" s="109" t="s">
        <v>716</v>
      </c>
      <c r="H433" s="120" t="s">
        <v>1900</v>
      </c>
      <c r="I433" s="114" t="s">
        <v>1901</v>
      </c>
      <c r="J433" s="60" t="s">
        <v>1902</v>
      </c>
      <c r="K433" s="60" t="s">
        <v>1903</v>
      </c>
      <c r="L433" s="113" t="s">
        <v>1929</v>
      </c>
      <c r="M433" s="29" t="s">
        <v>1791</v>
      </c>
      <c r="N433" s="29" t="s">
        <v>1742</v>
      </c>
      <c r="O433" s="109"/>
      <c r="P433" s="29" t="s">
        <v>1793</v>
      </c>
      <c r="Q433" s="24" t="s">
        <v>116</v>
      </c>
      <c r="R433" s="66" t="s">
        <v>1744</v>
      </c>
      <c r="S433" s="29" t="s">
        <v>68</v>
      </c>
      <c r="T433" s="29" t="s">
        <v>1905</v>
      </c>
      <c r="U433" s="107" t="s">
        <v>1906</v>
      </c>
      <c r="V433" s="31"/>
      <c r="W433" s="66" t="s">
        <v>1747</v>
      </c>
      <c r="X433" s="66"/>
      <c r="Y433" s="16">
        <v>1</v>
      </c>
      <c r="Z433" s="31"/>
      <c r="AA433" s="31"/>
      <c r="AB433" s="18">
        <v>2016</v>
      </c>
      <c r="AC433" s="16" t="s">
        <v>51</v>
      </c>
      <c r="AD433" s="30"/>
      <c r="AE433" s="29"/>
      <c r="AF433" s="29"/>
      <c r="AG433" s="29"/>
    </row>
    <row r="434" spans="1:33" x14ac:dyDescent="0.4">
      <c r="A434" s="108" t="s">
        <v>1735</v>
      </c>
      <c r="B434" s="49">
        <v>1</v>
      </c>
      <c r="C434" s="17">
        <v>432</v>
      </c>
      <c r="D434" s="18" t="s">
        <v>1930</v>
      </c>
      <c r="E434" s="49">
        <v>2604917</v>
      </c>
      <c r="F434" s="29"/>
      <c r="G434" s="109" t="s">
        <v>872</v>
      </c>
      <c r="H434" s="133" t="s">
        <v>1931</v>
      </c>
      <c r="I434" s="133" t="s">
        <v>1932</v>
      </c>
      <c r="J434" s="113" t="s">
        <v>1933</v>
      </c>
      <c r="K434" s="113" t="s">
        <v>1934</v>
      </c>
      <c r="L434" s="113" t="s">
        <v>1935</v>
      </c>
      <c r="M434" s="29" t="s">
        <v>1791</v>
      </c>
      <c r="N434" s="29" t="s">
        <v>1792</v>
      </c>
      <c r="O434" s="109"/>
      <c r="P434" s="29" t="s">
        <v>1793</v>
      </c>
      <c r="Q434" s="24" t="s">
        <v>17</v>
      </c>
      <c r="R434" s="66" t="s">
        <v>1744</v>
      </c>
      <c r="S434" s="29" t="s">
        <v>68</v>
      </c>
      <c r="T434" s="134" t="s">
        <v>1936</v>
      </c>
      <c r="U434" s="107" t="s">
        <v>1937</v>
      </c>
      <c r="V434" s="31"/>
      <c r="W434" s="29" t="s">
        <v>1747</v>
      </c>
      <c r="X434" s="66"/>
      <c r="Y434" s="16">
        <v>1</v>
      </c>
      <c r="Z434" s="31"/>
      <c r="AA434" s="31"/>
      <c r="AB434" s="18">
        <v>2016</v>
      </c>
      <c r="AC434" s="16" t="s">
        <v>51</v>
      </c>
      <c r="AD434" s="30"/>
      <c r="AE434" s="29"/>
      <c r="AF434" s="29"/>
      <c r="AG434" s="29"/>
    </row>
    <row r="435" spans="1:33" x14ac:dyDescent="0.4">
      <c r="A435" s="108" t="s">
        <v>1735</v>
      </c>
      <c r="B435" s="49">
        <v>2</v>
      </c>
      <c r="C435" s="17">
        <v>433</v>
      </c>
      <c r="D435" s="18" t="s">
        <v>1938</v>
      </c>
      <c r="E435" s="49">
        <v>2604917</v>
      </c>
      <c r="F435" s="29"/>
      <c r="G435" s="109" t="s">
        <v>872</v>
      </c>
      <c r="H435" s="133" t="s">
        <v>1931</v>
      </c>
      <c r="I435" s="133" t="s">
        <v>1932</v>
      </c>
      <c r="J435" s="113" t="s">
        <v>1933</v>
      </c>
      <c r="K435" s="113" t="s">
        <v>1934</v>
      </c>
      <c r="L435" s="113" t="s">
        <v>1939</v>
      </c>
      <c r="M435" s="29" t="s">
        <v>1791</v>
      </c>
      <c r="N435" s="29" t="s">
        <v>1792</v>
      </c>
      <c r="O435" s="109"/>
      <c r="P435" s="29" t="s">
        <v>1793</v>
      </c>
      <c r="Q435" s="24" t="s">
        <v>17</v>
      </c>
      <c r="R435" s="66" t="s">
        <v>1744</v>
      </c>
      <c r="S435" s="29" t="s">
        <v>68</v>
      </c>
      <c r="T435" s="134" t="s">
        <v>1936</v>
      </c>
      <c r="U435" s="107" t="s">
        <v>1937</v>
      </c>
      <c r="V435" s="31"/>
      <c r="W435" s="29" t="s">
        <v>1747</v>
      </c>
      <c r="X435" s="66"/>
      <c r="Y435" s="16">
        <v>1</v>
      </c>
      <c r="Z435" s="31"/>
      <c r="AA435" s="31"/>
      <c r="AB435" s="18">
        <v>2016</v>
      </c>
      <c r="AC435" s="16" t="s">
        <v>51</v>
      </c>
      <c r="AD435" s="30"/>
      <c r="AE435" s="29"/>
      <c r="AF435" s="29"/>
      <c r="AG435" s="29"/>
    </row>
    <row r="436" spans="1:33" x14ac:dyDescent="0.4">
      <c r="A436" s="108" t="s">
        <v>1735</v>
      </c>
      <c r="B436" s="49">
        <v>3</v>
      </c>
      <c r="C436" s="17">
        <v>434</v>
      </c>
      <c r="D436" s="18" t="s">
        <v>1940</v>
      </c>
      <c r="E436" s="49">
        <v>2604917</v>
      </c>
      <c r="F436" s="29"/>
      <c r="G436" s="109" t="s">
        <v>872</v>
      </c>
      <c r="H436" s="133" t="s">
        <v>1931</v>
      </c>
      <c r="I436" s="133" t="s">
        <v>1932</v>
      </c>
      <c r="J436" s="113" t="s">
        <v>1933</v>
      </c>
      <c r="K436" s="113" t="s">
        <v>1934</v>
      </c>
      <c r="L436" s="113" t="s">
        <v>1941</v>
      </c>
      <c r="M436" s="29" t="s">
        <v>1791</v>
      </c>
      <c r="N436" s="29" t="s">
        <v>1792</v>
      </c>
      <c r="O436" s="109"/>
      <c r="P436" s="29" t="s">
        <v>1793</v>
      </c>
      <c r="Q436" s="24" t="s">
        <v>17</v>
      </c>
      <c r="R436" s="66" t="s">
        <v>1744</v>
      </c>
      <c r="S436" s="29" t="s">
        <v>68</v>
      </c>
      <c r="T436" s="134" t="s">
        <v>1936</v>
      </c>
      <c r="U436" s="107" t="s">
        <v>1937</v>
      </c>
      <c r="V436" s="31"/>
      <c r="W436" s="29" t="s">
        <v>1747</v>
      </c>
      <c r="X436" s="66"/>
      <c r="Y436" s="16">
        <v>1</v>
      </c>
      <c r="Z436" s="31"/>
      <c r="AA436" s="31"/>
      <c r="AB436" s="18">
        <v>2016</v>
      </c>
      <c r="AC436" s="16" t="s">
        <v>51</v>
      </c>
      <c r="AD436" s="30"/>
      <c r="AE436" s="29"/>
      <c r="AF436" s="29"/>
      <c r="AG436" s="29"/>
    </row>
    <row r="437" spans="1:33" x14ac:dyDescent="0.4">
      <c r="A437" s="108" t="s">
        <v>1735</v>
      </c>
      <c r="B437" s="49">
        <v>4</v>
      </c>
      <c r="C437" s="18">
        <v>435</v>
      </c>
      <c r="D437" s="116"/>
      <c r="E437" s="49">
        <v>2604917</v>
      </c>
      <c r="F437" s="29"/>
      <c r="G437" s="109" t="s">
        <v>872</v>
      </c>
      <c r="H437" s="133" t="s">
        <v>1931</v>
      </c>
      <c r="I437" s="133" t="s">
        <v>1932</v>
      </c>
      <c r="J437" s="113" t="s">
        <v>1933</v>
      </c>
      <c r="K437" s="113" t="s">
        <v>1934</v>
      </c>
      <c r="L437" s="113" t="s">
        <v>1942</v>
      </c>
      <c r="M437" s="29" t="s">
        <v>1791</v>
      </c>
      <c r="N437" s="29" t="s">
        <v>1792</v>
      </c>
      <c r="O437" s="109"/>
      <c r="P437" s="29" t="s">
        <v>1793</v>
      </c>
      <c r="Q437" s="66" t="s">
        <v>17</v>
      </c>
      <c r="R437" s="66" t="s">
        <v>1744</v>
      </c>
      <c r="S437" s="29" t="s">
        <v>68</v>
      </c>
      <c r="T437" s="134" t="s">
        <v>1936</v>
      </c>
      <c r="U437" s="107" t="s">
        <v>1937</v>
      </c>
      <c r="V437" s="31"/>
      <c r="W437" s="29" t="s">
        <v>1747</v>
      </c>
      <c r="X437" s="66"/>
      <c r="Y437" s="16">
        <v>1</v>
      </c>
      <c r="Z437" s="31"/>
      <c r="AA437" s="31"/>
      <c r="AB437" s="18">
        <v>2016</v>
      </c>
      <c r="AC437" s="16" t="s">
        <v>51</v>
      </c>
      <c r="AD437" s="30"/>
      <c r="AE437" s="29"/>
      <c r="AF437" s="29"/>
      <c r="AG437" s="29"/>
    </row>
    <row r="438" spans="1:33" x14ac:dyDescent="0.4">
      <c r="A438" s="108" t="s">
        <v>1735</v>
      </c>
      <c r="B438" s="49">
        <v>5</v>
      </c>
      <c r="C438" s="17">
        <v>436</v>
      </c>
      <c r="D438" s="18" t="s">
        <v>1943</v>
      </c>
      <c r="E438" s="49">
        <v>2604917</v>
      </c>
      <c r="F438" s="29"/>
      <c r="G438" s="109" t="s">
        <v>872</v>
      </c>
      <c r="H438" s="133" t="s">
        <v>1931</v>
      </c>
      <c r="I438" s="133" t="s">
        <v>1932</v>
      </c>
      <c r="J438" s="113" t="s">
        <v>1933</v>
      </c>
      <c r="K438" s="113" t="s">
        <v>1934</v>
      </c>
      <c r="L438" s="113" t="s">
        <v>1944</v>
      </c>
      <c r="M438" s="29" t="s">
        <v>1791</v>
      </c>
      <c r="N438" s="29" t="s">
        <v>1792</v>
      </c>
      <c r="O438" s="109"/>
      <c r="P438" s="29" t="s">
        <v>1793</v>
      </c>
      <c r="Q438" s="24" t="s">
        <v>17</v>
      </c>
      <c r="R438" s="66" t="s">
        <v>1744</v>
      </c>
      <c r="S438" s="29" t="s">
        <v>68</v>
      </c>
      <c r="T438" s="134" t="s">
        <v>1936</v>
      </c>
      <c r="U438" s="107" t="s">
        <v>1937</v>
      </c>
      <c r="V438" s="31"/>
      <c r="W438" s="29" t="s">
        <v>1747</v>
      </c>
      <c r="X438" s="66"/>
      <c r="Y438" s="16">
        <v>1</v>
      </c>
      <c r="Z438" s="31"/>
      <c r="AA438" s="31"/>
      <c r="AB438" s="18">
        <v>2016</v>
      </c>
      <c r="AC438" s="16" t="s">
        <v>51</v>
      </c>
      <c r="AD438" s="30"/>
      <c r="AE438" s="29"/>
      <c r="AF438" s="29"/>
      <c r="AG438" s="29"/>
    </row>
    <row r="439" spans="1:33" x14ac:dyDescent="0.4">
      <c r="A439" s="108" t="s">
        <v>1735</v>
      </c>
      <c r="B439" s="49">
        <v>6</v>
      </c>
      <c r="C439" s="18">
        <v>437</v>
      </c>
      <c r="D439" s="77"/>
      <c r="E439" s="49">
        <v>2604917</v>
      </c>
      <c r="F439" s="29"/>
      <c r="G439" s="109" t="s">
        <v>872</v>
      </c>
      <c r="H439" s="133" t="s">
        <v>1931</v>
      </c>
      <c r="I439" s="133" t="s">
        <v>1932</v>
      </c>
      <c r="J439" s="113" t="s">
        <v>1933</v>
      </c>
      <c r="K439" s="113" t="s">
        <v>1934</v>
      </c>
      <c r="L439" s="113" t="s">
        <v>1945</v>
      </c>
      <c r="M439" s="29" t="s">
        <v>1791</v>
      </c>
      <c r="N439" s="29" t="s">
        <v>1792</v>
      </c>
      <c r="O439" s="109"/>
      <c r="P439" s="29" t="s">
        <v>1793</v>
      </c>
      <c r="Q439" s="66" t="s">
        <v>17</v>
      </c>
      <c r="R439" s="66" t="s">
        <v>1744</v>
      </c>
      <c r="S439" s="29" t="s">
        <v>68</v>
      </c>
      <c r="T439" s="134" t="s">
        <v>1936</v>
      </c>
      <c r="U439" s="107" t="s">
        <v>1937</v>
      </c>
      <c r="V439" s="31"/>
      <c r="W439" s="29" t="s">
        <v>1747</v>
      </c>
      <c r="X439" s="66"/>
      <c r="Y439" s="16">
        <v>1</v>
      </c>
      <c r="Z439" s="31"/>
      <c r="AA439" s="31"/>
      <c r="AB439" s="18">
        <v>2016</v>
      </c>
      <c r="AC439" s="16" t="s">
        <v>51</v>
      </c>
      <c r="AD439" s="30"/>
      <c r="AE439" s="29"/>
      <c r="AF439" s="29"/>
      <c r="AG439" s="29"/>
    </row>
    <row r="440" spans="1:33" x14ac:dyDescent="0.4">
      <c r="A440" s="108" t="s">
        <v>1735</v>
      </c>
      <c r="B440" s="49">
        <v>7</v>
      </c>
      <c r="C440" s="18">
        <v>438</v>
      </c>
      <c r="D440" s="102"/>
      <c r="E440" s="49">
        <v>2604917</v>
      </c>
      <c r="F440" s="29"/>
      <c r="G440" s="109" t="s">
        <v>872</v>
      </c>
      <c r="H440" s="133" t="s">
        <v>1931</v>
      </c>
      <c r="I440" s="133" t="s">
        <v>1932</v>
      </c>
      <c r="J440" s="113" t="s">
        <v>1933</v>
      </c>
      <c r="K440" s="113" t="s">
        <v>1934</v>
      </c>
      <c r="L440" s="113" t="s">
        <v>1946</v>
      </c>
      <c r="M440" s="29" t="s">
        <v>1791</v>
      </c>
      <c r="N440" s="29" t="s">
        <v>1792</v>
      </c>
      <c r="O440" s="109"/>
      <c r="P440" s="29" t="s">
        <v>1793</v>
      </c>
      <c r="Q440" s="66" t="s">
        <v>17</v>
      </c>
      <c r="R440" s="66" t="s">
        <v>1744</v>
      </c>
      <c r="S440" s="29" t="s">
        <v>68</v>
      </c>
      <c r="T440" s="134" t="s">
        <v>1936</v>
      </c>
      <c r="U440" s="107" t="s">
        <v>1937</v>
      </c>
      <c r="V440" s="31"/>
      <c r="W440" s="29" t="s">
        <v>1747</v>
      </c>
      <c r="X440" s="66"/>
      <c r="Y440" s="16">
        <v>1</v>
      </c>
      <c r="Z440" s="31"/>
      <c r="AA440" s="31"/>
      <c r="AB440" s="18">
        <v>2016</v>
      </c>
      <c r="AC440" s="16" t="s">
        <v>51</v>
      </c>
      <c r="AD440" s="30"/>
      <c r="AE440" s="29"/>
      <c r="AF440" s="29"/>
      <c r="AG440" s="29"/>
    </row>
    <row r="441" spans="1:33" x14ac:dyDescent="0.4">
      <c r="A441" s="108" t="s">
        <v>1735</v>
      </c>
      <c r="B441" s="49">
        <v>8</v>
      </c>
      <c r="C441" s="17">
        <v>439</v>
      </c>
      <c r="D441" s="18" t="s">
        <v>1947</v>
      </c>
      <c r="E441" s="49">
        <v>2604917</v>
      </c>
      <c r="F441" s="29"/>
      <c r="G441" s="109" t="s">
        <v>872</v>
      </c>
      <c r="H441" s="133" t="s">
        <v>1931</v>
      </c>
      <c r="I441" s="133" t="s">
        <v>1932</v>
      </c>
      <c r="J441" s="113" t="s">
        <v>1933</v>
      </c>
      <c r="K441" s="113" t="s">
        <v>1934</v>
      </c>
      <c r="L441" s="113" t="s">
        <v>1948</v>
      </c>
      <c r="M441" s="29" t="s">
        <v>1791</v>
      </c>
      <c r="N441" s="29" t="s">
        <v>1792</v>
      </c>
      <c r="O441" s="109"/>
      <c r="P441" s="29" t="s">
        <v>1793</v>
      </c>
      <c r="Q441" s="24" t="s">
        <v>17</v>
      </c>
      <c r="R441" s="66" t="s">
        <v>1744</v>
      </c>
      <c r="S441" s="29" t="s">
        <v>68</v>
      </c>
      <c r="T441" s="134" t="s">
        <v>1936</v>
      </c>
      <c r="U441" s="107" t="s">
        <v>1937</v>
      </c>
      <c r="V441" s="31"/>
      <c r="W441" s="29" t="s">
        <v>1747</v>
      </c>
      <c r="X441" s="66"/>
      <c r="Y441" s="16">
        <v>1</v>
      </c>
      <c r="Z441" s="31"/>
      <c r="AA441" s="31"/>
      <c r="AB441" s="18">
        <v>2016</v>
      </c>
      <c r="AC441" s="16" t="s">
        <v>131</v>
      </c>
      <c r="AD441" s="30"/>
      <c r="AE441" s="29"/>
      <c r="AF441" s="29"/>
      <c r="AG441" s="29"/>
    </row>
    <row r="442" spans="1:33" x14ac:dyDescent="0.4">
      <c r="A442" s="108" t="s">
        <v>1735</v>
      </c>
      <c r="B442" s="49">
        <v>9</v>
      </c>
      <c r="C442" s="18">
        <v>440</v>
      </c>
      <c r="D442" s="116"/>
      <c r="E442" s="49">
        <v>2604917</v>
      </c>
      <c r="F442" s="29"/>
      <c r="G442" s="109" t="s">
        <v>872</v>
      </c>
      <c r="H442" s="133" t="s">
        <v>1931</v>
      </c>
      <c r="I442" s="133" t="s">
        <v>1932</v>
      </c>
      <c r="J442" s="113" t="s">
        <v>1933</v>
      </c>
      <c r="K442" s="113" t="s">
        <v>1934</v>
      </c>
      <c r="L442" s="113" t="s">
        <v>1949</v>
      </c>
      <c r="M442" s="29" t="s">
        <v>1791</v>
      </c>
      <c r="N442" s="29" t="s">
        <v>1792</v>
      </c>
      <c r="O442" s="109"/>
      <c r="P442" s="29" t="s">
        <v>1793</v>
      </c>
      <c r="Q442" s="24" t="s">
        <v>116</v>
      </c>
      <c r="R442" s="66" t="s">
        <v>1744</v>
      </c>
      <c r="S442" s="29" t="s">
        <v>68</v>
      </c>
      <c r="T442" s="134" t="s">
        <v>1936</v>
      </c>
      <c r="U442" s="107" t="s">
        <v>1937</v>
      </c>
      <c r="V442" s="31"/>
      <c r="W442" s="29" t="s">
        <v>1747</v>
      </c>
      <c r="X442" s="66"/>
      <c r="Y442" s="16">
        <v>1</v>
      </c>
      <c r="Z442" s="31"/>
      <c r="AA442" s="31"/>
      <c r="AB442" s="18">
        <v>2016</v>
      </c>
      <c r="AC442" s="16" t="s">
        <v>51</v>
      </c>
      <c r="AD442" s="30"/>
      <c r="AE442" s="29"/>
      <c r="AF442" s="29"/>
      <c r="AG442" s="29"/>
    </row>
    <row r="443" spans="1:33" x14ac:dyDescent="0.4">
      <c r="A443" s="108" t="s">
        <v>1735</v>
      </c>
      <c r="B443" s="49">
        <v>10</v>
      </c>
      <c r="C443" s="17">
        <v>441</v>
      </c>
      <c r="D443" s="18" t="s">
        <v>1950</v>
      </c>
      <c r="E443" s="49">
        <v>2604917</v>
      </c>
      <c r="F443" s="29"/>
      <c r="G443" s="109" t="s">
        <v>872</v>
      </c>
      <c r="H443" s="133" t="s">
        <v>1931</v>
      </c>
      <c r="I443" s="133" t="s">
        <v>1932</v>
      </c>
      <c r="J443" s="113" t="s">
        <v>1933</v>
      </c>
      <c r="K443" s="113" t="s">
        <v>1934</v>
      </c>
      <c r="L443" s="113" t="s">
        <v>1951</v>
      </c>
      <c r="M443" s="29" t="s">
        <v>1791</v>
      </c>
      <c r="N443" s="29" t="s">
        <v>1792</v>
      </c>
      <c r="O443" s="109"/>
      <c r="P443" s="29" t="s">
        <v>1793</v>
      </c>
      <c r="Q443" s="24" t="s">
        <v>17</v>
      </c>
      <c r="R443" s="66" t="s">
        <v>1744</v>
      </c>
      <c r="S443" s="29" t="s">
        <v>68</v>
      </c>
      <c r="T443" s="134" t="s">
        <v>1936</v>
      </c>
      <c r="U443" s="107" t="s">
        <v>1937</v>
      </c>
      <c r="V443" s="31"/>
      <c r="W443" s="29" t="s">
        <v>1747</v>
      </c>
      <c r="X443" s="66"/>
      <c r="Y443" s="16">
        <v>1</v>
      </c>
      <c r="Z443" s="31"/>
      <c r="AA443" s="31"/>
      <c r="AB443" s="18">
        <v>2016</v>
      </c>
      <c r="AC443" s="16" t="s">
        <v>51</v>
      </c>
      <c r="AD443" s="30"/>
      <c r="AE443" s="29"/>
      <c r="AF443" s="29"/>
      <c r="AG443" s="29"/>
    </row>
    <row r="444" spans="1:33" x14ac:dyDescent="0.4">
      <c r="A444" s="108" t="s">
        <v>1735</v>
      </c>
      <c r="B444" s="49">
        <v>11</v>
      </c>
      <c r="C444" s="18">
        <v>442</v>
      </c>
      <c r="D444" s="77"/>
      <c r="E444" s="49">
        <v>2604917</v>
      </c>
      <c r="F444" s="29"/>
      <c r="G444" s="109" t="s">
        <v>872</v>
      </c>
      <c r="H444" s="133" t="s">
        <v>1931</v>
      </c>
      <c r="I444" s="133" t="s">
        <v>1932</v>
      </c>
      <c r="J444" s="113" t="s">
        <v>1933</v>
      </c>
      <c r="K444" s="113" t="s">
        <v>1934</v>
      </c>
      <c r="L444" s="113" t="s">
        <v>1952</v>
      </c>
      <c r="M444" s="29" t="s">
        <v>1791</v>
      </c>
      <c r="N444" s="29" t="s">
        <v>1792</v>
      </c>
      <c r="O444" s="109"/>
      <c r="P444" s="29" t="s">
        <v>1793</v>
      </c>
      <c r="Q444" s="24" t="s">
        <v>116</v>
      </c>
      <c r="R444" s="66" t="s">
        <v>1744</v>
      </c>
      <c r="S444" s="29" t="s">
        <v>1760</v>
      </c>
      <c r="T444" s="134" t="s">
        <v>1936</v>
      </c>
      <c r="U444" s="107" t="s">
        <v>1937</v>
      </c>
      <c r="V444" s="31"/>
      <c r="W444" s="29" t="s">
        <v>1747</v>
      </c>
      <c r="X444" s="66"/>
      <c r="Y444" s="16">
        <v>1</v>
      </c>
      <c r="Z444" s="31"/>
      <c r="AA444" s="31"/>
      <c r="AB444" s="18">
        <v>2016</v>
      </c>
      <c r="AC444" s="16" t="s">
        <v>51</v>
      </c>
      <c r="AD444" s="30"/>
      <c r="AE444" s="29"/>
      <c r="AF444" s="29"/>
      <c r="AG444" s="29"/>
    </row>
    <row r="445" spans="1:33" x14ac:dyDescent="0.4">
      <c r="A445" s="108" t="s">
        <v>1735</v>
      </c>
      <c r="B445" s="49">
        <v>12</v>
      </c>
      <c r="C445" s="18">
        <v>443</v>
      </c>
      <c r="D445" s="17"/>
      <c r="E445" s="49">
        <v>2604917</v>
      </c>
      <c r="F445" s="29"/>
      <c r="G445" s="109" t="s">
        <v>872</v>
      </c>
      <c r="H445" s="133" t="s">
        <v>1931</v>
      </c>
      <c r="I445" s="133" t="s">
        <v>1932</v>
      </c>
      <c r="J445" s="113" t="s">
        <v>1933</v>
      </c>
      <c r="K445" s="113" t="s">
        <v>1934</v>
      </c>
      <c r="L445" s="113" t="s">
        <v>1953</v>
      </c>
      <c r="M445" s="29" t="s">
        <v>1791</v>
      </c>
      <c r="N445" s="29" t="s">
        <v>1792</v>
      </c>
      <c r="O445" s="109"/>
      <c r="P445" s="29" t="s">
        <v>1793</v>
      </c>
      <c r="Q445" s="24" t="s">
        <v>116</v>
      </c>
      <c r="R445" s="66" t="s">
        <v>1744</v>
      </c>
      <c r="S445" s="29" t="s">
        <v>1760</v>
      </c>
      <c r="T445" s="134" t="s">
        <v>1936</v>
      </c>
      <c r="U445" s="107" t="s">
        <v>1937</v>
      </c>
      <c r="V445" s="31"/>
      <c r="W445" s="29" t="s">
        <v>1747</v>
      </c>
      <c r="X445" s="66"/>
      <c r="Y445" s="16">
        <v>1</v>
      </c>
      <c r="Z445" s="31"/>
      <c r="AA445" s="31"/>
      <c r="AB445" s="18">
        <v>2016</v>
      </c>
      <c r="AC445" s="16" t="s">
        <v>51</v>
      </c>
      <c r="AD445" s="30"/>
      <c r="AE445" s="29"/>
      <c r="AF445" s="29"/>
      <c r="AG445" s="29"/>
    </row>
    <row r="446" spans="1:33" x14ac:dyDescent="0.4">
      <c r="A446" s="108" t="s">
        <v>1735</v>
      </c>
      <c r="B446" s="49">
        <v>13</v>
      </c>
      <c r="C446" s="18">
        <v>444</v>
      </c>
      <c r="D446" s="17"/>
      <c r="E446" s="49">
        <v>2604917</v>
      </c>
      <c r="F446" s="29"/>
      <c r="G446" s="109" t="s">
        <v>872</v>
      </c>
      <c r="H446" s="133" t="s">
        <v>1931</v>
      </c>
      <c r="I446" s="133" t="s">
        <v>1932</v>
      </c>
      <c r="J446" s="113" t="s">
        <v>1933</v>
      </c>
      <c r="K446" s="113" t="s">
        <v>1934</v>
      </c>
      <c r="L446" s="113" t="s">
        <v>1954</v>
      </c>
      <c r="M446" s="29" t="s">
        <v>1791</v>
      </c>
      <c r="N446" s="29" t="s">
        <v>1792</v>
      </c>
      <c r="O446" s="109"/>
      <c r="P446" s="29" t="s">
        <v>1793</v>
      </c>
      <c r="Q446" s="24" t="s">
        <v>116</v>
      </c>
      <c r="R446" s="66" t="s">
        <v>1744</v>
      </c>
      <c r="S446" s="29" t="s">
        <v>1760</v>
      </c>
      <c r="T446" s="134" t="s">
        <v>1936</v>
      </c>
      <c r="U446" s="107" t="s">
        <v>1937</v>
      </c>
      <c r="V446" s="31"/>
      <c r="W446" s="29" t="s">
        <v>1747</v>
      </c>
      <c r="X446" s="66"/>
      <c r="Y446" s="16">
        <v>1</v>
      </c>
      <c r="Z446" s="31"/>
      <c r="AA446" s="31"/>
      <c r="AB446" s="18">
        <v>2016</v>
      </c>
      <c r="AC446" s="16" t="s">
        <v>51</v>
      </c>
      <c r="AD446" s="30"/>
      <c r="AE446" s="29"/>
      <c r="AF446" s="29"/>
      <c r="AG446" s="29"/>
    </row>
    <row r="447" spans="1:33" x14ac:dyDescent="0.4">
      <c r="A447" s="108" t="s">
        <v>1735</v>
      </c>
      <c r="B447" s="49">
        <v>14</v>
      </c>
      <c r="C447" s="18">
        <v>445</v>
      </c>
      <c r="D447" s="17"/>
      <c r="E447" s="49">
        <v>2604917</v>
      </c>
      <c r="F447" s="29"/>
      <c r="G447" s="109" t="s">
        <v>872</v>
      </c>
      <c r="H447" s="133" t="s">
        <v>1931</v>
      </c>
      <c r="I447" s="133" t="s">
        <v>1932</v>
      </c>
      <c r="J447" s="113" t="s">
        <v>1933</v>
      </c>
      <c r="K447" s="113" t="s">
        <v>1934</v>
      </c>
      <c r="L447" s="113" t="s">
        <v>1955</v>
      </c>
      <c r="M447" s="29" t="s">
        <v>1791</v>
      </c>
      <c r="N447" s="29" t="s">
        <v>1792</v>
      </c>
      <c r="O447" s="109"/>
      <c r="P447" s="29" t="s">
        <v>1793</v>
      </c>
      <c r="Q447" s="24" t="s">
        <v>116</v>
      </c>
      <c r="R447" s="66" t="s">
        <v>1744</v>
      </c>
      <c r="S447" s="29" t="s">
        <v>1760</v>
      </c>
      <c r="T447" s="134" t="s">
        <v>1936</v>
      </c>
      <c r="U447" s="107" t="s">
        <v>1937</v>
      </c>
      <c r="V447" s="31"/>
      <c r="W447" s="29" t="s">
        <v>1747</v>
      </c>
      <c r="X447" s="66"/>
      <c r="Y447" s="16">
        <v>1</v>
      </c>
      <c r="Z447" s="31"/>
      <c r="AA447" s="31"/>
      <c r="AB447" s="18">
        <v>2016</v>
      </c>
      <c r="AC447" s="16" t="s">
        <v>51</v>
      </c>
      <c r="AD447" s="30"/>
      <c r="AE447" s="29"/>
      <c r="AF447" s="29"/>
      <c r="AG447" s="29"/>
    </row>
    <row r="448" spans="1:33" x14ac:dyDescent="0.4">
      <c r="A448" s="108" t="s">
        <v>1735</v>
      </c>
      <c r="B448" s="49">
        <v>15</v>
      </c>
      <c r="C448" s="18">
        <v>446</v>
      </c>
      <c r="D448" s="102"/>
      <c r="E448" s="49">
        <v>2604917</v>
      </c>
      <c r="F448" s="29"/>
      <c r="G448" s="109" t="s">
        <v>872</v>
      </c>
      <c r="H448" s="133" t="s">
        <v>1931</v>
      </c>
      <c r="I448" s="133" t="s">
        <v>1932</v>
      </c>
      <c r="J448" s="113" t="s">
        <v>1933</v>
      </c>
      <c r="K448" s="113" t="s">
        <v>1934</v>
      </c>
      <c r="L448" s="113" t="s">
        <v>1956</v>
      </c>
      <c r="M448" s="29" t="s">
        <v>1791</v>
      </c>
      <c r="N448" s="29" t="s">
        <v>1792</v>
      </c>
      <c r="O448" s="109"/>
      <c r="P448" s="29" t="s">
        <v>1793</v>
      </c>
      <c r="Q448" s="24" t="s">
        <v>116</v>
      </c>
      <c r="R448" s="66" t="s">
        <v>1744</v>
      </c>
      <c r="S448" s="29" t="s">
        <v>1760</v>
      </c>
      <c r="T448" s="134" t="s">
        <v>1936</v>
      </c>
      <c r="U448" s="107" t="s">
        <v>1937</v>
      </c>
      <c r="V448" s="31"/>
      <c r="W448" s="29" t="s">
        <v>1747</v>
      </c>
      <c r="X448" s="66"/>
      <c r="Y448" s="16">
        <v>1</v>
      </c>
      <c r="Z448" s="31"/>
      <c r="AA448" s="31"/>
      <c r="AB448" s="18">
        <v>2016</v>
      </c>
      <c r="AC448" s="16" t="s">
        <v>51</v>
      </c>
      <c r="AD448" s="30"/>
      <c r="AE448" s="29"/>
      <c r="AF448" s="29"/>
      <c r="AG448" s="29"/>
    </row>
    <row r="449" spans="1:33" x14ac:dyDescent="0.4">
      <c r="A449" s="108" t="s">
        <v>1735</v>
      </c>
      <c r="B449" s="49">
        <v>16</v>
      </c>
      <c r="C449" s="17">
        <v>447</v>
      </c>
      <c r="D449" s="18" t="s">
        <v>1957</v>
      </c>
      <c r="E449" s="49">
        <v>2604917</v>
      </c>
      <c r="F449" s="29"/>
      <c r="G449" s="109" t="s">
        <v>872</v>
      </c>
      <c r="H449" s="133" t="s">
        <v>1931</v>
      </c>
      <c r="I449" s="133" t="s">
        <v>1932</v>
      </c>
      <c r="J449" s="113" t="s">
        <v>1933</v>
      </c>
      <c r="K449" s="113" t="s">
        <v>1934</v>
      </c>
      <c r="L449" s="113" t="s">
        <v>1958</v>
      </c>
      <c r="M449" s="29" t="s">
        <v>1791</v>
      </c>
      <c r="N449" s="29" t="s">
        <v>1792</v>
      </c>
      <c r="O449" s="109"/>
      <c r="P449" s="29" t="s">
        <v>1793</v>
      </c>
      <c r="Q449" s="24" t="s">
        <v>17</v>
      </c>
      <c r="R449" s="66" t="s">
        <v>1744</v>
      </c>
      <c r="S449" s="29" t="s">
        <v>1760</v>
      </c>
      <c r="T449" s="134" t="s">
        <v>1936</v>
      </c>
      <c r="U449" s="107" t="s">
        <v>1937</v>
      </c>
      <c r="V449" s="31"/>
      <c r="W449" s="29" t="s">
        <v>1747</v>
      </c>
      <c r="X449" s="66"/>
      <c r="Y449" s="16">
        <v>1</v>
      </c>
      <c r="Z449" s="31"/>
      <c r="AA449" s="31"/>
      <c r="AB449" s="18">
        <v>2016</v>
      </c>
      <c r="AC449" s="16" t="s">
        <v>51</v>
      </c>
      <c r="AD449" s="30"/>
      <c r="AE449" s="29"/>
      <c r="AF449" s="29"/>
      <c r="AG449" s="29"/>
    </row>
    <row r="450" spans="1:33" x14ac:dyDescent="0.4">
      <c r="A450" s="108" t="s">
        <v>1735</v>
      </c>
      <c r="B450" s="49">
        <v>17</v>
      </c>
      <c r="C450" s="18">
        <v>448</v>
      </c>
      <c r="D450" s="77"/>
      <c r="E450" s="49">
        <v>2604917</v>
      </c>
      <c r="F450" s="29"/>
      <c r="G450" s="109" t="s">
        <v>872</v>
      </c>
      <c r="H450" s="133" t="s">
        <v>1931</v>
      </c>
      <c r="I450" s="133" t="s">
        <v>1932</v>
      </c>
      <c r="J450" s="113" t="s">
        <v>1933</v>
      </c>
      <c r="K450" s="113" t="s">
        <v>1934</v>
      </c>
      <c r="L450" s="113" t="s">
        <v>1959</v>
      </c>
      <c r="M450" s="29" t="s">
        <v>1791</v>
      </c>
      <c r="N450" s="29" t="s">
        <v>1792</v>
      </c>
      <c r="O450" s="109"/>
      <c r="P450" s="29" t="s">
        <v>1793</v>
      </c>
      <c r="Q450" s="24" t="s">
        <v>116</v>
      </c>
      <c r="R450" s="66" t="s">
        <v>1744</v>
      </c>
      <c r="S450" s="29" t="s">
        <v>1760</v>
      </c>
      <c r="T450" s="134" t="s">
        <v>1936</v>
      </c>
      <c r="U450" s="107" t="s">
        <v>1937</v>
      </c>
      <c r="V450" s="31"/>
      <c r="W450" s="29" t="s">
        <v>1747</v>
      </c>
      <c r="X450" s="66"/>
      <c r="Y450" s="16">
        <v>1</v>
      </c>
      <c r="Z450" s="31"/>
      <c r="AA450" s="31"/>
      <c r="AB450" s="18">
        <v>2018</v>
      </c>
      <c r="AC450" s="16" t="s">
        <v>131</v>
      </c>
      <c r="AD450" s="30"/>
      <c r="AE450" s="29"/>
      <c r="AF450" s="29"/>
      <c r="AG450" s="29"/>
    </row>
    <row r="451" spans="1:33" x14ac:dyDescent="0.4">
      <c r="A451" s="108" t="s">
        <v>1735</v>
      </c>
      <c r="B451" s="49">
        <v>18</v>
      </c>
      <c r="C451" s="18">
        <v>449</v>
      </c>
      <c r="D451" s="17"/>
      <c r="E451" s="49">
        <v>2604917</v>
      </c>
      <c r="F451" s="29"/>
      <c r="G451" s="109" t="s">
        <v>872</v>
      </c>
      <c r="H451" s="133" t="s">
        <v>1931</v>
      </c>
      <c r="I451" s="133" t="s">
        <v>1932</v>
      </c>
      <c r="J451" s="113" t="s">
        <v>1933</v>
      </c>
      <c r="K451" s="113" t="s">
        <v>1934</v>
      </c>
      <c r="L451" s="113" t="s">
        <v>1960</v>
      </c>
      <c r="M451" s="29" t="s">
        <v>1791</v>
      </c>
      <c r="N451" s="29" t="s">
        <v>1792</v>
      </c>
      <c r="O451" s="109"/>
      <c r="P451" s="29" t="s">
        <v>1793</v>
      </c>
      <c r="Q451" s="24" t="s">
        <v>116</v>
      </c>
      <c r="R451" s="66" t="s">
        <v>1744</v>
      </c>
      <c r="S451" s="29" t="s">
        <v>1760</v>
      </c>
      <c r="T451" s="134" t="s">
        <v>1936</v>
      </c>
      <c r="U451" s="107" t="s">
        <v>1937</v>
      </c>
      <c r="V451" s="31"/>
      <c r="W451" s="29" t="s">
        <v>1747</v>
      </c>
      <c r="X451" s="66"/>
      <c r="Y451" s="16">
        <v>1</v>
      </c>
      <c r="Z451" s="31"/>
      <c r="AA451" s="31"/>
      <c r="AB451" s="18">
        <v>2018</v>
      </c>
      <c r="AC451" s="16" t="s">
        <v>131</v>
      </c>
      <c r="AD451" s="30"/>
      <c r="AE451" s="29"/>
      <c r="AF451" s="29"/>
      <c r="AG451" s="29"/>
    </row>
    <row r="452" spans="1:33" x14ac:dyDescent="0.4">
      <c r="A452" s="108" t="s">
        <v>1735</v>
      </c>
      <c r="B452" s="49">
        <v>19</v>
      </c>
      <c r="C452" s="18">
        <v>450</v>
      </c>
      <c r="D452" s="17"/>
      <c r="E452" s="49">
        <v>2604917</v>
      </c>
      <c r="F452" s="29"/>
      <c r="G452" s="109" t="s">
        <v>872</v>
      </c>
      <c r="H452" s="133" t="s">
        <v>1931</v>
      </c>
      <c r="I452" s="133" t="s">
        <v>1932</v>
      </c>
      <c r="J452" s="113" t="s">
        <v>1933</v>
      </c>
      <c r="K452" s="113" t="s">
        <v>1934</v>
      </c>
      <c r="L452" s="113" t="s">
        <v>1961</v>
      </c>
      <c r="M452" s="29" t="s">
        <v>1791</v>
      </c>
      <c r="N452" s="29" t="s">
        <v>1792</v>
      </c>
      <c r="O452" s="109"/>
      <c r="P452" s="29" t="s">
        <v>1793</v>
      </c>
      <c r="Q452" s="24" t="s">
        <v>116</v>
      </c>
      <c r="R452" s="66" t="s">
        <v>1744</v>
      </c>
      <c r="S452" s="29" t="s">
        <v>1760</v>
      </c>
      <c r="T452" s="134" t="s">
        <v>1936</v>
      </c>
      <c r="U452" s="107" t="s">
        <v>1937</v>
      </c>
      <c r="V452" s="31"/>
      <c r="W452" s="29" t="s">
        <v>1747</v>
      </c>
      <c r="X452" s="66"/>
      <c r="Y452" s="16">
        <v>1</v>
      </c>
      <c r="Z452" s="31"/>
      <c r="AA452" s="31"/>
      <c r="AB452" s="18">
        <v>2018</v>
      </c>
      <c r="AC452" s="16" t="s">
        <v>131</v>
      </c>
      <c r="AD452" s="30"/>
      <c r="AE452" s="29"/>
      <c r="AF452" s="29"/>
      <c r="AG452" s="29"/>
    </row>
    <row r="453" spans="1:33" x14ac:dyDescent="0.4">
      <c r="A453" s="108" t="s">
        <v>1735</v>
      </c>
      <c r="B453" s="49">
        <v>20</v>
      </c>
      <c r="C453" s="18">
        <v>451</v>
      </c>
      <c r="D453" s="17"/>
      <c r="E453" s="49">
        <v>2604917</v>
      </c>
      <c r="F453" s="29"/>
      <c r="G453" s="109" t="s">
        <v>872</v>
      </c>
      <c r="H453" s="133" t="s">
        <v>1931</v>
      </c>
      <c r="I453" s="133" t="s">
        <v>1932</v>
      </c>
      <c r="J453" s="113" t="s">
        <v>1933</v>
      </c>
      <c r="K453" s="113" t="s">
        <v>1934</v>
      </c>
      <c r="L453" s="113" t="s">
        <v>1962</v>
      </c>
      <c r="M453" s="29" t="s">
        <v>1791</v>
      </c>
      <c r="N453" s="29" t="s">
        <v>1792</v>
      </c>
      <c r="O453" s="109"/>
      <c r="P453" s="29" t="s">
        <v>1793</v>
      </c>
      <c r="Q453" s="24" t="s">
        <v>116</v>
      </c>
      <c r="R453" s="66" t="s">
        <v>1744</v>
      </c>
      <c r="S453" s="29" t="s">
        <v>1760</v>
      </c>
      <c r="T453" s="134" t="s">
        <v>1936</v>
      </c>
      <c r="U453" s="107" t="s">
        <v>1937</v>
      </c>
      <c r="V453" s="31"/>
      <c r="W453" s="29" t="s">
        <v>1747</v>
      </c>
      <c r="X453" s="66"/>
      <c r="Y453" s="16">
        <v>1</v>
      </c>
      <c r="Z453" s="31"/>
      <c r="AA453" s="31"/>
      <c r="AB453" s="18">
        <v>2018</v>
      </c>
      <c r="AC453" s="16" t="s">
        <v>51</v>
      </c>
      <c r="AD453" s="30"/>
      <c r="AE453" s="29"/>
      <c r="AF453" s="29"/>
      <c r="AG453" s="29"/>
    </row>
    <row r="454" spans="1:33" x14ac:dyDescent="0.4">
      <c r="A454" s="108" t="s">
        <v>1735</v>
      </c>
      <c r="B454" s="49">
        <v>21</v>
      </c>
      <c r="C454" s="18">
        <v>452</v>
      </c>
      <c r="D454" s="17"/>
      <c r="E454" s="49">
        <v>2604917</v>
      </c>
      <c r="F454" s="29"/>
      <c r="G454" s="109" t="s">
        <v>872</v>
      </c>
      <c r="H454" s="133" t="s">
        <v>1931</v>
      </c>
      <c r="I454" s="133" t="s">
        <v>1932</v>
      </c>
      <c r="J454" s="113" t="s">
        <v>1933</v>
      </c>
      <c r="K454" s="113" t="s">
        <v>1934</v>
      </c>
      <c r="L454" s="113" t="s">
        <v>1963</v>
      </c>
      <c r="M454" s="29" t="s">
        <v>1791</v>
      </c>
      <c r="N454" s="29" t="s">
        <v>1792</v>
      </c>
      <c r="O454" s="109"/>
      <c r="P454" s="29" t="s">
        <v>1793</v>
      </c>
      <c r="Q454" s="24" t="s">
        <v>116</v>
      </c>
      <c r="R454" s="66" t="s">
        <v>1744</v>
      </c>
      <c r="S454" s="29" t="s">
        <v>1760</v>
      </c>
      <c r="T454" s="134" t="s">
        <v>1936</v>
      </c>
      <c r="U454" s="107" t="s">
        <v>1937</v>
      </c>
      <c r="V454" s="31"/>
      <c r="W454" s="29" t="s">
        <v>1747</v>
      </c>
      <c r="X454" s="66"/>
      <c r="Y454" s="16">
        <v>1</v>
      </c>
      <c r="Z454" s="31"/>
      <c r="AA454" s="31"/>
      <c r="AB454" s="18">
        <v>2018</v>
      </c>
      <c r="AC454" s="16" t="s">
        <v>51</v>
      </c>
      <c r="AD454" s="30"/>
      <c r="AE454" s="29"/>
      <c r="AF454" s="29"/>
      <c r="AG454" s="29"/>
    </row>
    <row r="455" spans="1:33" x14ac:dyDescent="0.4">
      <c r="A455" s="108" t="s">
        <v>1735</v>
      </c>
      <c r="B455" s="49">
        <v>22</v>
      </c>
      <c r="C455" s="18">
        <v>453</v>
      </c>
      <c r="D455" s="17"/>
      <c r="E455" s="49">
        <v>2604917</v>
      </c>
      <c r="F455" s="29"/>
      <c r="G455" s="109" t="s">
        <v>872</v>
      </c>
      <c r="H455" s="133" t="s">
        <v>1931</v>
      </c>
      <c r="I455" s="133" t="s">
        <v>1932</v>
      </c>
      <c r="J455" s="113" t="s">
        <v>1933</v>
      </c>
      <c r="K455" s="113" t="s">
        <v>1934</v>
      </c>
      <c r="L455" s="113" t="s">
        <v>1964</v>
      </c>
      <c r="M455" s="29" t="s">
        <v>1791</v>
      </c>
      <c r="N455" s="29" t="s">
        <v>1792</v>
      </c>
      <c r="O455" s="109"/>
      <c r="P455" s="29" t="s">
        <v>1793</v>
      </c>
      <c r="Q455" s="24" t="s">
        <v>116</v>
      </c>
      <c r="R455" s="66" t="s">
        <v>1744</v>
      </c>
      <c r="S455" s="29" t="s">
        <v>1760</v>
      </c>
      <c r="T455" s="134" t="s">
        <v>1936</v>
      </c>
      <c r="U455" s="107" t="s">
        <v>1937</v>
      </c>
      <c r="V455" s="31"/>
      <c r="W455" s="29" t="s">
        <v>1747</v>
      </c>
      <c r="X455" s="66"/>
      <c r="Y455" s="16">
        <v>1</v>
      </c>
      <c r="Z455" s="31"/>
      <c r="AA455" s="31"/>
      <c r="AB455" s="18">
        <v>2018</v>
      </c>
      <c r="AC455" s="16" t="s">
        <v>51</v>
      </c>
      <c r="AD455" s="30"/>
      <c r="AE455" s="29"/>
      <c r="AF455" s="29"/>
      <c r="AG455" s="29"/>
    </row>
    <row r="456" spans="1:33" x14ac:dyDescent="0.4">
      <c r="A456" s="108" t="s">
        <v>1735</v>
      </c>
      <c r="B456" s="49">
        <v>23</v>
      </c>
      <c r="C456" s="18">
        <v>454</v>
      </c>
      <c r="D456" s="17"/>
      <c r="E456" s="49">
        <v>2604917</v>
      </c>
      <c r="F456" s="29"/>
      <c r="G456" s="109" t="s">
        <v>872</v>
      </c>
      <c r="H456" s="133" t="s">
        <v>1931</v>
      </c>
      <c r="I456" s="133" t="s">
        <v>1932</v>
      </c>
      <c r="J456" s="113" t="s">
        <v>1933</v>
      </c>
      <c r="K456" s="113" t="s">
        <v>1934</v>
      </c>
      <c r="L456" s="113" t="s">
        <v>1965</v>
      </c>
      <c r="M456" s="29" t="s">
        <v>1791</v>
      </c>
      <c r="N456" s="29" t="s">
        <v>1792</v>
      </c>
      <c r="O456" s="109"/>
      <c r="P456" s="29" t="s">
        <v>1793</v>
      </c>
      <c r="Q456" s="24" t="s">
        <v>116</v>
      </c>
      <c r="R456" s="66" t="s">
        <v>1744</v>
      </c>
      <c r="S456" s="29" t="s">
        <v>1760</v>
      </c>
      <c r="T456" s="134" t="s">
        <v>1936</v>
      </c>
      <c r="U456" s="107" t="s">
        <v>1937</v>
      </c>
      <c r="V456" s="31"/>
      <c r="W456" s="29" t="s">
        <v>1747</v>
      </c>
      <c r="X456" s="66"/>
      <c r="Y456" s="16">
        <v>1</v>
      </c>
      <c r="Z456" s="31"/>
      <c r="AA456" s="31"/>
      <c r="AB456" s="18">
        <v>2018</v>
      </c>
      <c r="AC456" s="16" t="s">
        <v>51</v>
      </c>
      <c r="AD456" s="30"/>
      <c r="AE456" s="29"/>
      <c r="AF456" s="29"/>
      <c r="AG456" s="29"/>
    </row>
    <row r="457" spans="1:33" x14ac:dyDescent="0.4">
      <c r="A457" s="108" t="s">
        <v>1735</v>
      </c>
      <c r="B457" s="49">
        <v>24</v>
      </c>
      <c r="C457" s="18">
        <v>455</v>
      </c>
      <c r="D457" s="102"/>
      <c r="E457" s="49">
        <v>2604917</v>
      </c>
      <c r="F457" s="29"/>
      <c r="G457" s="109" t="s">
        <v>872</v>
      </c>
      <c r="H457" s="133" t="s">
        <v>1931</v>
      </c>
      <c r="I457" s="133" t="s">
        <v>1932</v>
      </c>
      <c r="J457" s="113" t="s">
        <v>1933</v>
      </c>
      <c r="K457" s="113" t="s">
        <v>1934</v>
      </c>
      <c r="L457" s="113" t="s">
        <v>1966</v>
      </c>
      <c r="M457" s="29" t="s">
        <v>1791</v>
      </c>
      <c r="N457" s="29" t="s">
        <v>1792</v>
      </c>
      <c r="O457" s="109"/>
      <c r="P457" s="29" t="s">
        <v>1793</v>
      </c>
      <c r="Q457" s="24" t="s">
        <v>116</v>
      </c>
      <c r="R457" s="66" t="s">
        <v>1744</v>
      </c>
      <c r="S457" s="29" t="s">
        <v>1760</v>
      </c>
      <c r="T457" s="134" t="s">
        <v>1936</v>
      </c>
      <c r="U457" s="107" t="s">
        <v>1937</v>
      </c>
      <c r="V457" s="31"/>
      <c r="W457" s="29" t="s">
        <v>1747</v>
      </c>
      <c r="X457" s="66"/>
      <c r="Y457" s="16">
        <v>1</v>
      </c>
      <c r="Z457" s="31"/>
      <c r="AA457" s="31"/>
      <c r="AB457" s="18">
        <v>2018</v>
      </c>
      <c r="AC457" s="16" t="s">
        <v>51</v>
      </c>
      <c r="AD457" s="30"/>
      <c r="AE457" s="29"/>
      <c r="AF457" s="29"/>
      <c r="AG457" s="29"/>
    </row>
    <row r="458" spans="1:33" x14ac:dyDescent="0.4">
      <c r="A458" s="108" t="s">
        <v>1735</v>
      </c>
      <c r="B458" s="49">
        <v>1</v>
      </c>
      <c r="C458" s="17">
        <v>456</v>
      </c>
      <c r="D458" s="18" t="s">
        <v>1967</v>
      </c>
      <c r="E458" s="49">
        <v>847464</v>
      </c>
      <c r="F458" s="29"/>
      <c r="G458" s="109" t="s">
        <v>36</v>
      </c>
      <c r="H458" s="114" t="s">
        <v>1968</v>
      </c>
      <c r="I458" s="114" t="s">
        <v>1968</v>
      </c>
      <c r="J458" s="113" t="s">
        <v>1969</v>
      </c>
      <c r="K458" s="113" t="s">
        <v>1970</v>
      </c>
      <c r="L458" s="113" t="s">
        <v>1971</v>
      </c>
      <c r="M458" s="29" t="s">
        <v>1791</v>
      </c>
      <c r="N458" s="29" t="s">
        <v>1792</v>
      </c>
      <c r="O458" s="109"/>
      <c r="P458" s="29" t="s">
        <v>1793</v>
      </c>
      <c r="Q458" s="24" t="s">
        <v>17</v>
      </c>
      <c r="R458" s="66" t="s">
        <v>1744</v>
      </c>
      <c r="S458" s="29" t="s">
        <v>68</v>
      </c>
      <c r="T458" s="49" t="s">
        <v>1972</v>
      </c>
      <c r="U458" s="107" t="s">
        <v>1973</v>
      </c>
      <c r="V458" s="31"/>
      <c r="W458" s="66" t="s">
        <v>1747</v>
      </c>
      <c r="X458" s="66"/>
      <c r="Y458" s="16">
        <v>1</v>
      </c>
      <c r="Z458" s="31"/>
      <c r="AA458" s="31"/>
      <c r="AB458" s="18">
        <v>2016</v>
      </c>
      <c r="AC458" s="16" t="s">
        <v>51</v>
      </c>
      <c r="AD458" s="30"/>
      <c r="AE458" s="29"/>
      <c r="AF458" s="29"/>
      <c r="AG458" s="29"/>
    </row>
    <row r="459" spans="1:33" x14ac:dyDescent="0.4">
      <c r="A459" s="108" t="s">
        <v>1735</v>
      </c>
      <c r="B459" s="49">
        <v>2</v>
      </c>
      <c r="C459" s="17">
        <v>457</v>
      </c>
      <c r="D459" s="18" t="s">
        <v>1974</v>
      </c>
      <c r="E459" s="49">
        <v>847464</v>
      </c>
      <c r="F459" s="29"/>
      <c r="G459" s="109" t="s">
        <v>36</v>
      </c>
      <c r="H459" s="114" t="s">
        <v>1968</v>
      </c>
      <c r="I459" s="114" t="s">
        <v>1968</v>
      </c>
      <c r="J459" s="113" t="s">
        <v>1969</v>
      </c>
      <c r="K459" s="113" t="s">
        <v>1970</v>
      </c>
      <c r="L459" s="113" t="s">
        <v>1975</v>
      </c>
      <c r="M459" s="29" t="s">
        <v>1791</v>
      </c>
      <c r="N459" s="29" t="s">
        <v>1792</v>
      </c>
      <c r="O459" s="109"/>
      <c r="P459" s="29" t="s">
        <v>1793</v>
      </c>
      <c r="Q459" s="24" t="s">
        <v>17</v>
      </c>
      <c r="R459" s="66" t="s">
        <v>1744</v>
      </c>
      <c r="S459" s="29" t="s">
        <v>68</v>
      </c>
      <c r="T459" s="49" t="s">
        <v>1972</v>
      </c>
      <c r="U459" s="107" t="s">
        <v>1973</v>
      </c>
      <c r="V459" s="31"/>
      <c r="W459" s="66" t="s">
        <v>1747</v>
      </c>
      <c r="X459" s="66"/>
      <c r="Y459" s="16">
        <v>1</v>
      </c>
      <c r="Z459" s="31"/>
      <c r="AA459" s="31"/>
      <c r="AB459" s="18">
        <v>2016</v>
      </c>
      <c r="AC459" s="16" t="s">
        <v>51</v>
      </c>
      <c r="AD459" s="30"/>
      <c r="AE459" s="29"/>
      <c r="AF459" s="29"/>
      <c r="AG459" s="29"/>
    </row>
    <row r="460" spans="1:33" x14ac:dyDescent="0.4">
      <c r="A460" s="108" t="s">
        <v>1735</v>
      </c>
      <c r="B460" s="49">
        <v>3</v>
      </c>
      <c r="C460" s="18">
        <v>458</v>
      </c>
      <c r="D460" s="116"/>
      <c r="E460" s="49">
        <v>847464</v>
      </c>
      <c r="F460" s="29"/>
      <c r="G460" s="109" t="s">
        <v>36</v>
      </c>
      <c r="H460" s="114" t="s">
        <v>1968</v>
      </c>
      <c r="I460" s="114" t="s">
        <v>1968</v>
      </c>
      <c r="J460" s="113" t="s">
        <v>1969</v>
      </c>
      <c r="K460" s="113" t="s">
        <v>1970</v>
      </c>
      <c r="L460" s="113" t="s">
        <v>1976</v>
      </c>
      <c r="M460" s="29" t="s">
        <v>1791</v>
      </c>
      <c r="N460" s="29" t="s">
        <v>1792</v>
      </c>
      <c r="O460" s="109"/>
      <c r="P460" s="29" t="s">
        <v>1793</v>
      </c>
      <c r="Q460" s="66" t="s">
        <v>17</v>
      </c>
      <c r="R460" s="66" t="s">
        <v>1744</v>
      </c>
      <c r="S460" s="29" t="s">
        <v>68</v>
      </c>
      <c r="T460" s="49" t="s">
        <v>1972</v>
      </c>
      <c r="U460" s="107" t="s">
        <v>1973</v>
      </c>
      <c r="V460" s="31"/>
      <c r="W460" s="66" t="s">
        <v>1747</v>
      </c>
      <c r="X460" s="66"/>
      <c r="Y460" s="16">
        <v>1</v>
      </c>
      <c r="Z460" s="31"/>
      <c r="AA460" s="31"/>
      <c r="AB460" s="18">
        <v>2016</v>
      </c>
      <c r="AC460" s="16" t="s">
        <v>51</v>
      </c>
      <c r="AD460" s="30"/>
      <c r="AE460" s="29"/>
      <c r="AF460" s="29"/>
      <c r="AG460" s="29"/>
    </row>
    <row r="461" spans="1:33" x14ac:dyDescent="0.4">
      <c r="A461" s="108" t="s">
        <v>1735</v>
      </c>
      <c r="B461" s="49">
        <v>4</v>
      </c>
      <c r="C461" s="17">
        <v>459</v>
      </c>
      <c r="D461" s="18" t="s">
        <v>1977</v>
      </c>
      <c r="E461" s="49">
        <v>847464</v>
      </c>
      <c r="F461" s="29"/>
      <c r="G461" s="109" t="s">
        <v>36</v>
      </c>
      <c r="H461" s="114" t="s">
        <v>1968</v>
      </c>
      <c r="I461" s="114" t="s">
        <v>1968</v>
      </c>
      <c r="J461" s="113" t="s">
        <v>1969</v>
      </c>
      <c r="K461" s="113" t="s">
        <v>1970</v>
      </c>
      <c r="L461" s="113" t="s">
        <v>1978</v>
      </c>
      <c r="M461" s="29" t="s">
        <v>1791</v>
      </c>
      <c r="N461" s="29" t="s">
        <v>1792</v>
      </c>
      <c r="O461" s="109"/>
      <c r="P461" s="29" t="s">
        <v>1793</v>
      </c>
      <c r="Q461" s="24" t="s">
        <v>17</v>
      </c>
      <c r="R461" s="66" t="s">
        <v>1744</v>
      </c>
      <c r="S461" s="29" t="s">
        <v>1760</v>
      </c>
      <c r="T461" s="49" t="s">
        <v>1972</v>
      </c>
      <c r="U461" s="107" t="s">
        <v>1973</v>
      </c>
      <c r="V461" s="31"/>
      <c r="W461" s="66" t="s">
        <v>1747</v>
      </c>
      <c r="X461" s="66"/>
      <c r="Y461" s="16">
        <v>1</v>
      </c>
      <c r="Z461" s="31"/>
      <c r="AA461" s="31"/>
      <c r="AB461" s="18">
        <v>2016</v>
      </c>
      <c r="AC461" s="16" t="s">
        <v>51</v>
      </c>
      <c r="AD461" s="30"/>
      <c r="AE461" s="29"/>
      <c r="AF461" s="29"/>
      <c r="AG461" s="29"/>
    </row>
    <row r="462" spans="1:33" x14ac:dyDescent="0.4">
      <c r="A462" s="108" t="s">
        <v>1735</v>
      </c>
      <c r="B462" s="49">
        <v>5</v>
      </c>
      <c r="C462" s="18">
        <v>460</v>
      </c>
      <c r="D462" s="116"/>
      <c r="E462" s="49">
        <v>847464</v>
      </c>
      <c r="F462" s="29"/>
      <c r="G462" s="109" t="s">
        <v>36</v>
      </c>
      <c r="H462" s="114" t="s">
        <v>1968</v>
      </c>
      <c r="I462" s="114" t="s">
        <v>1968</v>
      </c>
      <c r="J462" s="113" t="s">
        <v>1969</v>
      </c>
      <c r="K462" s="113" t="s">
        <v>1970</v>
      </c>
      <c r="L462" s="113" t="s">
        <v>1979</v>
      </c>
      <c r="M462" s="29" t="s">
        <v>1791</v>
      </c>
      <c r="N462" s="29" t="s">
        <v>1792</v>
      </c>
      <c r="O462" s="109"/>
      <c r="P462" s="29" t="s">
        <v>1793</v>
      </c>
      <c r="Q462" s="66" t="s">
        <v>17</v>
      </c>
      <c r="R462" s="66" t="s">
        <v>1744</v>
      </c>
      <c r="S462" s="29" t="s">
        <v>68</v>
      </c>
      <c r="T462" s="49" t="s">
        <v>1972</v>
      </c>
      <c r="U462" s="107" t="s">
        <v>1973</v>
      </c>
      <c r="V462" s="31"/>
      <c r="W462" s="66" t="s">
        <v>1747</v>
      </c>
      <c r="X462" s="66"/>
      <c r="Y462" s="16">
        <v>1</v>
      </c>
      <c r="Z462" s="31"/>
      <c r="AA462" s="31"/>
      <c r="AB462" s="18">
        <v>2016</v>
      </c>
      <c r="AC462" s="16" t="s">
        <v>51</v>
      </c>
      <c r="AD462" s="30"/>
      <c r="AE462" s="29"/>
      <c r="AF462" s="29"/>
      <c r="AG462" s="29"/>
    </row>
    <row r="463" spans="1:33" x14ac:dyDescent="0.4">
      <c r="A463" s="108" t="s">
        <v>1735</v>
      </c>
      <c r="B463" s="49">
        <v>6</v>
      </c>
      <c r="C463" s="17">
        <v>461</v>
      </c>
      <c r="D463" s="18" t="s">
        <v>1980</v>
      </c>
      <c r="E463" s="49">
        <v>847464</v>
      </c>
      <c r="F463" s="29"/>
      <c r="G463" s="109" t="s">
        <v>36</v>
      </c>
      <c r="H463" s="114" t="s">
        <v>1968</v>
      </c>
      <c r="I463" s="114" t="s">
        <v>1968</v>
      </c>
      <c r="J463" s="113" t="s">
        <v>1969</v>
      </c>
      <c r="K463" s="113" t="s">
        <v>1970</v>
      </c>
      <c r="L463" s="113" t="s">
        <v>1981</v>
      </c>
      <c r="M463" s="29" t="s">
        <v>1791</v>
      </c>
      <c r="N463" s="29" t="s">
        <v>1792</v>
      </c>
      <c r="O463" s="109"/>
      <c r="P463" s="29" t="s">
        <v>1793</v>
      </c>
      <c r="Q463" s="24" t="s">
        <v>17</v>
      </c>
      <c r="R463" s="66" t="s">
        <v>1744</v>
      </c>
      <c r="S463" s="29" t="s">
        <v>1760</v>
      </c>
      <c r="T463" s="49" t="s">
        <v>1972</v>
      </c>
      <c r="U463" s="107" t="s">
        <v>1973</v>
      </c>
      <c r="V463" s="31"/>
      <c r="W463" s="66" t="s">
        <v>1747</v>
      </c>
      <c r="X463" s="66"/>
      <c r="Y463" s="16">
        <v>1</v>
      </c>
      <c r="Z463" s="31"/>
      <c r="AA463" s="31"/>
      <c r="AB463" s="18">
        <v>2016</v>
      </c>
      <c r="AC463" s="16" t="s">
        <v>51</v>
      </c>
      <c r="AD463" s="30"/>
      <c r="AE463" s="29"/>
      <c r="AF463" s="29"/>
      <c r="AG463" s="29"/>
    </row>
    <row r="464" spans="1:33" x14ac:dyDescent="0.4">
      <c r="A464" s="108" t="s">
        <v>1735</v>
      </c>
      <c r="B464" s="49">
        <v>7</v>
      </c>
      <c r="C464" s="17">
        <v>462</v>
      </c>
      <c r="D464" s="18" t="s">
        <v>1982</v>
      </c>
      <c r="E464" s="49">
        <v>847464</v>
      </c>
      <c r="F464" s="29"/>
      <c r="G464" s="109" t="s">
        <v>36</v>
      </c>
      <c r="H464" s="114" t="s">
        <v>1968</v>
      </c>
      <c r="I464" s="114" t="s">
        <v>1968</v>
      </c>
      <c r="J464" s="113" t="s">
        <v>1969</v>
      </c>
      <c r="K464" s="113" t="s">
        <v>1970</v>
      </c>
      <c r="L464" s="113" t="s">
        <v>1983</v>
      </c>
      <c r="M464" s="29" t="s">
        <v>1791</v>
      </c>
      <c r="N464" s="29" t="s">
        <v>1792</v>
      </c>
      <c r="O464" s="109"/>
      <c r="P464" s="29" t="s">
        <v>1793</v>
      </c>
      <c r="Q464" s="24" t="s">
        <v>17</v>
      </c>
      <c r="R464" s="66" t="s">
        <v>1744</v>
      </c>
      <c r="S464" s="29" t="s">
        <v>1760</v>
      </c>
      <c r="T464" s="49" t="s">
        <v>1972</v>
      </c>
      <c r="U464" s="107" t="s">
        <v>1973</v>
      </c>
      <c r="V464" s="31"/>
      <c r="W464" s="66" t="s">
        <v>1747</v>
      </c>
      <c r="X464" s="66"/>
      <c r="Y464" s="16">
        <v>1</v>
      </c>
      <c r="Z464" s="31"/>
      <c r="AA464" s="31"/>
      <c r="AB464" s="18">
        <v>2016</v>
      </c>
      <c r="AC464" s="16" t="s">
        <v>51</v>
      </c>
      <c r="AD464" s="30"/>
      <c r="AE464" s="29"/>
      <c r="AF464" s="29"/>
      <c r="AG464" s="29"/>
    </row>
    <row r="465" spans="1:33" x14ac:dyDescent="0.4">
      <c r="A465" s="108" t="s">
        <v>1735</v>
      </c>
      <c r="B465" s="49">
        <v>8</v>
      </c>
      <c r="C465" s="17">
        <v>463</v>
      </c>
      <c r="D465" s="18" t="s">
        <v>1984</v>
      </c>
      <c r="E465" s="49">
        <v>847464</v>
      </c>
      <c r="F465" s="29"/>
      <c r="G465" s="109" t="s">
        <v>36</v>
      </c>
      <c r="H465" s="114" t="s">
        <v>1968</v>
      </c>
      <c r="I465" s="114" t="s">
        <v>1968</v>
      </c>
      <c r="J465" s="113" t="s">
        <v>1969</v>
      </c>
      <c r="K465" s="113" t="s">
        <v>1970</v>
      </c>
      <c r="L465" s="113" t="s">
        <v>1985</v>
      </c>
      <c r="M465" s="29" t="s">
        <v>1791</v>
      </c>
      <c r="N465" s="29" t="s">
        <v>1792</v>
      </c>
      <c r="O465" s="109"/>
      <c r="P465" s="29" t="s">
        <v>1793</v>
      </c>
      <c r="Q465" s="24" t="s">
        <v>17</v>
      </c>
      <c r="R465" s="66" t="s">
        <v>1744</v>
      </c>
      <c r="S465" s="29" t="s">
        <v>1760</v>
      </c>
      <c r="T465" s="49" t="s">
        <v>1972</v>
      </c>
      <c r="U465" s="107" t="s">
        <v>1973</v>
      </c>
      <c r="V465" s="31"/>
      <c r="W465" s="66" t="s">
        <v>1747</v>
      </c>
      <c r="X465" s="66"/>
      <c r="Y465" s="16">
        <v>1</v>
      </c>
      <c r="Z465" s="31"/>
      <c r="AA465" s="31"/>
      <c r="AB465" s="18">
        <v>2016</v>
      </c>
      <c r="AC465" s="16" t="s">
        <v>51</v>
      </c>
      <c r="AD465" s="30"/>
      <c r="AE465" s="29"/>
      <c r="AF465" s="29"/>
      <c r="AG465" s="29"/>
    </row>
    <row r="466" spans="1:33" x14ac:dyDescent="0.4">
      <c r="A466" s="108" t="s">
        <v>1735</v>
      </c>
      <c r="B466" s="49">
        <v>9</v>
      </c>
      <c r="C466" s="17">
        <v>464</v>
      </c>
      <c r="D466" s="18" t="s">
        <v>1986</v>
      </c>
      <c r="E466" s="49">
        <v>847464</v>
      </c>
      <c r="F466" s="29"/>
      <c r="G466" s="109" t="s">
        <v>36</v>
      </c>
      <c r="H466" s="114" t="s">
        <v>1968</v>
      </c>
      <c r="I466" s="114" t="s">
        <v>1968</v>
      </c>
      <c r="J466" s="113" t="s">
        <v>1969</v>
      </c>
      <c r="K466" s="113" t="s">
        <v>1970</v>
      </c>
      <c r="L466" s="113" t="s">
        <v>1987</v>
      </c>
      <c r="M466" s="29" t="s">
        <v>1791</v>
      </c>
      <c r="N466" s="29" t="s">
        <v>1792</v>
      </c>
      <c r="O466" s="109"/>
      <c r="P466" s="29" t="s">
        <v>1793</v>
      </c>
      <c r="Q466" s="24" t="s">
        <v>17</v>
      </c>
      <c r="R466" s="66" t="s">
        <v>1744</v>
      </c>
      <c r="S466" s="29" t="s">
        <v>1760</v>
      </c>
      <c r="T466" s="49" t="s">
        <v>1972</v>
      </c>
      <c r="U466" s="107" t="s">
        <v>1973</v>
      </c>
      <c r="V466" s="31"/>
      <c r="W466" s="66" t="s">
        <v>1747</v>
      </c>
      <c r="X466" s="66"/>
      <c r="Y466" s="16">
        <v>1</v>
      </c>
      <c r="Z466" s="31"/>
      <c r="AA466" s="31"/>
      <c r="AB466" s="18">
        <v>2016</v>
      </c>
      <c r="AC466" s="16" t="s">
        <v>51</v>
      </c>
      <c r="AD466" s="30"/>
      <c r="AE466" s="29"/>
      <c r="AF466" s="29"/>
      <c r="AG466" s="29"/>
    </row>
    <row r="467" spans="1:33" x14ac:dyDescent="0.4">
      <c r="A467" s="108" t="s">
        <v>1735</v>
      </c>
      <c r="B467" s="49">
        <v>10</v>
      </c>
      <c r="C467" s="18">
        <v>465</v>
      </c>
      <c r="D467" s="116"/>
      <c r="E467" s="49">
        <v>847464</v>
      </c>
      <c r="F467" s="29"/>
      <c r="G467" s="109" t="s">
        <v>36</v>
      </c>
      <c r="H467" s="114" t="s">
        <v>1968</v>
      </c>
      <c r="I467" s="114" t="s">
        <v>1968</v>
      </c>
      <c r="J467" s="113" t="s">
        <v>1969</v>
      </c>
      <c r="K467" s="113" t="s">
        <v>1970</v>
      </c>
      <c r="L467" s="113" t="s">
        <v>1988</v>
      </c>
      <c r="M467" s="29" t="s">
        <v>1791</v>
      </c>
      <c r="N467" s="29" t="s">
        <v>1792</v>
      </c>
      <c r="O467" s="109"/>
      <c r="P467" s="29" t="s">
        <v>1793</v>
      </c>
      <c r="Q467" s="66" t="s">
        <v>17</v>
      </c>
      <c r="R467" s="66" t="s">
        <v>1744</v>
      </c>
      <c r="S467" s="29" t="s">
        <v>1760</v>
      </c>
      <c r="T467" s="49" t="s">
        <v>1972</v>
      </c>
      <c r="U467" s="107" t="s">
        <v>1973</v>
      </c>
      <c r="V467" s="31"/>
      <c r="W467" s="66" t="s">
        <v>1747</v>
      </c>
      <c r="X467" s="66"/>
      <c r="Y467" s="16">
        <v>1</v>
      </c>
      <c r="Z467" s="31"/>
      <c r="AA467" s="31"/>
      <c r="AB467" s="18">
        <v>2016</v>
      </c>
      <c r="AC467" s="16" t="s">
        <v>51</v>
      </c>
      <c r="AD467" s="30"/>
      <c r="AE467" s="29"/>
      <c r="AF467" s="29"/>
      <c r="AG467" s="29"/>
    </row>
    <row r="468" spans="1:33" x14ac:dyDescent="0.4">
      <c r="A468" s="108" t="s">
        <v>1735</v>
      </c>
      <c r="B468" s="49">
        <v>11</v>
      </c>
      <c r="C468" s="17">
        <v>466</v>
      </c>
      <c r="D468" s="18" t="s">
        <v>1989</v>
      </c>
      <c r="E468" s="49">
        <v>847464</v>
      </c>
      <c r="F468" s="29"/>
      <c r="G468" s="109" t="s">
        <v>36</v>
      </c>
      <c r="H468" s="114" t="s">
        <v>1968</v>
      </c>
      <c r="I468" s="114" t="s">
        <v>1968</v>
      </c>
      <c r="J468" s="113" t="s">
        <v>1969</v>
      </c>
      <c r="K468" s="113" t="s">
        <v>1970</v>
      </c>
      <c r="L468" s="113" t="s">
        <v>1990</v>
      </c>
      <c r="M468" s="29" t="s">
        <v>1791</v>
      </c>
      <c r="N468" s="29" t="s">
        <v>1792</v>
      </c>
      <c r="O468" s="109"/>
      <c r="P468" s="29" t="s">
        <v>1793</v>
      </c>
      <c r="Q468" s="24" t="s">
        <v>17</v>
      </c>
      <c r="R468" s="66" t="s">
        <v>1744</v>
      </c>
      <c r="S468" s="29" t="s">
        <v>1760</v>
      </c>
      <c r="T468" s="49" t="s">
        <v>1972</v>
      </c>
      <c r="U468" s="107" t="s">
        <v>1973</v>
      </c>
      <c r="V468" s="31"/>
      <c r="W468" s="66" t="s">
        <v>1747</v>
      </c>
      <c r="X468" s="66"/>
      <c r="Y468" s="16">
        <v>1</v>
      </c>
      <c r="Z468" s="31"/>
      <c r="AA468" s="31"/>
      <c r="AB468" s="18">
        <v>2018</v>
      </c>
      <c r="AC468" s="16" t="s">
        <v>51</v>
      </c>
      <c r="AD468" s="30"/>
      <c r="AE468" s="29"/>
      <c r="AF468" s="29"/>
      <c r="AG468" s="29"/>
    </row>
    <row r="469" spans="1:33" x14ac:dyDescent="0.4">
      <c r="A469" s="108" t="s">
        <v>1735</v>
      </c>
      <c r="B469" s="49">
        <v>12</v>
      </c>
      <c r="C469" s="17">
        <v>467</v>
      </c>
      <c r="D469" s="18" t="s">
        <v>1991</v>
      </c>
      <c r="E469" s="49">
        <v>847464</v>
      </c>
      <c r="F469" s="29"/>
      <c r="G469" s="109" t="s">
        <v>36</v>
      </c>
      <c r="H469" s="114" t="s">
        <v>1968</v>
      </c>
      <c r="I469" s="114" t="s">
        <v>1968</v>
      </c>
      <c r="J469" s="113" t="s">
        <v>1969</v>
      </c>
      <c r="K469" s="113" t="s">
        <v>1970</v>
      </c>
      <c r="L469" s="113" t="s">
        <v>1992</v>
      </c>
      <c r="M469" s="29" t="s">
        <v>1791</v>
      </c>
      <c r="N469" s="29" t="s">
        <v>1792</v>
      </c>
      <c r="O469" s="109"/>
      <c r="P469" s="29" t="s">
        <v>1793</v>
      </c>
      <c r="Q469" s="24" t="s">
        <v>17</v>
      </c>
      <c r="R469" s="66" t="s">
        <v>1744</v>
      </c>
      <c r="S469" s="29" t="s">
        <v>1760</v>
      </c>
      <c r="T469" s="49" t="s">
        <v>1972</v>
      </c>
      <c r="U469" s="107" t="s">
        <v>1973</v>
      </c>
      <c r="V469" s="31"/>
      <c r="W469" s="66" t="s">
        <v>1747</v>
      </c>
      <c r="X469" s="66"/>
      <c r="Y469" s="16">
        <v>1</v>
      </c>
      <c r="Z469" s="31"/>
      <c r="AA469" s="31"/>
      <c r="AB469" s="18">
        <v>2018</v>
      </c>
      <c r="AC469" s="16" t="s">
        <v>51</v>
      </c>
      <c r="AD469" s="30"/>
      <c r="AE469" s="29"/>
      <c r="AF469" s="29"/>
      <c r="AG469" s="29"/>
    </row>
    <row r="470" spans="1:33" x14ac:dyDescent="0.4">
      <c r="A470" s="108" t="s">
        <v>1735</v>
      </c>
      <c r="B470" s="49">
        <v>13</v>
      </c>
      <c r="C470" s="17">
        <v>468</v>
      </c>
      <c r="D470" s="18" t="s">
        <v>1993</v>
      </c>
      <c r="E470" s="49">
        <v>847464</v>
      </c>
      <c r="F470" s="29"/>
      <c r="G470" s="109" t="s">
        <v>36</v>
      </c>
      <c r="H470" s="114" t="s">
        <v>1968</v>
      </c>
      <c r="I470" s="114" t="s">
        <v>1968</v>
      </c>
      <c r="J470" s="113" t="s">
        <v>1969</v>
      </c>
      <c r="K470" s="113" t="s">
        <v>1970</v>
      </c>
      <c r="L470" s="113" t="s">
        <v>1994</v>
      </c>
      <c r="M470" s="29" t="s">
        <v>1791</v>
      </c>
      <c r="N470" s="29" t="s">
        <v>1792</v>
      </c>
      <c r="O470" s="109"/>
      <c r="P470" s="29" t="s">
        <v>1793</v>
      </c>
      <c r="Q470" s="24" t="s">
        <v>17</v>
      </c>
      <c r="R470" s="66" t="s">
        <v>1744</v>
      </c>
      <c r="S470" s="29" t="s">
        <v>1760</v>
      </c>
      <c r="T470" s="49" t="s">
        <v>1972</v>
      </c>
      <c r="U470" s="107" t="s">
        <v>1973</v>
      </c>
      <c r="V470" s="31"/>
      <c r="W470" s="66" t="s">
        <v>1747</v>
      </c>
      <c r="X470" s="66"/>
      <c r="Y470" s="16">
        <v>1</v>
      </c>
      <c r="Z470" s="31"/>
      <c r="AA470" s="31"/>
      <c r="AB470" s="18">
        <v>2018</v>
      </c>
      <c r="AC470" s="16" t="s">
        <v>51</v>
      </c>
      <c r="AD470" s="30"/>
      <c r="AE470" s="29"/>
      <c r="AF470" s="29"/>
      <c r="AG470" s="29"/>
    </row>
    <row r="471" spans="1:33" x14ac:dyDescent="0.4">
      <c r="A471" s="108" t="s">
        <v>1735</v>
      </c>
      <c r="B471" s="49">
        <v>14</v>
      </c>
      <c r="C471" s="18">
        <v>469</v>
      </c>
      <c r="D471" s="116"/>
      <c r="E471" s="49">
        <v>847464</v>
      </c>
      <c r="F471" s="29"/>
      <c r="G471" s="109" t="s">
        <v>36</v>
      </c>
      <c r="H471" s="114" t="s">
        <v>1968</v>
      </c>
      <c r="I471" s="114" t="s">
        <v>1968</v>
      </c>
      <c r="J471" s="113" t="s">
        <v>1969</v>
      </c>
      <c r="K471" s="113" t="s">
        <v>1970</v>
      </c>
      <c r="L471" s="113" t="s">
        <v>1995</v>
      </c>
      <c r="M471" s="29" t="s">
        <v>1791</v>
      </c>
      <c r="N471" s="29" t="s">
        <v>1792</v>
      </c>
      <c r="O471" s="109"/>
      <c r="P471" s="29" t="s">
        <v>1793</v>
      </c>
      <c r="Q471" s="24" t="s">
        <v>116</v>
      </c>
      <c r="R471" s="66" t="s">
        <v>1744</v>
      </c>
      <c r="S471" s="29" t="s">
        <v>1760</v>
      </c>
      <c r="T471" s="49" t="s">
        <v>1972</v>
      </c>
      <c r="U471" s="107" t="s">
        <v>1973</v>
      </c>
      <c r="V471" s="31"/>
      <c r="W471" s="66" t="s">
        <v>1747</v>
      </c>
      <c r="X471" s="66"/>
      <c r="Y471" s="16">
        <v>1</v>
      </c>
      <c r="Z471" s="31"/>
      <c r="AA471" s="31"/>
      <c r="AB471" s="18">
        <v>2018</v>
      </c>
      <c r="AC471" s="16" t="s">
        <v>51</v>
      </c>
      <c r="AD471" s="30"/>
      <c r="AE471" s="29"/>
      <c r="AF471" s="29"/>
      <c r="AG471" s="29"/>
    </row>
    <row r="472" spans="1:33" x14ac:dyDescent="0.4">
      <c r="A472" s="108" t="s">
        <v>1735</v>
      </c>
      <c r="B472" s="49">
        <v>15</v>
      </c>
      <c r="C472" s="17">
        <v>470</v>
      </c>
      <c r="D472" s="18" t="s">
        <v>1996</v>
      </c>
      <c r="E472" s="49">
        <v>847464</v>
      </c>
      <c r="F472" s="29"/>
      <c r="G472" s="109" t="s">
        <v>36</v>
      </c>
      <c r="H472" s="114" t="s">
        <v>1968</v>
      </c>
      <c r="I472" s="114" t="s">
        <v>1968</v>
      </c>
      <c r="J472" s="113" t="s">
        <v>1969</v>
      </c>
      <c r="K472" s="113" t="s">
        <v>1970</v>
      </c>
      <c r="L472" s="113" t="s">
        <v>1997</v>
      </c>
      <c r="M472" s="29" t="s">
        <v>1791</v>
      </c>
      <c r="N472" s="29" t="s">
        <v>1792</v>
      </c>
      <c r="O472" s="109"/>
      <c r="P472" s="29" t="s">
        <v>1793</v>
      </c>
      <c r="Q472" s="24" t="s">
        <v>17</v>
      </c>
      <c r="R472" s="66" t="s">
        <v>1744</v>
      </c>
      <c r="S472" s="29" t="s">
        <v>1760</v>
      </c>
      <c r="T472" s="49" t="s">
        <v>1972</v>
      </c>
      <c r="U472" s="107" t="s">
        <v>1973</v>
      </c>
      <c r="V472" s="31"/>
      <c r="W472" s="66" t="s">
        <v>1747</v>
      </c>
      <c r="X472" s="66"/>
      <c r="Y472" s="16">
        <v>1</v>
      </c>
      <c r="Z472" s="31"/>
      <c r="AA472" s="31"/>
      <c r="AB472" s="18">
        <v>2018</v>
      </c>
      <c r="AC472" s="16" t="s">
        <v>51</v>
      </c>
      <c r="AD472" s="30"/>
      <c r="AE472" s="29"/>
      <c r="AF472" s="29"/>
      <c r="AG472" s="29"/>
    </row>
    <row r="473" spans="1:33" x14ac:dyDescent="0.4">
      <c r="A473" s="108" t="s">
        <v>1735</v>
      </c>
      <c r="B473" s="49">
        <v>16</v>
      </c>
      <c r="C473" s="17">
        <v>471</v>
      </c>
      <c r="D473" s="18" t="s">
        <v>1998</v>
      </c>
      <c r="E473" s="49">
        <v>847464</v>
      </c>
      <c r="F473" s="29"/>
      <c r="G473" s="109" t="s">
        <v>36</v>
      </c>
      <c r="H473" s="114" t="s">
        <v>1968</v>
      </c>
      <c r="I473" s="114" t="s">
        <v>1968</v>
      </c>
      <c r="J473" s="113" t="s">
        <v>1969</v>
      </c>
      <c r="K473" s="113" t="s">
        <v>1970</v>
      </c>
      <c r="L473" s="113" t="s">
        <v>1999</v>
      </c>
      <c r="M473" s="29" t="s">
        <v>1791</v>
      </c>
      <c r="N473" s="29" t="s">
        <v>1792</v>
      </c>
      <c r="O473" s="109"/>
      <c r="P473" s="29" t="s">
        <v>1793</v>
      </c>
      <c r="Q473" s="24" t="s">
        <v>17</v>
      </c>
      <c r="R473" s="66" t="s">
        <v>1744</v>
      </c>
      <c r="S473" s="29" t="s">
        <v>1760</v>
      </c>
      <c r="T473" s="49" t="s">
        <v>1972</v>
      </c>
      <c r="U473" s="107" t="s">
        <v>1973</v>
      </c>
      <c r="V473" s="31"/>
      <c r="W473" s="66" t="s">
        <v>1747</v>
      </c>
      <c r="X473" s="66"/>
      <c r="Y473" s="16">
        <v>1</v>
      </c>
      <c r="Z473" s="31"/>
      <c r="AA473" s="31"/>
      <c r="AB473" s="18">
        <v>2018</v>
      </c>
      <c r="AC473" s="16" t="s">
        <v>51</v>
      </c>
      <c r="AD473" s="30"/>
      <c r="AE473" s="29"/>
      <c r="AF473" s="29"/>
      <c r="AG473" s="29"/>
    </row>
    <row r="474" spans="1:33" x14ac:dyDescent="0.4">
      <c r="A474" s="108" t="s">
        <v>1735</v>
      </c>
      <c r="B474" s="49">
        <v>1</v>
      </c>
      <c r="C474" s="18">
        <v>472</v>
      </c>
      <c r="D474" s="77"/>
      <c r="E474" s="49">
        <v>2319148</v>
      </c>
      <c r="F474" s="29"/>
      <c r="G474" s="109" t="s">
        <v>36</v>
      </c>
      <c r="H474" s="114" t="s">
        <v>2000</v>
      </c>
      <c r="I474" s="114" t="s">
        <v>2000</v>
      </c>
      <c r="J474" s="113" t="s">
        <v>2001</v>
      </c>
      <c r="K474" s="113" t="s">
        <v>2002</v>
      </c>
      <c r="L474" s="113" t="s">
        <v>2003</v>
      </c>
      <c r="M474" s="29" t="s">
        <v>1741</v>
      </c>
      <c r="N474" s="29" t="s">
        <v>1792</v>
      </c>
      <c r="O474" s="109"/>
      <c r="P474" s="29" t="s">
        <v>1743</v>
      </c>
      <c r="Q474" s="24" t="s">
        <v>116</v>
      </c>
      <c r="R474" s="66" t="s">
        <v>1744</v>
      </c>
      <c r="S474" s="29" t="s">
        <v>68</v>
      </c>
      <c r="T474" s="49" t="s">
        <v>2004</v>
      </c>
      <c r="U474" s="107" t="s">
        <v>2005</v>
      </c>
      <c r="V474" s="31"/>
      <c r="W474" s="66" t="s">
        <v>1747</v>
      </c>
      <c r="X474" s="66"/>
      <c r="Y474" s="16">
        <v>1</v>
      </c>
      <c r="Z474" s="31"/>
      <c r="AA474" s="31"/>
      <c r="AB474" s="18">
        <v>2016</v>
      </c>
      <c r="AC474" s="16" t="s">
        <v>51</v>
      </c>
      <c r="AD474" s="30"/>
      <c r="AE474" s="29"/>
      <c r="AF474" s="29"/>
      <c r="AG474" s="29"/>
    </row>
    <row r="475" spans="1:33" x14ac:dyDescent="0.4">
      <c r="A475" s="108" t="s">
        <v>1735</v>
      </c>
      <c r="B475" s="49">
        <v>2</v>
      </c>
      <c r="C475" s="18">
        <v>473</v>
      </c>
      <c r="D475" s="17"/>
      <c r="E475" s="49">
        <v>2319148</v>
      </c>
      <c r="F475" s="29"/>
      <c r="G475" s="109" t="s">
        <v>36</v>
      </c>
      <c r="H475" s="114" t="s">
        <v>2000</v>
      </c>
      <c r="I475" s="114" t="s">
        <v>2000</v>
      </c>
      <c r="J475" s="113" t="s">
        <v>2001</v>
      </c>
      <c r="K475" s="113" t="s">
        <v>2002</v>
      </c>
      <c r="L475" s="113" t="s">
        <v>2006</v>
      </c>
      <c r="M475" s="29" t="s">
        <v>1741</v>
      </c>
      <c r="N475" s="29" t="s">
        <v>1792</v>
      </c>
      <c r="O475" s="109"/>
      <c r="P475" s="29" t="s">
        <v>1743</v>
      </c>
      <c r="Q475" s="24" t="s">
        <v>116</v>
      </c>
      <c r="R475" s="66" t="s">
        <v>1744</v>
      </c>
      <c r="S475" s="29" t="s">
        <v>68</v>
      </c>
      <c r="T475" s="49" t="s">
        <v>2004</v>
      </c>
      <c r="U475" s="107" t="s">
        <v>2005</v>
      </c>
      <c r="V475" s="31"/>
      <c r="W475" s="66" t="s">
        <v>1747</v>
      </c>
      <c r="X475" s="66"/>
      <c r="Y475" s="16">
        <v>1</v>
      </c>
      <c r="Z475" s="31"/>
      <c r="AA475" s="31"/>
      <c r="AB475" s="18">
        <v>2016</v>
      </c>
      <c r="AC475" s="16" t="s">
        <v>51</v>
      </c>
      <c r="AD475" s="30"/>
      <c r="AE475" s="29"/>
      <c r="AF475" s="29"/>
      <c r="AG475" s="29"/>
    </row>
    <row r="476" spans="1:33" x14ac:dyDescent="0.4">
      <c r="A476" s="108" t="s">
        <v>1735</v>
      </c>
      <c r="B476" s="49">
        <v>3</v>
      </c>
      <c r="C476" s="18">
        <v>474</v>
      </c>
      <c r="D476" s="17"/>
      <c r="E476" s="49">
        <v>2319148</v>
      </c>
      <c r="F476" s="29"/>
      <c r="G476" s="109" t="s">
        <v>36</v>
      </c>
      <c r="H476" s="114" t="s">
        <v>2000</v>
      </c>
      <c r="I476" s="114" t="s">
        <v>2000</v>
      </c>
      <c r="J476" s="113" t="s">
        <v>2001</v>
      </c>
      <c r="K476" s="113" t="s">
        <v>2002</v>
      </c>
      <c r="L476" s="113" t="s">
        <v>2007</v>
      </c>
      <c r="M476" s="29" t="s">
        <v>1741</v>
      </c>
      <c r="N476" s="29" t="s">
        <v>1792</v>
      </c>
      <c r="O476" s="109"/>
      <c r="P476" s="29" t="s">
        <v>1743</v>
      </c>
      <c r="Q476" s="24" t="s">
        <v>116</v>
      </c>
      <c r="R476" s="66" t="s">
        <v>1744</v>
      </c>
      <c r="S476" s="29" t="s">
        <v>68</v>
      </c>
      <c r="T476" s="49" t="s">
        <v>2004</v>
      </c>
      <c r="U476" s="107" t="s">
        <v>2005</v>
      </c>
      <c r="V476" s="31"/>
      <c r="W476" s="66" t="s">
        <v>1747</v>
      </c>
      <c r="X476" s="66"/>
      <c r="Y476" s="16">
        <v>1</v>
      </c>
      <c r="Z476" s="31"/>
      <c r="AA476" s="31"/>
      <c r="AB476" s="18">
        <v>2016</v>
      </c>
      <c r="AC476" s="16" t="s">
        <v>51</v>
      </c>
      <c r="AD476" s="30"/>
      <c r="AE476" s="29"/>
      <c r="AF476" s="29"/>
      <c r="AG476" s="29"/>
    </row>
    <row r="477" spans="1:33" x14ac:dyDescent="0.4">
      <c r="A477" s="108" t="s">
        <v>1735</v>
      </c>
      <c r="B477" s="49">
        <v>4</v>
      </c>
      <c r="C477" s="18">
        <v>475</v>
      </c>
      <c r="D477" s="17"/>
      <c r="E477" s="49">
        <v>2319148</v>
      </c>
      <c r="F477" s="29"/>
      <c r="G477" s="109" t="s">
        <v>36</v>
      </c>
      <c r="H477" s="114" t="s">
        <v>2000</v>
      </c>
      <c r="I477" s="114" t="s">
        <v>2000</v>
      </c>
      <c r="J477" s="113" t="s">
        <v>2001</v>
      </c>
      <c r="K477" s="113" t="s">
        <v>2002</v>
      </c>
      <c r="L477" s="113" t="s">
        <v>2008</v>
      </c>
      <c r="M477" s="29" t="s">
        <v>1741</v>
      </c>
      <c r="N477" s="29" t="s">
        <v>1792</v>
      </c>
      <c r="O477" s="109"/>
      <c r="P477" s="29" t="s">
        <v>1743</v>
      </c>
      <c r="Q477" s="24" t="s">
        <v>116</v>
      </c>
      <c r="R477" s="66" t="s">
        <v>1744</v>
      </c>
      <c r="S477" s="29" t="s">
        <v>68</v>
      </c>
      <c r="T477" s="49" t="s">
        <v>2004</v>
      </c>
      <c r="U477" s="107" t="s">
        <v>2005</v>
      </c>
      <c r="V477" s="31"/>
      <c r="W477" s="66" t="s">
        <v>1747</v>
      </c>
      <c r="X477" s="66"/>
      <c r="Y477" s="16">
        <v>1</v>
      </c>
      <c r="Z477" s="31"/>
      <c r="AA477" s="31"/>
      <c r="AB477" s="18">
        <v>2016</v>
      </c>
      <c r="AC477" s="16" t="s">
        <v>51</v>
      </c>
      <c r="AD477" s="30"/>
      <c r="AE477" s="29"/>
      <c r="AF477" s="29"/>
      <c r="AG477" s="29"/>
    </row>
    <row r="478" spans="1:33" x14ac:dyDescent="0.4">
      <c r="A478" s="108" t="s">
        <v>1735</v>
      </c>
      <c r="B478" s="49">
        <v>5</v>
      </c>
      <c r="C478" s="18">
        <v>476</v>
      </c>
      <c r="D478" s="17"/>
      <c r="E478" s="49">
        <v>2319148</v>
      </c>
      <c r="F478" s="29"/>
      <c r="G478" s="109" t="s">
        <v>36</v>
      </c>
      <c r="H478" s="114" t="s">
        <v>2000</v>
      </c>
      <c r="I478" s="114" t="s">
        <v>2000</v>
      </c>
      <c r="J478" s="113" t="s">
        <v>2001</v>
      </c>
      <c r="K478" s="113" t="s">
        <v>2002</v>
      </c>
      <c r="L478" s="113" t="s">
        <v>2009</v>
      </c>
      <c r="M478" s="29" t="s">
        <v>1741</v>
      </c>
      <c r="N478" s="29" t="s">
        <v>1792</v>
      </c>
      <c r="O478" s="109"/>
      <c r="P478" s="29" t="s">
        <v>1743</v>
      </c>
      <c r="Q478" s="24" t="s">
        <v>116</v>
      </c>
      <c r="R478" s="66" t="s">
        <v>1744</v>
      </c>
      <c r="S478" s="29" t="s">
        <v>1760</v>
      </c>
      <c r="T478" s="49" t="s">
        <v>2004</v>
      </c>
      <c r="U478" s="107" t="s">
        <v>2005</v>
      </c>
      <c r="V478" s="31"/>
      <c r="W478" s="66" t="s">
        <v>1747</v>
      </c>
      <c r="X478" s="66"/>
      <c r="Y478" s="16">
        <v>1</v>
      </c>
      <c r="Z478" s="31"/>
      <c r="AA478" s="31"/>
      <c r="AB478" s="18">
        <v>2016</v>
      </c>
      <c r="AC478" s="16" t="s">
        <v>51</v>
      </c>
      <c r="AD478" s="30"/>
      <c r="AE478" s="29"/>
      <c r="AF478" s="29"/>
      <c r="AG478" s="29"/>
    </row>
    <row r="479" spans="1:33" x14ac:dyDescent="0.4">
      <c r="A479" s="108" t="s">
        <v>1735</v>
      </c>
      <c r="B479" s="49">
        <v>6</v>
      </c>
      <c r="C479" s="18">
        <v>477</v>
      </c>
      <c r="D479" s="17"/>
      <c r="E479" s="49">
        <v>2319148</v>
      </c>
      <c r="F479" s="29"/>
      <c r="G479" s="109" t="s">
        <v>36</v>
      </c>
      <c r="H479" s="114" t="s">
        <v>2000</v>
      </c>
      <c r="I479" s="114" t="s">
        <v>2000</v>
      </c>
      <c r="J479" s="113" t="s">
        <v>2001</v>
      </c>
      <c r="K479" s="113" t="s">
        <v>2002</v>
      </c>
      <c r="L479" s="113" t="s">
        <v>2010</v>
      </c>
      <c r="M479" s="29" t="s">
        <v>1741</v>
      </c>
      <c r="N479" s="29" t="s">
        <v>1792</v>
      </c>
      <c r="O479" s="109"/>
      <c r="P479" s="29" t="s">
        <v>1743</v>
      </c>
      <c r="Q479" s="24" t="s">
        <v>116</v>
      </c>
      <c r="R479" s="66" t="s">
        <v>1744</v>
      </c>
      <c r="S479" s="29" t="s">
        <v>1760</v>
      </c>
      <c r="T479" s="49" t="s">
        <v>2004</v>
      </c>
      <c r="U479" s="107" t="s">
        <v>2005</v>
      </c>
      <c r="V479" s="31"/>
      <c r="W479" s="66" t="s">
        <v>1747</v>
      </c>
      <c r="X479" s="66"/>
      <c r="Y479" s="16">
        <v>1</v>
      </c>
      <c r="Z479" s="31"/>
      <c r="AA479" s="31"/>
      <c r="AB479" s="18">
        <v>2016</v>
      </c>
      <c r="AC479" s="16" t="s">
        <v>51</v>
      </c>
      <c r="AD479" s="30"/>
      <c r="AE479" s="29"/>
      <c r="AF479" s="29"/>
      <c r="AG479" s="29"/>
    </row>
    <row r="480" spans="1:33" x14ac:dyDescent="0.4">
      <c r="A480" s="108" t="s">
        <v>1735</v>
      </c>
      <c r="B480" s="49">
        <v>7</v>
      </c>
      <c r="C480" s="18">
        <v>478</v>
      </c>
      <c r="D480" s="17"/>
      <c r="E480" s="49">
        <v>2319148</v>
      </c>
      <c r="F480" s="29"/>
      <c r="G480" s="109" t="s">
        <v>36</v>
      </c>
      <c r="H480" s="114" t="s">
        <v>2000</v>
      </c>
      <c r="I480" s="114" t="s">
        <v>2000</v>
      </c>
      <c r="J480" s="113" t="s">
        <v>2001</v>
      </c>
      <c r="K480" s="113" t="s">
        <v>2002</v>
      </c>
      <c r="L480" s="113" t="s">
        <v>2011</v>
      </c>
      <c r="M480" s="29" t="s">
        <v>1741</v>
      </c>
      <c r="N480" s="29" t="s">
        <v>1792</v>
      </c>
      <c r="O480" s="109"/>
      <c r="P480" s="29" t="s">
        <v>1743</v>
      </c>
      <c r="Q480" s="24" t="s">
        <v>116</v>
      </c>
      <c r="R480" s="66" t="s">
        <v>1744</v>
      </c>
      <c r="S480" s="29" t="s">
        <v>1760</v>
      </c>
      <c r="T480" s="49" t="s">
        <v>2004</v>
      </c>
      <c r="U480" s="107" t="s">
        <v>2005</v>
      </c>
      <c r="V480" s="31"/>
      <c r="W480" s="66" t="s">
        <v>1747</v>
      </c>
      <c r="X480" s="66"/>
      <c r="Y480" s="16">
        <v>1</v>
      </c>
      <c r="Z480" s="31"/>
      <c r="AA480" s="31"/>
      <c r="AB480" s="18">
        <v>2016</v>
      </c>
      <c r="AC480" s="16" t="s">
        <v>51</v>
      </c>
      <c r="AD480" s="30"/>
      <c r="AE480" s="29"/>
      <c r="AF480" s="29"/>
      <c r="AG480" s="29"/>
    </row>
    <row r="481" spans="1:33" x14ac:dyDescent="0.4">
      <c r="A481" s="108" t="s">
        <v>1735</v>
      </c>
      <c r="B481" s="49">
        <v>8</v>
      </c>
      <c r="C481" s="18">
        <v>479</v>
      </c>
      <c r="D481" s="17"/>
      <c r="E481" s="49">
        <v>2319148</v>
      </c>
      <c r="F481" s="29"/>
      <c r="G481" s="109" t="s">
        <v>36</v>
      </c>
      <c r="H481" s="114" t="s">
        <v>2000</v>
      </c>
      <c r="I481" s="114" t="s">
        <v>2000</v>
      </c>
      <c r="J481" s="113" t="s">
        <v>2001</v>
      </c>
      <c r="K481" s="113" t="s">
        <v>2002</v>
      </c>
      <c r="L481" s="113" t="s">
        <v>2012</v>
      </c>
      <c r="M481" s="29" t="s">
        <v>1741</v>
      </c>
      <c r="N481" s="29" t="s">
        <v>1792</v>
      </c>
      <c r="O481" s="109"/>
      <c r="P481" s="29" t="s">
        <v>1743</v>
      </c>
      <c r="Q481" s="24" t="s">
        <v>116</v>
      </c>
      <c r="R481" s="66" t="s">
        <v>1744</v>
      </c>
      <c r="S481" s="29" t="s">
        <v>1760</v>
      </c>
      <c r="T481" s="49" t="s">
        <v>2004</v>
      </c>
      <c r="U481" s="107" t="s">
        <v>2005</v>
      </c>
      <c r="V481" s="31"/>
      <c r="W481" s="66" t="s">
        <v>1747</v>
      </c>
      <c r="X481" s="66"/>
      <c r="Y481" s="16">
        <v>1</v>
      </c>
      <c r="Z481" s="31"/>
      <c r="AA481" s="31"/>
      <c r="AB481" s="18">
        <v>2016</v>
      </c>
      <c r="AC481" s="16" t="s">
        <v>51</v>
      </c>
      <c r="AD481" s="30"/>
      <c r="AE481" s="29"/>
      <c r="AF481" s="29"/>
      <c r="AG481" s="29"/>
    </row>
    <row r="482" spans="1:33" x14ac:dyDescent="0.4">
      <c r="A482" s="108" t="s">
        <v>1735</v>
      </c>
      <c r="B482" s="49">
        <v>9</v>
      </c>
      <c r="C482" s="18">
        <v>480</v>
      </c>
      <c r="D482" s="17"/>
      <c r="E482" s="49">
        <v>2319148</v>
      </c>
      <c r="F482" s="29"/>
      <c r="G482" s="109" t="s">
        <v>36</v>
      </c>
      <c r="H482" s="114" t="s">
        <v>2000</v>
      </c>
      <c r="I482" s="114" t="s">
        <v>2000</v>
      </c>
      <c r="J482" s="113" t="s">
        <v>2001</v>
      </c>
      <c r="K482" s="113" t="s">
        <v>2002</v>
      </c>
      <c r="L482" s="113" t="s">
        <v>2013</v>
      </c>
      <c r="M482" s="29" t="s">
        <v>1741</v>
      </c>
      <c r="N482" s="29" t="s">
        <v>1792</v>
      </c>
      <c r="O482" s="109"/>
      <c r="P482" s="29" t="s">
        <v>1743</v>
      </c>
      <c r="Q482" s="24" t="s">
        <v>116</v>
      </c>
      <c r="R482" s="66" t="s">
        <v>1744</v>
      </c>
      <c r="S482" s="29" t="s">
        <v>1760</v>
      </c>
      <c r="T482" s="49" t="s">
        <v>2004</v>
      </c>
      <c r="U482" s="107" t="s">
        <v>2005</v>
      </c>
      <c r="V482" s="31"/>
      <c r="W482" s="66" t="s">
        <v>1747</v>
      </c>
      <c r="X482" s="66"/>
      <c r="Y482" s="16">
        <v>1</v>
      </c>
      <c r="Z482" s="31"/>
      <c r="AA482" s="31"/>
      <c r="AB482" s="18">
        <v>2016</v>
      </c>
      <c r="AC482" s="16" t="s">
        <v>51</v>
      </c>
      <c r="AD482" s="30"/>
      <c r="AE482" s="29"/>
      <c r="AF482" s="29"/>
      <c r="AG482" s="29"/>
    </row>
    <row r="483" spans="1:33" x14ac:dyDescent="0.4">
      <c r="A483" s="108" t="s">
        <v>1735</v>
      </c>
      <c r="B483" s="49">
        <v>10</v>
      </c>
      <c r="C483" s="18">
        <v>481</v>
      </c>
      <c r="D483" s="17"/>
      <c r="E483" s="49">
        <v>2319148</v>
      </c>
      <c r="F483" s="29"/>
      <c r="G483" s="109" t="s">
        <v>36</v>
      </c>
      <c r="H483" s="114" t="s">
        <v>2000</v>
      </c>
      <c r="I483" s="114" t="s">
        <v>2000</v>
      </c>
      <c r="J483" s="113" t="s">
        <v>2001</v>
      </c>
      <c r="K483" s="113" t="s">
        <v>2002</v>
      </c>
      <c r="L483" s="113" t="s">
        <v>2014</v>
      </c>
      <c r="M483" s="29" t="s">
        <v>1741</v>
      </c>
      <c r="N483" s="29" t="s">
        <v>1792</v>
      </c>
      <c r="O483" s="109"/>
      <c r="P483" s="29" t="s">
        <v>1743</v>
      </c>
      <c r="Q483" s="24" t="s">
        <v>116</v>
      </c>
      <c r="R483" s="66" t="s">
        <v>1744</v>
      </c>
      <c r="S483" s="29" t="s">
        <v>1760</v>
      </c>
      <c r="T483" s="49" t="s">
        <v>2004</v>
      </c>
      <c r="U483" s="107" t="s">
        <v>2005</v>
      </c>
      <c r="V483" s="31"/>
      <c r="W483" s="66" t="s">
        <v>1747</v>
      </c>
      <c r="X483" s="66"/>
      <c r="Y483" s="16">
        <v>1</v>
      </c>
      <c r="Z483" s="31"/>
      <c r="AA483" s="31"/>
      <c r="AB483" s="18">
        <v>2016</v>
      </c>
      <c r="AC483" s="16" t="s">
        <v>51</v>
      </c>
      <c r="AD483" s="30"/>
      <c r="AE483" s="29"/>
      <c r="AF483" s="29"/>
      <c r="AG483" s="29"/>
    </row>
    <row r="484" spans="1:33" x14ac:dyDescent="0.4">
      <c r="A484" s="108" t="s">
        <v>1735</v>
      </c>
      <c r="B484" s="49">
        <v>11</v>
      </c>
      <c r="C484" s="18">
        <v>482</v>
      </c>
      <c r="D484" s="17"/>
      <c r="E484" s="49">
        <v>2319148</v>
      </c>
      <c r="F484" s="29"/>
      <c r="G484" s="109" t="s">
        <v>36</v>
      </c>
      <c r="H484" s="114" t="s">
        <v>2000</v>
      </c>
      <c r="I484" s="114" t="s">
        <v>2000</v>
      </c>
      <c r="J484" s="113" t="s">
        <v>2001</v>
      </c>
      <c r="K484" s="113" t="s">
        <v>2002</v>
      </c>
      <c r="L484" s="113" t="s">
        <v>2015</v>
      </c>
      <c r="M484" s="29" t="s">
        <v>1741</v>
      </c>
      <c r="N484" s="29" t="s">
        <v>1792</v>
      </c>
      <c r="O484" s="109"/>
      <c r="P484" s="29" t="s">
        <v>1743</v>
      </c>
      <c r="Q484" s="24" t="s">
        <v>116</v>
      </c>
      <c r="R484" s="66" t="s">
        <v>1744</v>
      </c>
      <c r="S484" s="29" t="s">
        <v>1760</v>
      </c>
      <c r="T484" s="49" t="s">
        <v>2004</v>
      </c>
      <c r="U484" s="107" t="s">
        <v>2005</v>
      </c>
      <c r="V484" s="31"/>
      <c r="W484" s="66" t="s">
        <v>1747</v>
      </c>
      <c r="X484" s="66"/>
      <c r="Y484" s="16">
        <v>1</v>
      </c>
      <c r="Z484" s="31"/>
      <c r="AA484" s="31"/>
      <c r="AB484" s="18">
        <v>2016</v>
      </c>
      <c r="AC484" s="16" t="s">
        <v>51</v>
      </c>
      <c r="AD484" s="30"/>
      <c r="AE484" s="29"/>
      <c r="AF484" s="29"/>
      <c r="AG484" s="29"/>
    </row>
    <row r="485" spans="1:33" x14ac:dyDescent="0.4">
      <c r="A485" s="108" t="s">
        <v>1735</v>
      </c>
      <c r="B485" s="49">
        <v>12</v>
      </c>
      <c r="C485" s="18">
        <v>483</v>
      </c>
      <c r="D485" s="17"/>
      <c r="E485" s="49">
        <v>2319148</v>
      </c>
      <c r="F485" s="29"/>
      <c r="G485" s="109" t="s">
        <v>36</v>
      </c>
      <c r="H485" s="114" t="s">
        <v>2000</v>
      </c>
      <c r="I485" s="114" t="s">
        <v>2000</v>
      </c>
      <c r="J485" s="113" t="s">
        <v>2001</v>
      </c>
      <c r="K485" s="113" t="s">
        <v>2002</v>
      </c>
      <c r="L485" s="113" t="s">
        <v>2016</v>
      </c>
      <c r="M485" s="29" t="s">
        <v>1741</v>
      </c>
      <c r="N485" s="29" t="s">
        <v>1792</v>
      </c>
      <c r="O485" s="109"/>
      <c r="P485" s="29" t="s">
        <v>1743</v>
      </c>
      <c r="Q485" s="24" t="s">
        <v>116</v>
      </c>
      <c r="R485" s="66" t="s">
        <v>1744</v>
      </c>
      <c r="S485" s="29" t="s">
        <v>1760</v>
      </c>
      <c r="T485" s="49" t="s">
        <v>2004</v>
      </c>
      <c r="U485" s="107" t="s">
        <v>2005</v>
      </c>
      <c r="V485" s="31"/>
      <c r="W485" s="66" t="s">
        <v>1747</v>
      </c>
      <c r="X485" s="66"/>
      <c r="Y485" s="16">
        <v>1</v>
      </c>
      <c r="Z485" s="31"/>
      <c r="AA485" s="31"/>
      <c r="AB485" s="18">
        <v>2016</v>
      </c>
      <c r="AC485" s="16" t="s">
        <v>51</v>
      </c>
      <c r="AD485" s="30"/>
      <c r="AE485" s="29"/>
      <c r="AF485" s="29"/>
      <c r="AG485" s="29"/>
    </row>
    <row r="486" spans="1:33" x14ac:dyDescent="0.4">
      <c r="A486" s="108" t="s">
        <v>1735</v>
      </c>
      <c r="B486" s="49">
        <v>13</v>
      </c>
      <c r="C486" s="18">
        <v>484</v>
      </c>
      <c r="D486" s="17"/>
      <c r="E486" s="49">
        <v>2319148</v>
      </c>
      <c r="F486" s="29"/>
      <c r="G486" s="109" t="s">
        <v>36</v>
      </c>
      <c r="H486" s="114" t="s">
        <v>2000</v>
      </c>
      <c r="I486" s="114" t="s">
        <v>2000</v>
      </c>
      <c r="J486" s="113" t="s">
        <v>2001</v>
      </c>
      <c r="K486" s="113" t="s">
        <v>2002</v>
      </c>
      <c r="L486" s="113" t="s">
        <v>2017</v>
      </c>
      <c r="M486" s="29" t="s">
        <v>1741</v>
      </c>
      <c r="N486" s="29" t="s">
        <v>1792</v>
      </c>
      <c r="O486" s="109"/>
      <c r="P486" s="29" t="s">
        <v>1743</v>
      </c>
      <c r="Q486" s="24" t="s">
        <v>116</v>
      </c>
      <c r="R486" s="66" t="s">
        <v>1744</v>
      </c>
      <c r="S486" s="29" t="s">
        <v>1760</v>
      </c>
      <c r="T486" s="49" t="s">
        <v>2004</v>
      </c>
      <c r="U486" s="107" t="s">
        <v>2005</v>
      </c>
      <c r="V486" s="31"/>
      <c r="W486" s="66" t="s">
        <v>1747</v>
      </c>
      <c r="X486" s="66"/>
      <c r="Y486" s="16">
        <v>1</v>
      </c>
      <c r="Z486" s="31"/>
      <c r="AA486" s="31"/>
      <c r="AB486" s="18">
        <v>2018</v>
      </c>
      <c r="AC486" s="16" t="s">
        <v>51</v>
      </c>
      <c r="AD486" s="30"/>
      <c r="AE486" s="29"/>
      <c r="AF486" s="29"/>
      <c r="AG486" s="29"/>
    </row>
    <row r="487" spans="1:33" x14ac:dyDescent="0.4">
      <c r="A487" s="108" t="s">
        <v>1735</v>
      </c>
      <c r="B487" s="49">
        <v>14</v>
      </c>
      <c r="C487" s="18">
        <v>485</v>
      </c>
      <c r="D487" s="17"/>
      <c r="E487" s="49">
        <v>2319148</v>
      </c>
      <c r="F487" s="29"/>
      <c r="G487" s="109" t="s">
        <v>36</v>
      </c>
      <c r="H487" s="114" t="s">
        <v>2000</v>
      </c>
      <c r="I487" s="114" t="s">
        <v>2000</v>
      </c>
      <c r="J487" s="113" t="s">
        <v>2001</v>
      </c>
      <c r="K487" s="113" t="s">
        <v>2002</v>
      </c>
      <c r="L487" s="113" t="s">
        <v>2018</v>
      </c>
      <c r="M487" s="29" t="s">
        <v>1741</v>
      </c>
      <c r="N487" s="29" t="s">
        <v>1792</v>
      </c>
      <c r="O487" s="109"/>
      <c r="P487" s="29" t="s">
        <v>1743</v>
      </c>
      <c r="Q487" s="24" t="s">
        <v>116</v>
      </c>
      <c r="R487" s="66" t="s">
        <v>1744</v>
      </c>
      <c r="S487" s="29" t="s">
        <v>1760</v>
      </c>
      <c r="T487" s="49" t="s">
        <v>2004</v>
      </c>
      <c r="U487" s="107" t="s">
        <v>2005</v>
      </c>
      <c r="V487" s="31"/>
      <c r="W487" s="66" t="s">
        <v>1747</v>
      </c>
      <c r="X487" s="66"/>
      <c r="Y487" s="16">
        <v>1</v>
      </c>
      <c r="Z487" s="31"/>
      <c r="AA487" s="31"/>
      <c r="AB487" s="18">
        <v>2018</v>
      </c>
      <c r="AC487" s="16" t="s">
        <v>51</v>
      </c>
      <c r="AD487" s="30"/>
      <c r="AE487" s="29"/>
      <c r="AF487" s="29"/>
      <c r="AG487" s="29"/>
    </row>
    <row r="488" spans="1:33" x14ac:dyDescent="0.4">
      <c r="A488" s="108" t="s">
        <v>1735</v>
      </c>
      <c r="B488" s="49">
        <v>15</v>
      </c>
      <c r="C488" s="18">
        <v>486</v>
      </c>
      <c r="D488" s="17"/>
      <c r="E488" s="49">
        <v>2319148</v>
      </c>
      <c r="F488" s="29"/>
      <c r="G488" s="109" t="s">
        <v>36</v>
      </c>
      <c r="H488" s="114" t="s">
        <v>2000</v>
      </c>
      <c r="I488" s="114" t="s">
        <v>2000</v>
      </c>
      <c r="J488" s="113" t="s">
        <v>2001</v>
      </c>
      <c r="K488" s="113" t="s">
        <v>2002</v>
      </c>
      <c r="L488" s="113" t="s">
        <v>2019</v>
      </c>
      <c r="M488" s="29" t="s">
        <v>1741</v>
      </c>
      <c r="N488" s="29" t="s">
        <v>1792</v>
      </c>
      <c r="O488" s="109"/>
      <c r="P488" s="29" t="s">
        <v>1743</v>
      </c>
      <c r="Q488" s="24" t="s">
        <v>116</v>
      </c>
      <c r="R488" s="66" t="s">
        <v>1744</v>
      </c>
      <c r="S488" s="29" t="s">
        <v>1760</v>
      </c>
      <c r="T488" s="49" t="s">
        <v>2004</v>
      </c>
      <c r="U488" s="107" t="s">
        <v>2005</v>
      </c>
      <c r="V488" s="31"/>
      <c r="W488" s="66" t="s">
        <v>1747</v>
      </c>
      <c r="X488" s="66"/>
      <c r="Y488" s="16">
        <v>1</v>
      </c>
      <c r="Z488" s="31"/>
      <c r="AA488" s="31"/>
      <c r="AB488" s="18">
        <v>2018</v>
      </c>
      <c r="AC488" s="16" t="s">
        <v>51</v>
      </c>
      <c r="AD488" s="30"/>
      <c r="AE488" s="29"/>
      <c r="AF488" s="29"/>
      <c r="AG488" s="29"/>
    </row>
    <row r="489" spans="1:33" x14ac:dyDescent="0.4">
      <c r="A489" s="108" t="s">
        <v>1735</v>
      </c>
      <c r="B489" s="49">
        <v>16</v>
      </c>
      <c r="C489" s="18">
        <v>487</v>
      </c>
      <c r="D489" s="102"/>
      <c r="E489" s="49">
        <v>2319148</v>
      </c>
      <c r="F489" s="29"/>
      <c r="G489" s="109" t="s">
        <v>36</v>
      </c>
      <c r="H489" s="114" t="s">
        <v>2000</v>
      </c>
      <c r="I489" s="114" t="s">
        <v>2000</v>
      </c>
      <c r="J489" s="113" t="s">
        <v>2001</v>
      </c>
      <c r="K489" s="113" t="s">
        <v>2002</v>
      </c>
      <c r="L489" s="113" t="s">
        <v>2020</v>
      </c>
      <c r="M489" s="29" t="s">
        <v>1741</v>
      </c>
      <c r="N489" s="29" t="s">
        <v>1792</v>
      </c>
      <c r="O489" s="109"/>
      <c r="P489" s="29" t="s">
        <v>1743</v>
      </c>
      <c r="Q489" s="24" t="s">
        <v>116</v>
      </c>
      <c r="R489" s="66" t="s">
        <v>1744</v>
      </c>
      <c r="S489" s="29" t="s">
        <v>1760</v>
      </c>
      <c r="T489" s="49" t="s">
        <v>2004</v>
      </c>
      <c r="U489" s="107" t="s">
        <v>2005</v>
      </c>
      <c r="V489" s="31"/>
      <c r="W489" s="66" t="s">
        <v>1747</v>
      </c>
      <c r="X489" s="66"/>
      <c r="Y489" s="16">
        <v>1</v>
      </c>
      <c r="Z489" s="31"/>
      <c r="AA489" s="31"/>
      <c r="AB489" s="18">
        <v>2018</v>
      </c>
      <c r="AC489" s="16" t="s">
        <v>51</v>
      </c>
      <c r="AD489" s="30"/>
      <c r="AE489" s="29"/>
      <c r="AF489" s="29"/>
      <c r="AG489" s="29"/>
    </row>
    <row r="490" spans="1:33" x14ac:dyDescent="0.4">
      <c r="A490" s="108" t="s">
        <v>1735</v>
      </c>
      <c r="B490" s="49">
        <v>1</v>
      </c>
      <c r="C490" s="17">
        <v>488</v>
      </c>
      <c r="D490" s="18" t="s">
        <v>2021</v>
      </c>
      <c r="E490" s="135">
        <v>2339225</v>
      </c>
      <c r="F490" s="29"/>
      <c r="G490" s="109" t="s">
        <v>988</v>
      </c>
      <c r="H490" s="114" t="s">
        <v>2022</v>
      </c>
      <c r="I490" s="114" t="s">
        <v>2022</v>
      </c>
      <c r="J490" s="113" t="s">
        <v>2023</v>
      </c>
      <c r="K490" s="113" t="s">
        <v>2024</v>
      </c>
      <c r="L490" s="113" t="s">
        <v>2025</v>
      </c>
      <c r="M490" s="29" t="s">
        <v>1741</v>
      </c>
      <c r="N490" s="29" t="s">
        <v>2026</v>
      </c>
      <c r="O490" s="136" t="s">
        <v>2027</v>
      </c>
      <c r="P490" s="29" t="s">
        <v>1793</v>
      </c>
      <c r="Q490" s="24" t="s">
        <v>17</v>
      </c>
      <c r="R490" s="66" t="s">
        <v>1744</v>
      </c>
      <c r="S490" s="29" t="s">
        <v>68</v>
      </c>
      <c r="T490" s="49" t="s">
        <v>2028</v>
      </c>
      <c r="U490" s="107" t="s">
        <v>2029</v>
      </c>
      <c r="V490" s="31"/>
      <c r="W490" s="66" t="s">
        <v>1747</v>
      </c>
      <c r="X490" s="66"/>
      <c r="Y490" s="16">
        <v>1</v>
      </c>
      <c r="Z490" s="31" t="s">
        <v>49</v>
      </c>
      <c r="AA490" s="18">
        <v>123456</v>
      </c>
      <c r="AB490" s="18">
        <v>2016</v>
      </c>
      <c r="AC490" s="16" t="s">
        <v>51</v>
      </c>
      <c r="AD490" s="30"/>
      <c r="AE490" s="29"/>
      <c r="AF490" s="29"/>
      <c r="AG490" s="29"/>
    </row>
    <row r="491" spans="1:33" x14ac:dyDescent="0.4">
      <c r="A491" s="108" t="s">
        <v>1735</v>
      </c>
      <c r="B491" s="49">
        <v>2</v>
      </c>
      <c r="C491" s="18">
        <v>489</v>
      </c>
      <c r="D491" s="77"/>
      <c r="E491" s="49">
        <v>2339225</v>
      </c>
      <c r="F491" s="29"/>
      <c r="G491" s="109" t="s">
        <v>988</v>
      </c>
      <c r="H491" s="114" t="s">
        <v>2022</v>
      </c>
      <c r="I491" s="114" t="s">
        <v>2022</v>
      </c>
      <c r="J491" s="113" t="s">
        <v>2023</v>
      </c>
      <c r="K491" s="113" t="s">
        <v>2024</v>
      </c>
      <c r="L491" s="113" t="s">
        <v>2030</v>
      </c>
      <c r="M491" s="29" t="s">
        <v>1741</v>
      </c>
      <c r="N491" s="29" t="s">
        <v>2026</v>
      </c>
      <c r="O491" s="109" t="s">
        <v>2031</v>
      </c>
      <c r="P491" s="29" t="s">
        <v>1793</v>
      </c>
      <c r="Q491" s="66" t="s">
        <v>17</v>
      </c>
      <c r="R491" s="66" t="s">
        <v>1744</v>
      </c>
      <c r="S491" s="29" t="s">
        <v>68</v>
      </c>
      <c r="T491" s="49" t="s">
        <v>2028</v>
      </c>
      <c r="U491" s="107" t="s">
        <v>2029</v>
      </c>
      <c r="V491" s="31"/>
      <c r="W491" s="66" t="s">
        <v>1747</v>
      </c>
      <c r="X491" s="66"/>
      <c r="Y491" s="16">
        <v>1</v>
      </c>
      <c r="Z491" s="31" t="s">
        <v>49</v>
      </c>
      <c r="AA491" s="18">
        <v>123456</v>
      </c>
      <c r="AB491" s="18">
        <v>2016</v>
      </c>
      <c r="AC491" s="16" t="s">
        <v>51</v>
      </c>
      <c r="AD491" s="30"/>
      <c r="AE491" s="29"/>
      <c r="AF491" s="29"/>
      <c r="AG491" s="29"/>
    </row>
    <row r="492" spans="1:33" x14ac:dyDescent="0.4">
      <c r="A492" s="108" t="s">
        <v>1735</v>
      </c>
      <c r="B492" s="49">
        <v>3</v>
      </c>
      <c r="C492" s="18">
        <v>490</v>
      </c>
      <c r="D492" s="17"/>
      <c r="E492" s="49">
        <v>2339225</v>
      </c>
      <c r="F492" s="29"/>
      <c r="G492" s="109" t="s">
        <v>988</v>
      </c>
      <c r="H492" s="114" t="s">
        <v>2022</v>
      </c>
      <c r="I492" s="114" t="s">
        <v>2022</v>
      </c>
      <c r="J492" s="113" t="s">
        <v>2023</v>
      </c>
      <c r="K492" s="113" t="s">
        <v>2024</v>
      </c>
      <c r="L492" s="113" t="s">
        <v>2032</v>
      </c>
      <c r="M492" s="29" t="s">
        <v>1741</v>
      </c>
      <c r="N492" s="29" t="s">
        <v>2026</v>
      </c>
      <c r="O492" s="136" t="s">
        <v>2033</v>
      </c>
      <c r="P492" s="29" t="s">
        <v>1793</v>
      </c>
      <c r="Q492" s="66" t="s">
        <v>17</v>
      </c>
      <c r="R492" s="66" t="s">
        <v>1744</v>
      </c>
      <c r="S492" s="29" t="s">
        <v>68</v>
      </c>
      <c r="T492" s="49" t="s">
        <v>2028</v>
      </c>
      <c r="U492" s="107" t="s">
        <v>2029</v>
      </c>
      <c r="V492" s="31"/>
      <c r="W492" s="66" t="s">
        <v>1747</v>
      </c>
      <c r="X492" s="66"/>
      <c r="Y492" s="16">
        <v>1</v>
      </c>
      <c r="Z492" s="31" t="s">
        <v>49</v>
      </c>
      <c r="AA492" s="18">
        <v>123456</v>
      </c>
      <c r="AB492" s="18">
        <v>2016</v>
      </c>
      <c r="AC492" s="16" t="s">
        <v>51</v>
      </c>
      <c r="AD492" s="30"/>
      <c r="AE492" s="29"/>
      <c r="AF492" s="29"/>
      <c r="AG492" s="29"/>
    </row>
    <row r="493" spans="1:33" x14ac:dyDescent="0.4">
      <c r="A493" s="108" t="s">
        <v>1735</v>
      </c>
      <c r="B493" s="49">
        <v>4</v>
      </c>
      <c r="C493" s="18">
        <v>491</v>
      </c>
      <c r="D493" s="17"/>
      <c r="E493" s="49">
        <v>2339225</v>
      </c>
      <c r="F493" s="29"/>
      <c r="G493" s="109" t="s">
        <v>988</v>
      </c>
      <c r="H493" s="114" t="s">
        <v>2022</v>
      </c>
      <c r="I493" s="114" t="s">
        <v>2022</v>
      </c>
      <c r="J493" s="113" t="s">
        <v>2023</v>
      </c>
      <c r="K493" s="113" t="s">
        <v>2024</v>
      </c>
      <c r="L493" s="113" t="s">
        <v>2034</v>
      </c>
      <c r="M493" s="29" t="s">
        <v>1741</v>
      </c>
      <c r="N493" s="29" t="s">
        <v>2026</v>
      </c>
      <c r="O493" s="136" t="s">
        <v>2035</v>
      </c>
      <c r="P493" s="29" t="s">
        <v>1793</v>
      </c>
      <c r="Q493" s="66" t="s">
        <v>17</v>
      </c>
      <c r="R493" s="66" t="s">
        <v>1744</v>
      </c>
      <c r="S493" s="29" t="s">
        <v>68</v>
      </c>
      <c r="T493" s="49" t="s">
        <v>2028</v>
      </c>
      <c r="U493" s="107" t="s">
        <v>2029</v>
      </c>
      <c r="V493" s="31"/>
      <c r="W493" s="66" t="s">
        <v>1747</v>
      </c>
      <c r="X493" s="66"/>
      <c r="Y493" s="16">
        <v>1</v>
      </c>
      <c r="Z493" s="31" t="s">
        <v>49</v>
      </c>
      <c r="AA493" s="18">
        <v>123456</v>
      </c>
      <c r="AB493" s="18">
        <v>2016</v>
      </c>
      <c r="AC493" s="16" t="s">
        <v>51</v>
      </c>
      <c r="AD493" s="30"/>
      <c r="AE493" s="29"/>
      <c r="AF493" s="29"/>
      <c r="AG493" s="29"/>
    </row>
    <row r="494" spans="1:33" x14ac:dyDescent="0.4">
      <c r="A494" s="108" t="s">
        <v>1735</v>
      </c>
      <c r="B494" s="49">
        <v>5</v>
      </c>
      <c r="C494" s="18">
        <v>492</v>
      </c>
      <c r="D494" s="17"/>
      <c r="E494" s="49">
        <v>2339225</v>
      </c>
      <c r="F494" s="29"/>
      <c r="G494" s="109" t="s">
        <v>988</v>
      </c>
      <c r="H494" s="114" t="s">
        <v>2022</v>
      </c>
      <c r="I494" s="114" t="s">
        <v>2022</v>
      </c>
      <c r="J494" s="113" t="s">
        <v>2023</v>
      </c>
      <c r="K494" s="113" t="s">
        <v>2024</v>
      </c>
      <c r="L494" s="113" t="s">
        <v>2036</v>
      </c>
      <c r="M494" s="29" t="s">
        <v>1741</v>
      </c>
      <c r="N494" s="29" t="s">
        <v>2026</v>
      </c>
      <c r="O494" s="136" t="s">
        <v>2037</v>
      </c>
      <c r="P494" s="29" t="s">
        <v>1793</v>
      </c>
      <c r="Q494" s="24" t="s">
        <v>116</v>
      </c>
      <c r="R494" s="66" t="s">
        <v>1744</v>
      </c>
      <c r="S494" s="29" t="s">
        <v>68</v>
      </c>
      <c r="T494" s="49" t="s">
        <v>2028</v>
      </c>
      <c r="U494" s="107" t="s">
        <v>2029</v>
      </c>
      <c r="V494" s="31"/>
      <c r="W494" s="66" t="s">
        <v>1747</v>
      </c>
      <c r="X494" s="66"/>
      <c r="Y494" s="16">
        <v>1</v>
      </c>
      <c r="Z494" s="31" t="s">
        <v>49</v>
      </c>
      <c r="AA494" s="18">
        <v>123456</v>
      </c>
      <c r="AB494" s="18">
        <v>2016</v>
      </c>
      <c r="AC494" s="16" t="s">
        <v>51</v>
      </c>
      <c r="AD494" s="30"/>
      <c r="AE494" s="29"/>
      <c r="AF494" s="29"/>
      <c r="AG494" s="29"/>
    </row>
    <row r="495" spans="1:33" x14ac:dyDescent="0.4">
      <c r="A495" s="108" t="s">
        <v>1735</v>
      </c>
      <c r="B495" s="49">
        <v>6</v>
      </c>
      <c r="C495" s="18">
        <v>493</v>
      </c>
      <c r="D495" s="102"/>
      <c r="E495" s="49">
        <v>2339225</v>
      </c>
      <c r="F495" s="29"/>
      <c r="G495" s="109" t="s">
        <v>988</v>
      </c>
      <c r="H495" s="114" t="s">
        <v>2022</v>
      </c>
      <c r="I495" s="114" t="s">
        <v>2022</v>
      </c>
      <c r="J495" s="113" t="s">
        <v>2023</v>
      </c>
      <c r="K495" s="113" t="s">
        <v>2024</v>
      </c>
      <c r="L495" s="113" t="s">
        <v>2038</v>
      </c>
      <c r="M495" s="29" t="s">
        <v>1741</v>
      </c>
      <c r="N495" s="29" t="s">
        <v>2026</v>
      </c>
      <c r="O495" s="136" t="s">
        <v>2039</v>
      </c>
      <c r="P495" s="29" t="s">
        <v>1793</v>
      </c>
      <c r="Q495" s="24" t="s">
        <v>116</v>
      </c>
      <c r="R495" s="66" t="s">
        <v>1744</v>
      </c>
      <c r="S495" s="29" t="s">
        <v>68</v>
      </c>
      <c r="T495" s="49" t="s">
        <v>2028</v>
      </c>
      <c r="U495" s="107" t="s">
        <v>2029</v>
      </c>
      <c r="V495" s="31"/>
      <c r="W495" s="66" t="s">
        <v>1747</v>
      </c>
      <c r="X495" s="66"/>
      <c r="Y495" s="16">
        <v>1</v>
      </c>
      <c r="Z495" s="31" t="s">
        <v>49</v>
      </c>
      <c r="AA495" s="18">
        <v>123456</v>
      </c>
      <c r="AB495" s="18">
        <v>2016</v>
      </c>
      <c r="AC495" s="16" t="s">
        <v>51</v>
      </c>
      <c r="AD495" s="30"/>
      <c r="AE495" s="29"/>
      <c r="AF495" s="29"/>
      <c r="AG495" s="29"/>
    </row>
    <row r="496" spans="1:33" x14ac:dyDescent="0.4">
      <c r="A496" s="108" t="s">
        <v>1735</v>
      </c>
      <c r="B496" s="49">
        <v>7</v>
      </c>
      <c r="C496" s="17">
        <v>494</v>
      </c>
      <c r="D496" s="18" t="s">
        <v>2040</v>
      </c>
      <c r="E496" s="135">
        <v>2339225</v>
      </c>
      <c r="F496" s="29"/>
      <c r="G496" s="109" t="s">
        <v>988</v>
      </c>
      <c r="H496" s="114" t="s">
        <v>2022</v>
      </c>
      <c r="I496" s="114" t="s">
        <v>2022</v>
      </c>
      <c r="J496" s="113" t="s">
        <v>2023</v>
      </c>
      <c r="K496" s="113" t="s">
        <v>2024</v>
      </c>
      <c r="L496" s="113" t="s">
        <v>2041</v>
      </c>
      <c r="M496" s="29" t="s">
        <v>1741</v>
      </c>
      <c r="N496" s="29" t="s">
        <v>2042</v>
      </c>
      <c r="O496" s="136" t="s">
        <v>2043</v>
      </c>
      <c r="P496" s="29" t="s">
        <v>1793</v>
      </c>
      <c r="Q496" s="24" t="s">
        <v>17</v>
      </c>
      <c r="R496" s="66" t="s">
        <v>1744</v>
      </c>
      <c r="S496" s="29" t="s">
        <v>68</v>
      </c>
      <c r="T496" s="49" t="s">
        <v>2028</v>
      </c>
      <c r="U496" s="107" t="s">
        <v>2029</v>
      </c>
      <c r="V496" s="31"/>
      <c r="W496" s="66" t="s">
        <v>1747</v>
      </c>
      <c r="X496" s="66"/>
      <c r="Y496" s="16">
        <v>1</v>
      </c>
      <c r="Z496" s="31" t="s">
        <v>49</v>
      </c>
      <c r="AA496" s="18">
        <v>123456</v>
      </c>
      <c r="AB496" s="18">
        <v>2016</v>
      </c>
      <c r="AC496" s="16" t="s">
        <v>51</v>
      </c>
      <c r="AD496" s="30"/>
      <c r="AE496" s="29"/>
      <c r="AF496" s="29"/>
      <c r="AG496" s="29"/>
    </row>
    <row r="497" spans="1:33" x14ac:dyDescent="0.4">
      <c r="A497" s="108" t="s">
        <v>1735</v>
      </c>
      <c r="B497" s="49">
        <v>8</v>
      </c>
      <c r="C497" s="18">
        <v>495</v>
      </c>
      <c r="D497" s="77"/>
      <c r="E497" s="49">
        <v>2339225</v>
      </c>
      <c r="F497" s="29"/>
      <c r="G497" s="109" t="s">
        <v>988</v>
      </c>
      <c r="H497" s="114" t="s">
        <v>2022</v>
      </c>
      <c r="I497" s="114" t="s">
        <v>2022</v>
      </c>
      <c r="J497" s="113" t="s">
        <v>2023</v>
      </c>
      <c r="K497" s="113" t="s">
        <v>2024</v>
      </c>
      <c r="L497" s="113" t="s">
        <v>2044</v>
      </c>
      <c r="M497" s="29" t="s">
        <v>1741</v>
      </c>
      <c r="N497" s="29"/>
      <c r="O497" s="109"/>
      <c r="P497" s="29" t="s">
        <v>1793</v>
      </c>
      <c r="Q497" s="24" t="s">
        <v>116</v>
      </c>
      <c r="R497" s="66" t="s">
        <v>1744</v>
      </c>
      <c r="S497" s="29" t="s">
        <v>68</v>
      </c>
      <c r="T497" s="49" t="s">
        <v>2028</v>
      </c>
      <c r="U497" s="107" t="s">
        <v>2029</v>
      </c>
      <c r="V497" s="31"/>
      <c r="W497" s="66" t="s">
        <v>1747</v>
      </c>
      <c r="X497" s="66"/>
      <c r="Y497" s="16">
        <v>1</v>
      </c>
      <c r="Z497" s="31" t="s">
        <v>49</v>
      </c>
      <c r="AA497" s="18">
        <v>123456</v>
      </c>
      <c r="AB497" s="18">
        <v>2016</v>
      </c>
      <c r="AC497" s="16" t="s">
        <v>51</v>
      </c>
      <c r="AD497" s="30"/>
      <c r="AE497" s="29"/>
      <c r="AF497" s="29"/>
      <c r="AG497" s="29"/>
    </row>
    <row r="498" spans="1:33" x14ac:dyDescent="0.4">
      <c r="A498" s="108" t="s">
        <v>1735</v>
      </c>
      <c r="B498" s="49">
        <v>9</v>
      </c>
      <c r="C498" s="18">
        <v>496</v>
      </c>
      <c r="D498" s="17"/>
      <c r="E498" s="49">
        <v>2339225</v>
      </c>
      <c r="F498" s="29"/>
      <c r="G498" s="109" t="s">
        <v>988</v>
      </c>
      <c r="H498" s="114" t="s">
        <v>2022</v>
      </c>
      <c r="I498" s="114" t="s">
        <v>2022</v>
      </c>
      <c r="J498" s="113" t="s">
        <v>2023</v>
      </c>
      <c r="K498" s="113" t="s">
        <v>2024</v>
      </c>
      <c r="L498" s="113" t="s">
        <v>2045</v>
      </c>
      <c r="M498" s="29" t="s">
        <v>1741</v>
      </c>
      <c r="N498" s="29" t="s">
        <v>2042</v>
      </c>
      <c r="O498" s="136" t="s">
        <v>2046</v>
      </c>
      <c r="P498" s="29" t="s">
        <v>1793</v>
      </c>
      <c r="Q498" s="24" t="s">
        <v>116</v>
      </c>
      <c r="R498" s="66" t="s">
        <v>1744</v>
      </c>
      <c r="S498" s="29" t="s">
        <v>68</v>
      </c>
      <c r="T498" s="49" t="s">
        <v>2028</v>
      </c>
      <c r="U498" s="107" t="s">
        <v>2029</v>
      </c>
      <c r="V498" s="31"/>
      <c r="W498" s="66" t="s">
        <v>1747</v>
      </c>
      <c r="X498" s="66"/>
      <c r="Y498" s="16">
        <v>1</v>
      </c>
      <c r="Z498" s="31" t="s">
        <v>49</v>
      </c>
      <c r="AA498" s="18">
        <v>123456</v>
      </c>
      <c r="AB498" s="18">
        <v>2016</v>
      </c>
      <c r="AC498" s="16" t="s">
        <v>131</v>
      </c>
      <c r="AD498" s="137" t="s">
        <v>2047</v>
      </c>
      <c r="AE498" s="29"/>
      <c r="AF498" s="29"/>
      <c r="AG498" s="29"/>
    </row>
    <row r="499" spans="1:33" x14ac:dyDescent="0.4">
      <c r="A499" s="108" t="s">
        <v>1735</v>
      </c>
      <c r="B499" s="49">
        <v>10</v>
      </c>
      <c r="C499" s="18">
        <v>497</v>
      </c>
      <c r="D499" s="17"/>
      <c r="E499" s="49">
        <v>2339225</v>
      </c>
      <c r="F499" s="29"/>
      <c r="G499" s="109" t="s">
        <v>988</v>
      </c>
      <c r="H499" s="114" t="s">
        <v>2022</v>
      </c>
      <c r="I499" s="114" t="s">
        <v>2022</v>
      </c>
      <c r="J499" s="113" t="s">
        <v>2023</v>
      </c>
      <c r="K499" s="113" t="s">
        <v>2024</v>
      </c>
      <c r="L499" s="113" t="s">
        <v>2048</v>
      </c>
      <c r="M499" s="29" t="s">
        <v>1741</v>
      </c>
      <c r="N499" s="29"/>
      <c r="O499" s="109"/>
      <c r="P499" s="29" t="s">
        <v>1793</v>
      </c>
      <c r="Q499" s="24" t="s">
        <v>116</v>
      </c>
      <c r="R499" s="66" t="s">
        <v>1744</v>
      </c>
      <c r="S499" s="29" t="s">
        <v>68</v>
      </c>
      <c r="T499" s="49" t="s">
        <v>2028</v>
      </c>
      <c r="U499" s="107" t="s">
        <v>2029</v>
      </c>
      <c r="V499" s="31"/>
      <c r="W499" s="66" t="s">
        <v>1747</v>
      </c>
      <c r="X499" s="66"/>
      <c r="Y499" s="16">
        <v>1</v>
      </c>
      <c r="Z499" s="31" t="s">
        <v>49</v>
      </c>
      <c r="AA499" s="18">
        <v>123456</v>
      </c>
      <c r="AB499" s="18">
        <v>2016</v>
      </c>
      <c r="AC499" s="16" t="s">
        <v>131</v>
      </c>
      <c r="AD499" s="137"/>
      <c r="AE499" s="29"/>
      <c r="AF499" s="29"/>
      <c r="AG499" s="29"/>
    </row>
    <row r="500" spans="1:33" x14ac:dyDescent="0.4">
      <c r="A500" s="108" t="s">
        <v>1735</v>
      </c>
      <c r="B500" s="49">
        <v>11</v>
      </c>
      <c r="C500" s="18">
        <v>498</v>
      </c>
      <c r="D500" s="17"/>
      <c r="E500" s="49">
        <v>2339225</v>
      </c>
      <c r="F500" s="29"/>
      <c r="G500" s="109" t="s">
        <v>988</v>
      </c>
      <c r="H500" s="114" t="s">
        <v>2022</v>
      </c>
      <c r="I500" s="114" t="s">
        <v>2022</v>
      </c>
      <c r="J500" s="113" t="s">
        <v>2023</v>
      </c>
      <c r="K500" s="113" t="s">
        <v>2024</v>
      </c>
      <c r="L500" s="113" t="s">
        <v>2049</v>
      </c>
      <c r="M500" s="29" t="s">
        <v>1741</v>
      </c>
      <c r="N500" s="29" t="s">
        <v>2026</v>
      </c>
      <c r="O500" s="136" t="s">
        <v>2050</v>
      </c>
      <c r="P500" s="29" t="s">
        <v>1793</v>
      </c>
      <c r="Q500" s="24" t="s">
        <v>116</v>
      </c>
      <c r="R500" s="66" t="s">
        <v>1744</v>
      </c>
      <c r="S500" s="29" t="s">
        <v>68</v>
      </c>
      <c r="T500" s="49" t="s">
        <v>2028</v>
      </c>
      <c r="U500" s="107" t="s">
        <v>2029</v>
      </c>
      <c r="V500" s="31"/>
      <c r="W500" s="66" t="s">
        <v>1747</v>
      </c>
      <c r="X500" s="66"/>
      <c r="Y500" s="16">
        <v>1</v>
      </c>
      <c r="Z500" s="31" t="s">
        <v>49</v>
      </c>
      <c r="AA500" s="18">
        <v>123456</v>
      </c>
      <c r="AB500" s="18">
        <v>2016</v>
      </c>
      <c r="AC500" s="16" t="s">
        <v>131</v>
      </c>
      <c r="AD500" s="137"/>
      <c r="AE500" s="29"/>
      <c r="AF500" s="29"/>
      <c r="AG500" s="29"/>
    </row>
    <row r="501" spans="1:33" x14ac:dyDescent="0.4">
      <c r="A501" s="108" t="s">
        <v>1735</v>
      </c>
      <c r="B501" s="49">
        <v>12</v>
      </c>
      <c r="C501" s="18">
        <v>499</v>
      </c>
      <c r="D501" s="17"/>
      <c r="E501" s="49">
        <v>2339225</v>
      </c>
      <c r="F501" s="29"/>
      <c r="G501" s="109" t="s">
        <v>988</v>
      </c>
      <c r="H501" s="114" t="s">
        <v>2022</v>
      </c>
      <c r="I501" s="114" t="s">
        <v>2022</v>
      </c>
      <c r="J501" s="113" t="s">
        <v>2023</v>
      </c>
      <c r="K501" s="113" t="s">
        <v>2024</v>
      </c>
      <c r="L501" s="113" t="s">
        <v>2051</v>
      </c>
      <c r="M501" s="29" t="s">
        <v>1741</v>
      </c>
      <c r="N501" s="29" t="s">
        <v>2042</v>
      </c>
      <c r="O501" s="136" t="s">
        <v>2052</v>
      </c>
      <c r="P501" s="29" t="s">
        <v>1793</v>
      </c>
      <c r="Q501" s="24" t="s">
        <v>116</v>
      </c>
      <c r="R501" s="66" t="s">
        <v>1744</v>
      </c>
      <c r="S501" s="29" t="s">
        <v>68</v>
      </c>
      <c r="T501" s="49" t="s">
        <v>2028</v>
      </c>
      <c r="U501" s="107" t="s">
        <v>2029</v>
      </c>
      <c r="V501" s="31"/>
      <c r="W501" s="66" t="s">
        <v>1747</v>
      </c>
      <c r="X501" s="66"/>
      <c r="Y501" s="16">
        <v>1</v>
      </c>
      <c r="Z501" s="31" t="s">
        <v>49</v>
      </c>
      <c r="AA501" s="18">
        <v>123456</v>
      </c>
      <c r="AB501" s="18">
        <v>2016</v>
      </c>
      <c r="AC501" s="16" t="s">
        <v>131</v>
      </c>
      <c r="AD501" s="137"/>
      <c r="AE501" s="29"/>
      <c r="AF501" s="29"/>
      <c r="AG501" s="29"/>
    </row>
    <row r="502" spans="1:33" x14ac:dyDescent="0.4">
      <c r="A502" s="108" t="s">
        <v>1735</v>
      </c>
      <c r="B502" s="49">
        <v>13</v>
      </c>
      <c r="C502" s="18">
        <v>500</v>
      </c>
      <c r="D502" s="17"/>
      <c r="E502" s="49">
        <v>2339225</v>
      </c>
      <c r="F502" s="29"/>
      <c r="G502" s="109" t="s">
        <v>988</v>
      </c>
      <c r="H502" s="114" t="s">
        <v>2022</v>
      </c>
      <c r="I502" s="114" t="s">
        <v>2022</v>
      </c>
      <c r="J502" s="113" t="s">
        <v>2023</v>
      </c>
      <c r="K502" s="113" t="s">
        <v>2024</v>
      </c>
      <c r="L502" s="113" t="s">
        <v>2053</v>
      </c>
      <c r="M502" s="29" t="s">
        <v>1741</v>
      </c>
      <c r="N502" s="29" t="s">
        <v>2042</v>
      </c>
      <c r="O502" s="136" t="s">
        <v>2054</v>
      </c>
      <c r="P502" s="29" t="s">
        <v>1793</v>
      </c>
      <c r="Q502" s="24" t="s">
        <v>116</v>
      </c>
      <c r="R502" s="66" t="s">
        <v>1744</v>
      </c>
      <c r="S502" s="29" t="s">
        <v>68</v>
      </c>
      <c r="T502" s="49" t="s">
        <v>2028</v>
      </c>
      <c r="U502" s="107" t="s">
        <v>2029</v>
      </c>
      <c r="V502" s="31"/>
      <c r="W502" s="66" t="s">
        <v>1747</v>
      </c>
      <c r="X502" s="66"/>
      <c r="Y502" s="16">
        <v>1</v>
      </c>
      <c r="Z502" s="31" t="s">
        <v>49</v>
      </c>
      <c r="AA502" s="18">
        <v>123456</v>
      </c>
      <c r="AB502" s="18">
        <v>2016</v>
      </c>
      <c r="AC502" s="16" t="s">
        <v>131</v>
      </c>
      <c r="AD502" s="137"/>
      <c r="AE502" s="29"/>
      <c r="AF502" s="29"/>
      <c r="AG502" s="29"/>
    </row>
    <row r="503" spans="1:33" x14ac:dyDescent="0.4">
      <c r="A503" s="108" t="s">
        <v>1735</v>
      </c>
      <c r="B503" s="49">
        <v>14</v>
      </c>
      <c r="C503" s="18">
        <v>501</v>
      </c>
      <c r="D503" s="17"/>
      <c r="E503" s="49">
        <v>2339225</v>
      </c>
      <c r="F503" s="29"/>
      <c r="G503" s="109" t="s">
        <v>988</v>
      </c>
      <c r="H503" s="114" t="s">
        <v>2022</v>
      </c>
      <c r="I503" s="114" t="s">
        <v>2022</v>
      </c>
      <c r="J503" s="113" t="s">
        <v>2023</v>
      </c>
      <c r="K503" s="113" t="s">
        <v>2024</v>
      </c>
      <c r="L503" s="113" t="s">
        <v>2055</v>
      </c>
      <c r="M503" s="29" t="s">
        <v>1741</v>
      </c>
      <c r="N503" s="29" t="s">
        <v>2042</v>
      </c>
      <c r="O503" s="136" t="s">
        <v>2056</v>
      </c>
      <c r="P503" s="29" t="s">
        <v>1793</v>
      </c>
      <c r="Q503" s="24" t="s">
        <v>116</v>
      </c>
      <c r="R503" s="66" t="s">
        <v>1744</v>
      </c>
      <c r="S503" s="29" t="s">
        <v>68</v>
      </c>
      <c r="T503" s="49" t="s">
        <v>2028</v>
      </c>
      <c r="U503" s="107" t="s">
        <v>2029</v>
      </c>
      <c r="V503" s="31"/>
      <c r="W503" s="66" t="s">
        <v>1747</v>
      </c>
      <c r="X503" s="66"/>
      <c r="Y503" s="16">
        <v>1</v>
      </c>
      <c r="Z503" s="31" t="s">
        <v>49</v>
      </c>
      <c r="AA503" s="18">
        <v>123456</v>
      </c>
      <c r="AB503" s="18">
        <v>2016</v>
      </c>
      <c r="AC503" s="16" t="s">
        <v>51</v>
      </c>
      <c r="AD503" s="137"/>
      <c r="AE503" s="29"/>
      <c r="AF503" s="29"/>
      <c r="AG503" s="29"/>
    </row>
    <row r="504" spans="1:33" x14ac:dyDescent="0.4">
      <c r="A504" s="108" t="s">
        <v>1735</v>
      </c>
      <c r="B504" s="49">
        <v>15</v>
      </c>
      <c r="C504" s="18">
        <v>502</v>
      </c>
      <c r="D504" s="17"/>
      <c r="E504" s="49">
        <v>2339225</v>
      </c>
      <c r="F504" s="29"/>
      <c r="G504" s="109" t="s">
        <v>988</v>
      </c>
      <c r="H504" s="114" t="s">
        <v>2022</v>
      </c>
      <c r="I504" s="114" t="s">
        <v>2022</v>
      </c>
      <c r="J504" s="113" t="s">
        <v>2023</v>
      </c>
      <c r="K504" s="113" t="s">
        <v>2024</v>
      </c>
      <c r="L504" s="113" t="s">
        <v>2057</v>
      </c>
      <c r="M504" s="29" t="s">
        <v>1741</v>
      </c>
      <c r="N504" s="29" t="s">
        <v>2058</v>
      </c>
      <c r="O504" s="136" t="s">
        <v>2059</v>
      </c>
      <c r="P504" s="29" t="s">
        <v>1793</v>
      </c>
      <c r="Q504" s="24" t="s">
        <v>116</v>
      </c>
      <c r="R504" s="66" t="s">
        <v>1744</v>
      </c>
      <c r="S504" s="29" t="s">
        <v>68</v>
      </c>
      <c r="T504" s="49" t="s">
        <v>2028</v>
      </c>
      <c r="U504" s="107" t="s">
        <v>2029</v>
      </c>
      <c r="V504" s="31"/>
      <c r="W504" s="66" t="s">
        <v>1747</v>
      </c>
      <c r="X504" s="66"/>
      <c r="Y504" s="16">
        <v>1</v>
      </c>
      <c r="Z504" s="31" t="s">
        <v>49</v>
      </c>
      <c r="AA504" s="18">
        <v>123456</v>
      </c>
      <c r="AB504" s="18">
        <v>2016</v>
      </c>
      <c r="AC504" s="16" t="s">
        <v>51</v>
      </c>
      <c r="AD504" s="137"/>
      <c r="AE504" s="29"/>
      <c r="AF504" s="29"/>
      <c r="AG504" s="29"/>
    </row>
    <row r="505" spans="1:33" x14ac:dyDescent="0.4">
      <c r="A505" s="108" t="s">
        <v>1735</v>
      </c>
      <c r="B505" s="49">
        <v>16</v>
      </c>
      <c r="C505" s="18">
        <v>503</v>
      </c>
      <c r="D505" s="102"/>
      <c r="E505" s="49">
        <v>2339225</v>
      </c>
      <c r="F505" s="29"/>
      <c r="G505" s="109" t="s">
        <v>988</v>
      </c>
      <c r="H505" s="114" t="s">
        <v>2022</v>
      </c>
      <c r="I505" s="114" t="s">
        <v>2022</v>
      </c>
      <c r="J505" s="113" t="s">
        <v>2023</v>
      </c>
      <c r="K505" s="113" t="s">
        <v>2024</v>
      </c>
      <c r="L505" s="113" t="s">
        <v>2060</v>
      </c>
      <c r="M505" s="29" t="s">
        <v>1741</v>
      </c>
      <c r="N505" s="60" t="s">
        <v>2058</v>
      </c>
      <c r="O505" s="136" t="s">
        <v>2061</v>
      </c>
      <c r="P505" s="29" t="s">
        <v>1793</v>
      </c>
      <c r="Q505" s="24" t="s">
        <v>116</v>
      </c>
      <c r="R505" s="66" t="s">
        <v>1744</v>
      </c>
      <c r="S505" s="29" t="s">
        <v>68</v>
      </c>
      <c r="T505" s="49" t="s">
        <v>2028</v>
      </c>
      <c r="U505" s="107" t="s">
        <v>2029</v>
      </c>
      <c r="V505" s="31"/>
      <c r="W505" s="66" t="s">
        <v>1747</v>
      </c>
      <c r="X505" s="66"/>
      <c r="Y505" s="16">
        <v>1</v>
      </c>
      <c r="Z505" s="31" t="s">
        <v>49</v>
      </c>
      <c r="AA505" s="18">
        <v>123456</v>
      </c>
      <c r="AB505" s="18">
        <v>2016</v>
      </c>
      <c r="AC505" s="16" t="s">
        <v>51</v>
      </c>
      <c r="AD505" s="137"/>
      <c r="AE505" s="29"/>
      <c r="AF505" s="29"/>
      <c r="AG505" s="29"/>
    </row>
    <row r="506" spans="1:33" x14ac:dyDescent="0.4">
      <c r="A506" s="108" t="s">
        <v>1735</v>
      </c>
      <c r="B506" s="49">
        <v>17</v>
      </c>
      <c r="C506" s="17">
        <v>504</v>
      </c>
      <c r="D506" s="18" t="s">
        <v>2062</v>
      </c>
      <c r="E506" s="135">
        <v>2339225</v>
      </c>
      <c r="F506" s="29"/>
      <c r="G506" s="109" t="s">
        <v>988</v>
      </c>
      <c r="H506" s="114" t="s">
        <v>2022</v>
      </c>
      <c r="I506" s="114" t="s">
        <v>2022</v>
      </c>
      <c r="J506" s="113" t="s">
        <v>2023</v>
      </c>
      <c r="K506" s="113" t="s">
        <v>2024</v>
      </c>
      <c r="L506" s="113" t="s">
        <v>2063</v>
      </c>
      <c r="M506" s="29" t="s">
        <v>1791</v>
      </c>
      <c r="N506" s="100" t="s">
        <v>2064</v>
      </c>
      <c r="O506" s="136" t="s">
        <v>2065</v>
      </c>
      <c r="P506" s="29" t="s">
        <v>1793</v>
      </c>
      <c r="Q506" s="24" t="s">
        <v>17</v>
      </c>
      <c r="R506" s="66" t="s">
        <v>1744</v>
      </c>
      <c r="S506" s="29" t="s">
        <v>1760</v>
      </c>
      <c r="T506" s="49" t="s">
        <v>2028</v>
      </c>
      <c r="U506" s="107" t="s">
        <v>2029</v>
      </c>
      <c r="V506" s="31"/>
      <c r="W506" s="66" t="s">
        <v>1747</v>
      </c>
      <c r="X506" s="66"/>
      <c r="Y506" s="16">
        <v>1</v>
      </c>
      <c r="Z506" s="31" t="s">
        <v>49</v>
      </c>
      <c r="AA506" s="31" t="s">
        <v>2066</v>
      </c>
      <c r="AB506" s="18">
        <v>2018</v>
      </c>
      <c r="AC506" s="16" t="s">
        <v>51</v>
      </c>
      <c r="AD506" s="137"/>
      <c r="AE506" s="29"/>
      <c r="AF506" s="29"/>
      <c r="AG506" s="29"/>
    </row>
    <row r="507" spans="1:33" x14ac:dyDescent="0.4">
      <c r="A507" s="108" t="s">
        <v>1735</v>
      </c>
      <c r="B507" s="49">
        <v>18</v>
      </c>
      <c r="C507" s="17">
        <v>505</v>
      </c>
      <c r="D507" s="18" t="s">
        <v>2067</v>
      </c>
      <c r="E507" s="135">
        <v>2339225</v>
      </c>
      <c r="F507" s="29"/>
      <c r="G507" s="109" t="s">
        <v>988</v>
      </c>
      <c r="H507" s="114" t="s">
        <v>2022</v>
      </c>
      <c r="I507" s="114" t="s">
        <v>2022</v>
      </c>
      <c r="J507" s="113" t="s">
        <v>2023</v>
      </c>
      <c r="K507" s="113" t="s">
        <v>2024</v>
      </c>
      <c r="L507" s="113" t="s">
        <v>2068</v>
      </c>
      <c r="M507" s="29" t="s">
        <v>1791</v>
      </c>
      <c r="N507" s="100" t="s">
        <v>2064</v>
      </c>
      <c r="O507" s="136" t="s">
        <v>2069</v>
      </c>
      <c r="P507" s="29" t="s">
        <v>1793</v>
      </c>
      <c r="Q507" s="24" t="s">
        <v>17</v>
      </c>
      <c r="R507" s="66" t="s">
        <v>1744</v>
      </c>
      <c r="S507" s="29" t="s">
        <v>1760</v>
      </c>
      <c r="T507" s="49" t="s">
        <v>2028</v>
      </c>
      <c r="U507" s="107" t="s">
        <v>2029</v>
      </c>
      <c r="V507" s="31"/>
      <c r="W507" s="66" t="s">
        <v>1747</v>
      </c>
      <c r="X507" s="66"/>
      <c r="Y507" s="16">
        <v>1</v>
      </c>
      <c r="Z507" s="31" t="s">
        <v>49</v>
      </c>
      <c r="AA507" s="31" t="s">
        <v>2066</v>
      </c>
      <c r="AB507" s="18">
        <v>2018</v>
      </c>
      <c r="AC507" s="16" t="s">
        <v>51</v>
      </c>
      <c r="AD507" s="137"/>
      <c r="AE507" s="29"/>
      <c r="AF507" s="29"/>
      <c r="AG507" s="29"/>
    </row>
    <row r="508" spans="1:33" x14ac:dyDescent="0.4">
      <c r="A508" s="108" t="s">
        <v>1735</v>
      </c>
      <c r="B508" s="49">
        <v>19</v>
      </c>
      <c r="C508" s="18">
        <v>506</v>
      </c>
      <c r="D508" s="77"/>
      <c r="E508" s="49">
        <v>2339225</v>
      </c>
      <c r="F508" s="29"/>
      <c r="G508" s="109" t="s">
        <v>988</v>
      </c>
      <c r="H508" s="114" t="s">
        <v>2022</v>
      </c>
      <c r="I508" s="114" t="s">
        <v>2022</v>
      </c>
      <c r="J508" s="113" t="s">
        <v>2023</v>
      </c>
      <c r="K508" s="113" t="s">
        <v>2024</v>
      </c>
      <c r="L508" s="113" t="s">
        <v>2070</v>
      </c>
      <c r="M508" s="29" t="s">
        <v>1791</v>
      </c>
      <c r="N508" s="100" t="s">
        <v>2064</v>
      </c>
      <c r="O508" s="136" t="s">
        <v>2071</v>
      </c>
      <c r="P508" s="29" t="s">
        <v>1793</v>
      </c>
      <c r="Q508" s="24" t="s">
        <v>116</v>
      </c>
      <c r="R508" s="66" t="s">
        <v>1744</v>
      </c>
      <c r="S508" s="29" t="s">
        <v>1760</v>
      </c>
      <c r="T508" s="49" t="s">
        <v>2028</v>
      </c>
      <c r="U508" s="107" t="s">
        <v>2029</v>
      </c>
      <c r="V508" s="31"/>
      <c r="W508" s="66" t="s">
        <v>1747</v>
      </c>
      <c r="X508" s="66"/>
      <c r="Y508" s="16">
        <v>1</v>
      </c>
      <c r="Z508" s="31" t="s">
        <v>49</v>
      </c>
      <c r="AA508" s="31" t="s">
        <v>2066</v>
      </c>
      <c r="AB508" s="18">
        <v>2018</v>
      </c>
      <c r="AC508" s="16" t="s">
        <v>131</v>
      </c>
      <c r="AD508" s="137"/>
      <c r="AE508" s="29"/>
      <c r="AF508" s="29"/>
      <c r="AG508" s="29"/>
    </row>
    <row r="509" spans="1:33" x14ac:dyDescent="0.4">
      <c r="A509" s="108" t="s">
        <v>1735</v>
      </c>
      <c r="B509" s="49">
        <v>20</v>
      </c>
      <c r="C509" s="18">
        <v>507</v>
      </c>
      <c r="D509" s="17"/>
      <c r="E509" s="49">
        <v>2339225</v>
      </c>
      <c r="F509" s="29"/>
      <c r="G509" s="109" t="s">
        <v>988</v>
      </c>
      <c r="H509" s="114" t="s">
        <v>2022</v>
      </c>
      <c r="I509" s="114" t="s">
        <v>2022</v>
      </c>
      <c r="J509" s="113" t="s">
        <v>2023</v>
      </c>
      <c r="K509" s="113" t="s">
        <v>2024</v>
      </c>
      <c r="L509" s="113" t="s">
        <v>2072</v>
      </c>
      <c r="M509" s="29" t="s">
        <v>1791</v>
      </c>
      <c r="N509" s="100" t="s">
        <v>2073</v>
      </c>
      <c r="O509" s="136" t="s">
        <v>2074</v>
      </c>
      <c r="P509" s="29" t="s">
        <v>1793</v>
      </c>
      <c r="Q509" s="24" t="s">
        <v>116</v>
      </c>
      <c r="R509" s="66" t="s">
        <v>1744</v>
      </c>
      <c r="S509" s="29" t="s">
        <v>1760</v>
      </c>
      <c r="T509" s="49" t="s">
        <v>2028</v>
      </c>
      <c r="U509" s="107" t="s">
        <v>2029</v>
      </c>
      <c r="V509" s="31"/>
      <c r="W509" s="66" t="s">
        <v>1747</v>
      </c>
      <c r="X509" s="66"/>
      <c r="Y509" s="16">
        <v>1</v>
      </c>
      <c r="Z509" s="31" t="s">
        <v>49</v>
      </c>
      <c r="AA509" s="31" t="s">
        <v>2066</v>
      </c>
      <c r="AB509" s="18">
        <v>2018</v>
      </c>
      <c r="AC509" s="16" t="s">
        <v>131</v>
      </c>
      <c r="AD509" s="137"/>
      <c r="AE509" s="29"/>
      <c r="AF509" s="29"/>
      <c r="AG509" s="29"/>
    </row>
    <row r="510" spans="1:33" x14ac:dyDescent="0.4">
      <c r="A510" s="108" t="s">
        <v>1735</v>
      </c>
      <c r="B510" s="49">
        <v>21</v>
      </c>
      <c r="C510" s="18">
        <v>508</v>
      </c>
      <c r="D510" s="17"/>
      <c r="E510" s="49">
        <v>2339225</v>
      </c>
      <c r="F510" s="29"/>
      <c r="G510" s="109" t="s">
        <v>988</v>
      </c>
      <c r="H510" s="114" t="s">
        <v>2022</v>
      </c>
      <c r="I510" s="114" t="s">
        <v>2022</v>
      </c>
      <c r="J510" s="113" t="s">
        <v>2023</v>
      </c>
      <c r="K510" s="113" t="s">
        <v>2024</v>
      </c>
      <c r="L510" s="113" t="s">
        <v>2075</v>
      </c>
      <c r="M510" s="29" t="s">
        <v>1791</v>
      </c>
      <c r="N510" s="138" t="s">
        <v>2073</v>
      </c>
      <c r="O510" s="109" t="s">
        <v>2076</v>
      </c>
      <c r="P510" s="29" t="s">
        <v>1793</v>
      </c>
      <c r="Q510" s="24" t="s">
        <v>116</v>
      </c>
      <c r="R510" s="66" t="s">
        <v>1744</v>
      </c>
      <c r="S510" s="29" t="s">
        <v>1760</v>
      </c>
      <c r="T510" s="49" t="s">
        <v>2028</v>
      </c>
      <c r="U510" s="107" t="s">
        <v>2029</v>
      </c>
      <c r="V510" s="31"/>
      <c r="W510" s="66" t="s">
        <v>1747</v>
      </c>
      <c r="X510" s="66"/>
      <c r="Y510" s="16">
        <v>1</v>
      </c>
      <c r="Z510" s="31" t="s">
        <v>49</v>
      </c>
      <c r="AA510" s="31" t="s">
        <v>2066</v>
      </c>
      <c r="AB510" s="18">
        <v>2018</v>
      </c>
      <c r="AC510" s="16" t="s">
        <v>51</v>
      </c>
      <c r="AD510" s="137" t="s">
        <v>2077</v>
      </c>
      <c r="AE510" s="29"/>
      <c r="AF510" s="29"/>
      <c r="AG510" s="29"/>
    </row>
    <row r="511" spans="1:33" ht="27" x14ac:dyDescent="0.4">
      <c r="A511" s="108" t="s">
        <v>1735</v>
      </c>
      <c r="B511" s="49">
        <v>22</v>
      </c>
      <c r="C511" s="18">
        <v>509</v>
      </c>
      <c r="D511" s="17"/>
      <c r="E511" s="49">
        <v>2339225</v>
      </c>
      <c r="F511" s="29"/>
      <c r="G511" s="109" t="s">
        <v>988</v>
      </c>
      <c r="H511" s="114" t="s">
        <v>2022</v>
      </c>
      <c r="I511" s="114" t="s">
        <v>2022</v>
      </c>
      <c r="J511" s="113" t="s">
        <v>2023</v>
      </c>
      <c r="K511" s="113" t="s">
        <v>2024</v>
      </c>
      <c r="L511" s="113" t="s">
        <v>2078</v>
      </c>
      <c r="M511" s="29" t="s">
        <v>1791</v>
      </c>
      <c r="N511" s="100" t="s">
        <v>2073</v>
      </c>
      <c r="O511" s="136" t="s">
        <v>2079</v>
      </c>
      <c r="P511" s="29" t="s">
        <v>1793</v>
      </c>
      <c r="Q511" s="24" t="s">
        <v>116</v>
      </c>
      <c r="R511" s="66" t="s">
        <v>1744</v>
      </c>
      <c r="S511" s="29" t="s">
        <v>1760</v>
      </c>
      <c r="T511" s="49" t="s">
        <v>2028</v>
      </c>
      <c r="U511" s="107" t="s">
        <v>2029</v>
      </c>
      <c r="V511" s="31"/>
      <c r="W511" s="66" t="s">
        <v>1747</v>
      </c>
      <c r="X511" s="66"/>
      <c r="Y511" s="16">
        <v>1</v>
      </c>
      <c r="Z511" s="31" t="s">
        <v>49</v>
      </c>
      <c r="AA511" s="31" t="s">
        <v>2066</v>
      </c>
      <c r="AB511" s="18">
        <v>2018</v>
      </c>
      <c r="AC511" s="16" t="s">
        <v>51</v>
      </c>
      <c r="AD511" s="137" t="s">
        <v>2080</v>
      </c>
      <c r="AE511" s="29"/>
      <c r="AF511" s="29"/>
      <c r="AG511" s="29"/>
    </row>
    <row r="512" spans="1:33" ht="27" x14ac:dyDescent="0.4">
      <c r="A512" s="108" t="s">
        <v>1735</v>
      </c>
      <c r="B512" s="49">
        <v>23</v>
      </c>
      <c r="C512" s="18">
        <v>510</v>
      </c>
      <c r="D512" s="17"/>
      <c r="E512" s="49">
        <v>2339225</v>
      </c>
      <c r="F512" s="29"/>
      <c r="G512" s="109" t="s">
        <v>988</v>
      </c>
      <c r="H512" s="114" t="s">
        <v>2022</v>
      </c>
      <c r="I512" s="114" t="s">
        <v>2022</v>
      </c>
      <c r="J512" s="113" t="s">
        <v>2023</v>
      </c>
      <c r="K512" s="113" t="s">
        <v>2024</v>
      </c>
      <c r="L512" s="113" t="s">
        <v>2081</v>
      </c>
      <c r="M512" s="29" t="s">
        <v>1791</v>
      </c>
      <c r="N512" s="100" t="s">
        <v>2073</v>
      </c>
      <c r="O512" s="136" t="s">
        <v>2082</v>
      </c>
      <c r="P512" s="29" t="s">
        <v>1793</v>
      </c>
      <c r="Q512" s="24" t="s">
        <v>116</v>
      </c>
      <c r="R512" s="66" t="s">
        <v>1744</v>
      </c>
      <c r="S512" s="29" t="s">
        <v>1760</v>
      </c>
      <c r="T512" s="49" t="s">
        <v>2028</v>
      </c>
      <c r="U512" s="107" t="s">
        <v>2029</v>
      </c>
      <c r="V512" s="31"/>
      <c r="W512" s="66" t="s">
        <v>1747</v>
      </c>
      <c r="X512" s="66"/>
      <c r="Y512" s="16">
        <v>1</v>
      </c>
      <c r="Z512" s="31" t="s">
        <v>49</v>
      </c>
      <c r="AA512" s="31" t="s">
        <v>2066</v>
      </c>
      <c r="AB512" s="18">
        <v>2018</v>
      </c>
      <c r="AC512" s="16" t="s">
        <v>131</v>
      </c>
      <c r="AD512" s="137" t="s">
        <v>2080</v>
      </c>
      <c r="AE512" s="29"/>
      <c r="AF512" s="29"/>
      <c r="AG512" s="29"/>
    </row>
    <row r="513" spans="1:33" x14ac:dyDescent="0.4">
      <c r="A513" s="108" t="s">
        <v>1735</v>
      </c>
      <c r="B513" s="49">
        <v>24</v>
      </c>
      <c r="C513" s="18">
        <v>511</v>
      </c>
      <c r="D513" s="17"/>
      <c r="E513" s="49">
        <v>2339225</v>
      </c>
      <c r="F513" s="29"/>
      <c r="G513" s="109" t="s">
        <v>988</v>
      </c>
      <c r="H513" s="114" t="s">
        <v>2022</v>
      </c>
      <c r="I513" s="114" t="s">
        <v>2022</v>
      </c>
      <c r="J513" s="113" t="s">
        <v>2023</v>
      </c>
      <c r="K513" s="113" t="s">
        <v>2024</v>
      </c>
      <c r="L513" s="113" t="s">
        <v>2083</v>
      </c>
      <c r="M513" s="29" t="s">
        <v>1791</v>
      </c>
      <c r="N513" s="71"/>
      <c r="O513" s="109"/>
      <c r="P513" s="29" t="s">
        <v>1793</v>
      </c>
      <c r="Q513" s="24" t="s">
        <v>116</v>
      </c>
      <c r="R513" s="66" t="s">
        <v>1744</v>
      </c>
      <c r="S513" s="29" t="s">
        <v>1760</v>
      </c>
      <c r="T513" s="49" t="s">
        <v>2028</v>
      </c>
      <c r="U513" s="107" t="s">
        <v>2029</v>
      </c>
      <c r="V513" s="31"/>
      <c r="W513" s="66" t="s">
        <v>1747</v>
      </c>
      <c r="X513" s="66"/>
      <c r="Y513" s="16">
        <v>1</v>
      </c>
      <c r="Z513" s="31" t="s">
        <v>49</v>
      </c>
      <c r="AA513" s="31" t="s">
        <v>2066</v>
      </c>
      <c r="AB513" s="18">
        <v>2018</v>
      </c>
      <c r="AC513" s="16" t="s">
        <v>131</v>
      </c>
      <c r="AD513" s="137" t="s">
        <v>2084</v>
      </c>
      <c r="AE513" s="29"/>
      <c r="AF513" s="29"/>
      <c r="AG513" s="29"/>
    </row>
    <row r="514" spans="1:33" x14ac:dyDescent="0.4">
      <c r="A514" s="108" t="s">
        <v>1735</v>
      </c>
      <c r="B514" s="49">
        <v>25</v>
      </c>
      <c r="C514" s="18">
        <v>512</v>
      </c>
      <c r="D514" s="17"/>
      <c r="E514" s="49">
        <v>2339225</v>
      </c>
      <c r="F514" s="29"/>
      <c r="G514" s="109" t="s">
        <v>988</v>
      </c>
      <c r="H514" s="114" t="s">
        <v>2022</v>
      </c>
      <c r="I514" s="114" t="s">
        <v>2022</v>
      </c>
      <c r="J514" s="113" t="s">
        <v>2023</v>
      </c>
      <c r="K514" s="113" t="s">
        <v>2024</v>
      </c>
      <c r="L514" s="113" t="s">
        <v>2085</v>
      </c>
      <c r="M514" s="29" t="s">
        <v>1791</v>
      </c>
      <c r="N514" s="138" t="s">
        <v>2064</v>
      </c>
      <c r="O514" s="136" t="s">
        <v>2065</v>
      </c>
      <c r="P514" s="29" t="s">
        <v>1793</v>
      </c>
      <c r="Q514" s="24" t="s">
        <v>116</v>
      </c>
      <c r="R514" s="66" t="s">
        <v>1744</v>
      </c>
      <c r="S514" s="29" t="s">
        <v>1760</v>
      </c>
      <c r="T514" s="49" t="s">
        <v>2028</v>
      </c>
      <c r="U514" s="107" t="s">
        <v>2029</v>
      </c>
      <c r="V514" s="31"/>
      <c r="W514" s="66" t="s">
        <v>1747</v>
      </c>
      <c r="X514" s="66"/>
      <c r="Y514" s="16">
        <v>1</v>
      </c>
      <c r="Z514" s="31" t="s">
        <v>49</v>
      </c>
      <c r="AA514" s="31" t="s">
        <v>2066</v>
      </c>
      <c r="AB514" s="18">
        <v>2018</v>
      </c>
      <c r="AC514" s="16" t="s">
        <v>131</v>
      </c>
      <c r="AD514" s="137" t="s">
        <v>2086</v>
      </c>
      <c r="AE514" s="29"/>
      <c r="AF514" s="29"/>
      <c r="AG514" s="29"/>
    </row>
    <row r="515" spans="1:33" x14ac:dyDescent="0.4">
      <c r="A515" s="108" t="s">
        <v>1735</v>
      </c>
      <c r="B515" s="49">
        <v>26</v>
      </c>
      <c r="C515" s="18">
        <v>513</v>
      </c>
      <c r="D515" s="17"/>
      <c r="E515" s="49">
        <v>2339225</v>
      </c>
      <c r="F515" s="29"/>
      <c r="G515" s="109" t="s">
        <v>988</v>
      </c>
      <c r="H515" s="114" t="s">
        <v>2022</v>
      </c>
      <c r="I515" s="114" t="s">
        <v>2022</v>
      </c>
      <c r="J515" s="113" t="s">
        <v>2023</v>
      </c>
      <c r="K515" s="113" t="s">
        <v>2024</v>
      </c>
      <c r="L515" s="113" t="s">
        <v>2087</v>
      </c>
      <c r="M515" s="29" t="s">
        <v>1791</v>
      </c>
      <c r="N515" s="60"/>
      <c r="O515" s="109"/>
      <c r="P515" s="29" t="s">
        <v>1793</v>
      </c>
      <c r="Q515" s="24" t="s">
        <v>116</v>
      </c>
      <c r="R515" s="66" t="s">
        <v>1744</v>
      </c>
      <c r="S515" s="29" t="s">
        <v>1760</v>
      </c>
      <c r="T515" s="49" t="s">
        <v>2028</v>
      </c>
      <c r="U515" s="107" t="s">
        <v>2029</v>
      </c>
      <c r="V515" s="31"/>
      <c r="W515" s="66" t="s">
        <v>1747</v>
      </c>
      <c r="X515" s="66"/>
      <c r="Y515" s="16">
        <v>1</v>
      </c>
      <c r="Z515" s="31" t="s">
        <v>49</v>
      </c>
      <c r="AA515" s="31" t="s">
        <v>2066</v>
      </c>
      <c r="AB515" s="18">
        <v>2018</v>
      </c>
      <c r="AC515" s="16" t="s">
        <v>51</v>
      </c>
      <c r="AD515" s="137" t="s">
        <v>2084</v>
      </c>
      <c r="AE515" s="29"/>
      <c r="AF515" s="29"/>
      <c r="AG515" s="29"/>
    </row>
    <row r="516" spans="1:33" ht="27" x14ac:dyDescent="0.4">
      <c r="A516" s="108" t="s">
        <v>1735</v>
      </c>
      <c r="B516" s="49">
        <v>27</v>
      </c>
      <c r="C516" s="18">
        <v>514</v>
      </c>
      <c r="D516" s="17"/>
      <c r="E516" s="49">
        <v>2339225</v>
      </c>
      <c r="F516" s="29"/>
      <c r="G516" s="109" t="s">
        <v>988</v>
      </c>
      <c r="H516" s="114" t="s">
        <v>2022</v>
      </c>
      <c r="I516" s="114" t="s">
        <v>2022</v>
      </c>
      <c r="J516" s="113" t="s">
        <v>2023</v>
      </c>
      <c r="K516" s="113" t="s">
        <v>2024</v>
      </c>
      <c r="L516" s="113" t="s">
        <v>2088</v>
      </c>
      <c r="M516" s="29" t="s">
        <v>1791</v>
      </c>
      <c r="N516" s="100" t="s">
        <v>2073</v>
      </c>
      <c r="O516" s="136" t="s">
        <v>2089</v>
      </c>
      <c r="P516" s="29" t="s">
        <v>1793</v>
      </c>
      <c r="Q516" s="24" t="s">
        <v>116</v>
      </c>
      <c r="R516" s="66" t="s">
        <v>1744</v>
      </c>
      <c r="S516" s="29" t="s">
        <v>1760</v>
      </c>
      <c r="T516" s="49" t="s">
        <v>2028</v>
      </c>
      <c r="U516" s="107" t="s">
        <v>2029</v>
      </c>
      <c r="V516" s="31"/>
      <c r="W516" s="66" t="s">
        <v>1747</v>
      </c>
      <c r="X516" s="66"/>
      <c r="Y516" s="16">
        <v>1</v>
      </c>
      <c r="Z516" s="31" t="s">
        <v>49</v>
      </c>
      <c r="AA516" s="31" t="s">
        <v>2066</v>
      </c>
      <c r="AB516" s="18">
        <v>2018</v>
      </c>
      <c r="AC516" s="16" t="s">
        <v>51</v>
      </c>
      <c r="AD516" s="137" t="s">
        <v>2080</v>
      </c>
      <c r="AE516" s="29"/>
      <c r="AF516" s="29"/>
      <c r="AG516" s="29"/>
    </row>
    <row r="517" spans="1:33" ht="27" x14ac:dyDescent="0.4">
      <c r="A517" s="108" t="s">
        <v>1735</v>
      </c>
      <c r="B517" s="49">
        <v>28</v>
      </c>
      <c r="C517" s="18">
        <v>515</v>
      </c>
      <c r="D517" s="17"/>
      <c r="E517" s="49">
        <v>2339225</v>
      </c>
      <c r="F517" s="29"/>
      <c r="G517" s="109" t="s">
        <v>988</v>
      </c>
      <c r="H517" s="114" t="s">
        <v>2022</v>
      </c>
      <c r="I517" s="114" t="s">
        <v>2022</v>
      </c>
      <c r="J517" s="113" t="s">
        <v>2023</v>
      </c>
      <c r="K517" s="113" t="s">
        <v>2024</v>
      </c>
      <c r="L517" s="113" t="s">
        <v>2090</v>
      </c>
      <c r="M517" s="29" t="s">
        <v>1791</v>
      </c>
      <c r="N517" s="100" t="s">
        <v>2073</v>
      </c>
      <c r="O517" s="136" t="s">
        <v>2091</v>
      </c>
      <c r="P517" s="29" t="s">
        <v>1793</v>
      </c>
      <c r="Q517" s="24" t="s">
        <v>116</v>
      </c>
      <c r="R517" s="66" t="s">
        <v>1744</v>
      </c>
      <c r="S517" s="29" t="s">
        <v>1760</v>
      </c>
      <c r="T517" s="49" t="s">
        <v>2028</v>
      </c>
      <c r="U517" s="107" t="s">
        <v>2029</v>
      </c>
      <c r="V517" s="31"/>
      <c r="W517" s="66" t="s">
        <v>1747</v>
      </c>
      <c r="X517" s="66"/>
      <c r="Y517" s="16">
        <v>1</v>
      </c>
      <c r="Z517" s="31" t="s">
        <v>49</v>
      </c>
      <c r="AA517" s="31" t="s">
        <v>2066</v>
      </c>
      <c r="AB517" s="18">
        <v>2018</v>
      </c>
      <c r="AC517" s="16" t="s">
        <v>51</v>
      </c>
      <c r="AD517" s="137" t="s">
        <v>2080</v>
      </c>
      <c r="AE517" s="29"/>
      <c r="AF517" s="29"/>
      <c r="AG517" s="29"/>
    </row>
    <row r="518" spans="1:33" x14ac:dyDescent="0.4">
      <c r="A518" s="108" t="s">
        <v>1735</v>
      </c>
      <c r="B518" s="49">
        <v>1</v>
      </c>
      <c r="C518" s="18">
        <v>516</v>
      </c>
      <c r="D518" s="17"/>
      <c r="E518" s="49">
        <v>2406897</v>
      </c>
      <c r="F518" s="29"/>
      <c r="G518" s="109" t="s">
        <v>779</v>
      </c>
      <c r="H518" s="114" t="s">
        <v>2092</v>
      </c>
      <c r="I518" s="114" t="s">
        <v>2092</v>
      </c>
      <c r="J518" s="113" t="s">
        <v>2093</v>
      </c>
      <c r="K518" s="113" t="s">
        <v>2094</v>
      </c>
      <c r="L518" s="113" t="s">
        <v>2095</v>
      </c>
      <c r="M518" s="29" t="s">
        <v>1741</v>
      </c>
      <c r="N518" s="71" t="s">
        <v>1742</v>
      </c>
      <c r="O518" s="109"/>
      <c r="P518" s="29" t="s">
        <v>1743</v>
      </c>
      <c r="Q518" s="24" t="s">
        <v>116</v>
      </c>
      <c r="R518" s="66" t="s">
        <v>1744</v>
      </c>
      <c r="S518" s="29" t="s">
        <v>68</v>
      </c>
      <c r="T518" s="49" t="s">
        <v>2096</v>
      </c>
      <c r="U518" s="107" t="s">
        <v>2097</v>
      </c>
      <c r="V518" s="31"/>
      <c r="W518" s="66" t="s">
        <v>2098</v>
      </c>
      <c r="X518" s="66"/>
      <c r="Y518" s="16">
        <v>1</v>
      </c>
      <c r="Z518" s="31"/>
      <c r="AA518" s="31"/>
      <c r="AB518" s="18">
        <v>2016</v>
      </c>
      <c r="AC518" s="16" t="s">
        <v>51</v>
      </c>
      <c r="AD518" s="30"/>
      <c r="AE518" s="29"/>
      <c r="AF518" s="29"/>
      <c r="AG518" s="29"/>
    </row>
    <row r="519" spans="1:33" x14ac:dyDescent="0.4">
      <c r="A519" s="108" t="s">
        <v>1735</v>
      </c>
      <c r="B519" s="49">
        <v>2</v>
      </c>
      <c r="C519" s="18">
        <v>517</v>
      </c>
      <c r="D519" s="17"/>
      <c r="E519" s="49">
        <v>2406897</v>
      </c>
      <c r="F519" s="29"/>
      <c r="G519" s="109" t="s">
        <v>779</v>
      </c>
      <c r="H519" s="114" t="s">
        <v>2092</v>
      </c>
      <c r="I519" s="114" t="s">
        <v>2092</v>
      </c>
      <c r="J519" s="113" t="s">
        <v>2093</v>
      </c>
      <c r="K519" s="113" t="s">
        <v>2094</v>
      </c>
      <c r="L519" s="113" t="s">
        <v>2099</v>
      </c>
      <c r="M519" s="29" t="s">
        <v>1741</v>
      </c>
      <c r="N519" s="29" t="s">
        <v>1742</v>
      </c>
      <c r="O519" s="109"/>
      <c r="P519" s="29" t="s">
        <v>1743</v>
      </c>
      <c r="Q519" s="24" t="s">
        <v>116</v>
      </c>
      <c r="R519" s="66" t="s">
        <v>1744</v>
      </c>
      <c r="S519" s="29" t="s">
        <v>68</v>
      </c>
      <c r="T519" s="49" t="s">
        <v>2096</v>
      </c>
      <c r="U519" s="107" t="s">
        <v>2097</v>
      </c>
      <c r="V519" s="31"/>
      <c r="W519" s="66" t="s">
        <v>2098</v>
      </c>
      <c r="X519" s="66"/>
      <c r="Y519" s="16">
        <v>1</v>
      </c>
      <c r="Z519" s="31"/>
      <c r="AA519" s="31"/>
      <c r="AB519" s="18">
        <v>2016</v>
      </c>
      <c r="AC519" s="16" t="s">
        <v>51</v>
      </c>
      <c r="AD519" s="30"/>
      <c r="AE519" s="29"/>
      <c r="AF519" s="29"/>
      <c r="AG519" s="29"/>
    </row>
    <row r="520" spans="1:33" x14ac:dyDescent="0.4">
      <c r="A520" s="108" t="s">
        <v>1735</v>
      </c>
      <c r="B520" s="49">
        <v>3</v>
      </c>
      <c r="C520" s="18">
        <v>518</v>
      </c>
      <c r="D520" s="17"/>
      <c r="E520" s="49">
        <v>2406897</v>
      </c>
      <c r="F520" s="29"/>
      <c r="G520" s="109" t="s">
        <v>779</v>
      </c>
      <c r="H520" s="114" t="s">
        <v>2092</v>
      </c>
      <c r="I520" s="114" t="s">
        <v>2092</v>
      </c>
      <c r="J520" s="113" t="s">
        <v>2093</v>
      </c>
      <c r="K520" s="113" t="s">
        <v>2094</v>
      </c>
      <c r="L520" s="113" t="s">
        <v>2100</v>
      </c>
      <c r="M520" s="29" t="s">
        <v>1741</v>
      </c>
      <c r="N520" s="29" t="s">
        <v>1742</v>
      </c>
      <c r="O520" s="109"/>
      <c r="P520" s="29" t="s">
        <v>1743</v>
      </c>
      <c r="Q520" s="24" t="s">
        <v>116</v>
      </c>
      <c r="R520" s="66" t="s">
        <v>1744</v>
      </c>
      <c r="S520" s="29" t="s">
        <v>68</v>
      </c>
      <c r="T520" s="49" t="s">
        <v>2096</v>
      </c>
      <c r="U520" s="107" t="s">
        <v>2097</v>
      </c>
      <c r="V520" s="31"/>
      <c r="W520" s="66" t="s">
        <v>2098</v>
      </c>
      <c r="X520" s="66"/>
      <c r="Y520" s="16">
        <v>1</v>
      </c>
      <c r="Z520" s="31"/>
      <c r="AA520" s="31"/>
      <c r="AB520" s="18">
        <v>2016</v>
      </c>
      <c r="AC520" s="16" t="s">
        <v>51</v>
      </c>
      <c r="AD520" s="30"/>
      <c r="AE520" s="29"/>
      <c r="AF520" s="29"/>
      <c r="AG520" s="29"/>
    </row>
    <row r="521" spans="1:33" x14ac:dyDescent="0.4">
      <c r="A521" s="108" t="s">
        <v>1735</v>
      </c>
      <c r="B521" s="49">
        <v>4</v>
      </c>
      <c r="C521" s="18">
        <v>519</v>
      </c>
      <c r="D521" s="17"/>
      <c r="E521" s="49">
        <v>2406897</v>
      </c>
      <c r="F521" s="29"/>
      <c r="G521" s="109" t="s">
        <v>779</v>
      </c>
      <c r="H521" s="114" t="s">
        <v>2092</v>
      </c>
      <c r="I521" s="114" t="s">
        <v>2092</v>
      </c>
      <c r="J521" s="113" t="s">
        <v>2093</v>
      </c>
      <c r="K521" s="113" t="s">
        <v>2094</v>
      </c>
      <c r="L521" s="113" t="s">
        <v>2101</v>
      </c>
      <c r="M521" s="29" t="s">
        <v>1741</v>
      </c>
      <c r="N521" s="29" t="s">
        <v>1742</v>
      </c>
      <c r="O521" s="109"/>
      <c r="P521" s="29" t="s">
        <v>1743</v>
      </c>
      <c r="Q521" s="24" t="s">
        <v>116</v>
      </c>
      <c r="R521" s="66" t="s">
        <v>1744</v>
      </c>
      <c r="S521" s="29" t="s">
        <v>68</v>
      </c>
      <c r="T521" s="49" t="s">
        <v>2096</v>
      </c>
      <c r="U521" s="107" t="s">
        <v>2097</v>
      </c>
      <c r="V521" s="31"/>
      <c r="W521" s="66" t="s">
        <v>2098</v>
      </c>
      <c r="X521" s="66"/>
      <c r="Y521" s="16">
        <v>1</v>
      </c>
      <c r="Z521" s="31"/>
      <c r="AA521" s="31"/>
      <c r="AB521" s="18">
        <v>2016</v>
      </c>
      <c r="AC521" s="16" t="s">
        <v>51</v>
      </c>
      <c r="AD521" s="30"/>
      <c r="AE521" s="29"/>
      <c r="AF521" s="29"/>
      <c r="AG521" s="29"/>
    </row>
    <row r="522" spans="1:33" x14ac:dyDescent="0.4">
      <c r="A522" s="108" t="s">
        <v>1735</v>
      </c>
      <c r="B522" s="49">
        <v>5</v>
      </c>
      <c r="C522" s="18">
        <v>520</v>
      </c>
      <c r="D522" s="17"/>
      <c r="E522" s="49">
        <v>2406897</v>
      </c>
      <c r="F522" s="29"/>
      <c r="G522" s="109" t="s">
        <v>779</v>
      </c>
      <c r="H522" s="114" t="s">
        <v>2092</v>
      </c>
      <c r="I522" s="114" t="s">
        <v>2092</v>
      </c>
      <c r="J522" s="113" t="s">
        <v>2093</v>
      </c>
      <c r="K522" s="113" t="s">
        <v>2094</v>
      </c>
      <c r="L522" s="113" t="s">
        <v>2102</v>
      </c>
      <c r="M522" s="29" t="s">
        <v>1741</v>
      </c>
      <c r="N522" s="29" t="s">
        <v>1742</v>
      </c>
      <c r="O522" s="109"/>
      <c r="P522" s="29" t="s">
        <v>1743</v>
      </c>
      <c r="Q522" s="24" t="s">
        <v>116</v>
      </c>
      <c r="R522" s="66" t="s">
        <v>1744</v>
      </c>
      <c r="S522" s="29" t="s">
        <v>68</v>
      </c>
      <c r="T522" s="49" t="s">
        <v>2096</v>
      </c>
      <c r="U522" s="107" t="s">
        <v>2097</v>
      </c>
      <c r="V522" s="31"/>
      <c r="W522" s="66" t="s">
        <v>2098</v>
      </c>
      <c r="X522" s="66"/>
      <c r="Y522" s="16">
        <v>1</v>
      </c>
      <c r="Z522" s="31"/>
      <c r="AA522" s="31"/>
      <c r="AB522" s="18">
        <v>2016</v>
      </c>
      <c r="AC522" s="16" t="s">
        <v>51</v>
      </c>
      <c r="AD522" s="30"/>
      <c r="AE522" s="29"/>
      <c r="AF522" s="29"/>
      <c r="AG522" s="29"/>
    </row>
    <row r="523" spans="1:33" x14ac:dyDescent="0.4">
      <c r="A523" s="108" t="s">
        <v>1735</v>
      </c>
      <c r="B523" s="49">
        <v>6</v>
      </c>
      <c r="C523" s="18">
        <v>521</v>
      </c>
      <c r="D523" s="17"/>
      <c r="E523" s="49">
        <v>2406897</v>
      </c>
      <c r="F523" s="29"/>
      <c r="G523" s="109" t="s">
        <v>779</v>
      </c>
      <c r="H523" s="114" t="s">
        <v>2092</v>
      </c>
      <c r="I523" s="114" t="s">
        <v>2092</v>
      </c>
      <c r="J523" s="113" t="s">
        <v>2093</v>
      </c>
      <c r="K523" s="113" t="s">
        <v>2094</v>
      </c>
      <c r="L523" s="113" t="s">
        <v>2103</v>
      </c>
      <c r="M523" s="29" t="s">
        <v>1741</v>
      </c>
      <c r="N523" s="29" t="s">
        <v>1742</v>
      </c>
      <c r="O523" s="109"/>
      <c r="P523" s="29" t="s">
        <v>1743</v>
      </c>
      <c r="Q523" s="24" t="s">
        <v>116</v>
      </c>
      <c r="R523" s="66" t="s">
        <v>1744</v>
      </c>
      <c r="S523" s="29" t="s">
        <v>68</v>
      </c>
      <c r="T523" s="49" t="s">
        <v>2096</v>
      </c>
      <c r="U523" s="107" t="s">
        <v>2097</v>
      </c>
      <c r="V523" s="31"/>
      <c r="W523" s="66" t="s">
        <v>2098</v>
      </c>
      <c r="X523" s="66"/>
      <c r="Y523" s="16">
        <v>1</v>
      </c>
      <c r="Z523" s="31"/>
      <c r="AA523" s="31"/>
      <c r="AB523" s="18">
        <v>2016</v>
      </c>
      <c r="AC523" s="16" t="s">
        <v>51</v>
      </c>
      <c r="AD523" s="30"/>
      <c r="AE523" s="29"/>
      <c r="AF523" s="29"/>
      <c r="AG523" s="29"/>
    </row>
    <row r="524" spans="1:33" x14ac:dyDescent="0.4">
      <c r="A524" s="108" t="s">
        <v>1735</v>
      </c>
      <c r="B524" s="49">
        <v>7</v>
      </c>
      <c r="C524" s="18">
        <v>522</v>
      </c>
      <c r="D524" s="17"/>
      <c r="E524" s="49">
        <v>2406897</v>
      </c>
      <c r="F524" s="29"/>
      <c r="G524" s="109" t="s">
        <v>779</v>
      </c>
      <c r="H524" s="114" t="s">
        <v>2092</v>
      </c>
      <c r="I524" s="114" t="s">
        <v>2092</v>
      </c>
      <c r="J524" s="113" t="s">
        <v>2093</v>
      </c>
      <c r="K524" s="113" t="s">
        <v>2094</v>
      </c>
      <c r="L524" s="113" t="s">
        <v>2104</v>
      </c>
      <c r="M524" s="29" t="s">
        <v>1741</v>
      </c>
      <c r="N524" s="29" t="s">
        <v>1742</v>
      </c>
      <c r="O524" s="109"/>
      <c r="P524" s="29" t="s">
        <v>1743</v>
      </c>
      <c r="Q524" s="24" t="s">
        <v>116</v>
      </c>
      <c r="R524" s="66" t="s">
        <v>1744</v>
      </c>
      <c r="S524" s="29" t="s">
        <v>68</v>
      </c>
      <c r="T524" s="49" t="s">
        <v>2096</v>
      </c>
      <c r="U524" s="107" t="s">
        <v>2097</v>
      </c>
      <c r="V524" s="31"/>
      <c r="W524" s="66" t="s">
        <v>2098</v>
      </c>
      <c r="X524" s="66"/>
      <c r="Y524" s="16">
        <v>1</v>
      </c>
      <c r="Z524" s="31"/>
      <c r="AA524" s="31"/>
      <c r="AB524" s="18">
        <v>2016</v>
      </c>
      <c r="AC524" s="16" t="s">
        <v>51</v>
      </c>
      <c r="AD524" s="30"/>
      <c r="AE524" s="29"/>
      <c r="AF524" s="29"/>
      <c r="AG524" s="29"/>
    </row>
    <row r="525" spans="1:33" x14ac:dyDescent="0.4">
      <c r="A525" s="108" t="s">
        <v>1735</v>
      </c>
      <c r="B525" s="49">
        <v>8</v>
      </c>
      <c r="C525" s="18">
        <v>523</v>
      </c>
      <c r="D525" s="17"/>
      <c r="E525" s="49">
        <v>2406897</v>
      </c>
      <c r="F525" s="29"/>
      <c r="G525" s="109" t="s">
        <v>779</v>
      </c>
      <c r="H525" s="114" t="s">
        <v>2092</v>
      </c>
      <c r="I525" s="114" t="s">
        <v>2092</v>
      </c>
      <c r="J525" s="113" t="s">
        <v>2093</v>
      </c>
      <c r="K525" s="113" t="s">
        <v>2094</v>
      </c>
      <c r="L525" s="113" t="s">
        <v>2105</v>
      </c>
      <c r="M525" s="29" t="s">
        <v>1741</v>
      </c>
      <c r="N525" s="29" t="s">
        <v>1742</v>
      </c>
      <c r="O525" s="109"/>
      <c r="P525" s="29" t="s">
        <v>1743</v>
      </c>
      <c r="Q525" s="24" t="s">
        <v>116</v>
      </c>
      <c r="R525" s="66" t="s">
        <v>1744</v>
      </c>
      <c r="S525" s="29" t="s">
        <v>68</v>
      </c>
      <c r="T525" s="49" t="s">
        <v>2096</v>
      </c>
      <c r="U525" s="107" t="s">
        <v>2097</v>
      </c>
      <c r="V525" s="31"/>
      <c r="W525" s="66" t="s">
        <v>2098</v>
      </c>
      <c r="X525" s="66"/>
      <c r="Y525" s="16">
        <v>1</v>
      </c>
      <c r="Z525" s="31"/>
      <c r="AA525" s="31"/>
      <c r="AB525" s="18">
        <v>2016</v>
      </c>
      <c r="AC525" s="16" t="s">
        <v>51</v>
      </c>
      <c r="AD525" s="30"/>
      <c r="AE525" s="29"/>
      <c r="AF525" s="29"/>
      <c r="AG525" s="29"/>
    </row>
    <row r="526" spans="1:33" x14ac:dyDescent="0.4">
      <c r="A526" s="108" t="s">
        <v>1735</v>
      </c>
      <c r="B526" s="49">
        <v>9</v>
      </c>
      <c r="C526" s="18">
        <v>524</v>
      </c>
      <c r="D526" s="17"/>
      <c r="E526" s="49">
        <v>2406897</v>
      </c>
      <c r="F526" s="29"/>
      <c r="G526" s="109" t="s">
        <v>779</v>
      </c>
      <c r="H526" s="114" t="s">
        <v>2092</v>
      </c>
      <c r="I526" s="114" t="s">
        <v>2092</v>
      </c>
      <c r="J526" s="113" t="s">
        <v>2093</v>
      </c>
      <c r="K526" s="113" t="s">
        <v>2094</v>
      </c>
      <c r="L526" s="113" t="s">
        <v>2106</v>
      </c>
      <c r="M526" s="29" t="s">
        <v>1741</v>
      </c>
      <c r="N526" s="29" t="s">
        <v>1742</v>
      </c>
      <c r="O526" s="109"/>
      <c r="P526" s="29" t="s">
        <v>1743</v>
      </c>
      <c r="Q526" s="24" t="s">
        <v>116</v>
      </c>
      <c r="R526" s="66" t="s">
        <v>1744</v>
      </c>
      <c r="S526" s="29" t="s">
        <v>68</v>
      </c>
      <c r="T526" s="49" t="s">
        <v>2096</v>
      </c>
      <c r="U526" s="107" t="s">
        <v>2097</v>
      </c>
      <c r="V526" s="31"/>
      <c r="W526" s="66" t="s">
        <v>2098</v>
      </c>
      <c r="X526" s="66"/>
      <c r="Y526" s="16">
        <v>1</v>
      </c>
      <c r="Z526" s="31"/>
      <c r="AA526" s="31"/>
      <c r="AB526" s="18">
        <v>2016</v>
      </c>
      <c r="AC526" s="16" t="s">
        <v>51</v>
      </c>
      <c r="AD526" s="30"/>
      <c r="AE526" s="29"/>
      <c r="AF526" s="29"/>
      <c r="AG526" s="29"/>
    </row>
    <row r="527" spans="1:33" x14ac:dyDescent="0.4">
      <c r="A527" s="108" t="s">
        <v>1735</v>
      </c>
      <c r="B527" s="49">
        <v>10</v>
      </c>
      <c r="C527" s="18">
        <v>525</v>
      </c>
      <c r="D527" s="17"/>
      <c r="E527" s="49">
        <v>2406897</v>
      </c>
      <c r="F527" s="29"/>
      <c r="G527" s="109" t="s">
        <v>779</v>
      </c>
      <c r="H527" s="114" t="s">
        <v>2092</v>
      </c>
      <c r="I527" s="114" t="s">
        <v>2092</v>
      </c>
      <c r="J527" s="113" t="s">
        <v>2093</v>
      </c>
      <c r="K527" s="113" t="s">
        <v>2094</v>
      </c>
      <c r="L527" s="113" t="s">
        <v>2107</v>
      </c>
      <c r="M527" s="29" t="s">
        <v>1741</v>
      </c>
      <c r="N527" s="29" t="s">
        <v>1742</v>
      </c>
      <c r="O527" s="109"/>
      <c r="P527" s="29" t="s">
        <v>1743</v>
      </c>
      <c r="Q527" s="24" t="s">
        <v>116</v>
      </c>
      <c r="R527" s="66" t="s">
        <v>1744</v>
      </c>
      <c r="S527" s="29" t="s">
        <v>1760</v>
      </c>
      <c r="T527" s="49" t="s">
        <v>2096</v>
      </c>
      <c r="U527" s="107" t="s">
        <v>2097</v>
      </c>
      <c r="V527" s="31"/>
      <c r="W527" s="66" t="s">
        <v>2098</v>
      </c>
      <c r="X527" s="66"/>
      <c r="Y527" s="16">
        <v>1</v>
      </c>
      <c r="Z527" s="31"/>
      <c r="AA527" s="31"/>
      <c r="AB527" s="18">
        <v>2016</v>
      </c>
      <c r="AC527" s="16" t="s">
        <v>51</v>
      </c>
      <c r="AD527" s="30"/>
      <c r="AE527" s="29"/>
      <c r="AF527" s="29"/>
      <c r="AG527" s="29"/>
    </row>
    <row r="528" spans="1:33" x14ac:dyDescent="0.4">
      <c r="A528" s="108" t="s">
        <v>1735</v>
      </c>
      <c r="B528" s="49">
        <v>11</v>
      </c>
      <c r="C528" s="18">
        <v>526</v>
      </c>
      <c r="D528" s="17"/>
      <c r="E528" s="49">
        <v>2406897</v>
      </c>
      <c r="F528" s="29"/>
      <c r="G528" s="109" t="s">
        <v>779</v>
      </c>
      <c r="H528" s="114" t="s">
        <v>2092</v>
      </c>
      <c r="I528" s="114" t="s">
        <v>2092</v>
      </c>
      <c r="J528" s="113" t="s">
        <v>2093</v>
      </c>
      <c r="K528" s="113" t="s">
        <v>2094</v>
      </c>
      <c r="L528" s="113" t="s">
        <v>2108</v>
      </c>
      <c r="M528" s="29" t="s">
        <v>1741</v>
      </c>
      <c r="N528" s="29" t="s">
        <v>1742</v>
      </c>
      <c r="O528" s="109"/>
      <c r="P528" s="29" t="s">
        <v>1743</v>
      </c>
      <c r="Q528" s="24" t="s">
        <v>116</v>
      </c>
      <c r="R528" s="66" t="s">
        <v>1744</v>
      </c>
      <c r="S528" s="29" t="s">
        <v>1760</v>
      </c>
      <c r="T528" s="49" t="s">
        <v>2096</v>
      </c>
      <c r="U528" s="107" t="s">
        <v>2097</v>
      </c>
      <c r="V528" s="31"/>
      <c r="W528" s="66" t="s">
        <v>2098</v>
      </c>
      <c r="X528" s="66"/>
      <c r="Y528" s="16">
        <v>1</v>
      </c>
      <c r="Z528" s="31"/>
      <c r="AA528" s="31"/>
      <c r="AB528" s="18">
        <v>2016</v>
      </c>
      <c r="AC528" s="16" t="s">
        <v>51</v>
      </c>
      <c r="AD528" s="30"/>
      <c r="AE528" s="29"/>
      <c r="AF528" s="29"/>
      <c r="AG528" s="29"/>
    </row>
    <row r="529" spans="1:33" x14ac:dyDescent="0.4">
      <c r="A529" s="108" t="s">
        <v>1735</v>
      </c>
      <c r="B529" s="49">
        <v>12</v>
      </c>
      <c r="C529" s="18">
        <v>527</v>
      </c>
      <c r="D529" s="17"/>
      <c r="E529" s="49">
        <v>2406897</v>
      </c>
      <c r="F529" s="29"/>
      <c r="G529" s="109" t="s">
        <v>779</v>
      </c>
      <c r="H529" s="114" t="s">
        <v>2092</v>
      </c>
      <c r="I529" s="114" t="s">
        <v>2092</v>
      </c>
      <c r="J529" s="113" t="s">
        <v>2093</v>
      </c>
      <c r="K529" s="113" t="s">
        <v>2094</v>
      </c>
      <c r="L529" s="113" t="s">
        <v>2109</v>
      </c>
      <c r="M529" s="29" t="s">
        <v>1741</v>
      </c>
      <c r="N529" s="29" t="s">
        <v>1742</v>
      </c>
      <c r="O529" s="109"/>
      <c r="P529" s="29" t="s">
        <v>1743</v>
      </c>
      <c r="Q529" s="24" t="s">
        <v>116</v>
      </c>
      <c r="R529" s="66" t="s">
        <v>1744</v>
      </c>
      <c r="S529" s="29" t="s">
        <v>1760</v>
      </c>
      <c r="T529" s="49" t="s">
        <v>2096</v>
      </c>
      <c r="U529" s="107" t="s">
        <v>2097</v>
      </c>
      <c r="V529" s="31"/>
      <c r="W529" s="66" t="s">
        <v>2098</v>
      </c>
      <c r="X529" s="66"/>
      <c r="Y529" s="16">
        <v>1</v>
      </c>
      <c r="Z529" s="31"/>
      <c r="AA529" s="31"/>
      <c r="AB529" s="18">
        <v>2016</v>
      </c>
      <c r="AC529" s="16" t="s">
        <v>51</v>
      </c>
      <c r="AD529" s="30"/>
      <c r="AE529" s="29"/>
      <c r="AF529" s="29"/>
      <c r="AG529" s="29"/>
    </row>
    <row r="530" spans="1:33" x14ac:dyDescent="0.4">
      <c r="A530" s="108" t="s">
        <v>1735</v>
      </c>
      <c r="B530" s="49">
        <v>13</v>
      </c>
      <c r="C530" s="18">
        <v>528</v>
      </c>
      <c r="D530" s="17"/>
      <c r="E530" s="49">
        <v>2406897</v>
      </c>
      <c r="F530" s="29"/>
      <c r="G530" s="109" t="s">
        <v>779</v>
      </c>
      <c r="H530" s="114" t="s">
        <v>2092</v>
      </c>
      <c r="I530" s="114" t="s">
        <v>2092</v>
      </c>
      <c r="J530" s="113" t="s">
        <v>2093</v>
      </c>
      <c r="K530" s="113" t="s">
        <v>2094</v>
      </c>
      <c r="L530" s="113" t="s">
        <v>2110</v>
      </c>
      <c r="M530" s="29" t="s">
        <v>1741</v>
      </c>
      <c r="N530" s="29" t="s">
        <v>1742</v>
      </c>
      <c r="O530" s="109"/>
      <c r="P530" s="29" t="s">
        <v>1743</v>
      </c>
      <c r="Q530" s="24" t="s">
        <v>116</v>
      </c>
      <c r="R530" s="66" t="s">
        <v>1744</v>
      </c>
      <c r="S530" s="29" t="s">
        <v>1760</v>
      </c>
      <c r="T530" s="49" t="s">
        <v>2096</v>
      </c>
      <c r="U530" s="107" t="s">
        <v>2097</v>
      </c>
      <c r="V530" s="31"/>
      <c r="W530" s="66" t="s">
        <v>2098</v>
      </c>
      <c r="X530" s="66"/>
      <c r="Y530" s="16">
        <v>1</v>
      </c>
      <c r="Z530" s="31"/>
      <c r="AA530" s="31"/>
      <c r="AB530" s="18">
        <v>2016</v>
      </c>
      <c r="AC530" s="16" t="s">
        <v>51</v>
      </c>
      <c r="AD530" s="30"/>
      <c r="AE530" s="29"/>
      <c r="AF530" s="29"/>
      <c r="AG530" s="29"/>
    </row>
    <row r="531" spans="1:33" x14ac:dyDescent="0.4">
      <c r="A531" s="108" t="s">
        <v>1735</v>
      </c>
      <c r="B531" s="49">
        <v>14</v>
      </c>
      <c r="C531" s="18">
        <v>529</v>
      </c>
      <c r="D531" s="17"/>
      <c r="E531" s="49">
        <v>2406897</v>
      </c>
      <c r="F531" s="29"/>
      <c r="G531" s="109" t="s">
        <v>779</v>
      </c>
      <c r="H531" s="114" t="s">
        <v>2092</v>
      </c>
      <c r="I531" s="114" t="s">
        <v>2092</v>
      </c>
      <c r="J531" s="113" t="s">
        <v>2093</v>
      </c>
      <c r="K531" s="113" t="s">
        <v>2094</v>
      </c>
      <c r="L531" s="113" t="s">
        <v>2111</v>
      </c>
      <c r="M531" s="29" t="s">
        <v>1741</v>
      </c>
      <c r="N531" s="29" t="s">
        <v>1742</v>
      </c>
      <c r="O531" s="109"/>
      <c r="P531" s="29" t="s">
        <v>1743</v>
      </c>
      <c r="Q531" s="24" t="s">
        <v>116</v>
      </c>
      <c r="R531" s="66" t="s">
        <v>1744</v>
      </c>
      <c r="S531" s="29" t="s">
        <v>1760</v>
      </c>
      <c r="T531" s="49" t="s">
        <v>2096</v>
      </c>
      <c r="U531" s="107" t="s">
        <v>2097</v>
      </c>
      <c r="V531" s="31"/>
      <c r="W531" s="66" t="s">
        <v>2098</v>
      </c>
      <c r="X531" s="66"/>
      <c r="Y531" s="16">
        <v>1</v>
      </c>
      <c r="Z531" s="31"/>
      <c r="AA531" s="31"/>
      <c r="AB531" s="18">
        <v>2016</v>
      </c>
      <c r="AC531" s="16" t="s">
        <v>51</v>
      </c>
      <c r="AD531" s="30"/>
      <c r="AE531" s="29"/>
      <c r="AF531" s="29"/>
      <c r="AG531" s="29"/>
    </row>
    <row r="532" spans="1:33" x14ac:dyDescent="0.4">
      <c r="A532" s="108" t="s">
        <v>1735</v>
      </c>
      <c r="B532" s="49">
        <v>15</v>
      </c>
      <c r="C532" s="18">
        <v>530</v>
      </c>
      <c r="D532" s="17"/>
      <c r="E532" s="49">
        <v>2406897</v>
      </c>
      <c r="F532" s="29"/>
      <c r="G532" s="109" t="s">
        <v>779</v>
      </c>
      <c r="H532" s="114" t="s">
        <v>2092</v>
      </c>
      <c r="I532" s="114" t="s">
        <v>2092</v>
      </c>
      <c r="J532" s="113" t="s">
        <v>2093</v>
      </c>
      <c r="K532" s="113" t="s">
        <v>2094</v>
      </c>
      <c r="L532" s="113" t="s">
        <v>2112</v>
      </c>
      <c r="M532" s="29" t="s">
        <v>1741</v>
      </c>
      <c r="N532" s="29" t="s">
        <v>1742</v>
      </c>
      <c r="O532" s="109"/>
      <c r="P532" s="29" t="s">
        <v>1743</v>
      </c>
      <c r="Q532" s="24" t="s">
        <v>116</v>
      </c>
      <c r="R532" s="66" t="s">
        <v>1744</v>
      </c>
      <c r="S532" s="29" t="s">
        <v>1760</v>
      </c>
      <c r="T532" s="49" t="s">
        <v>2096</v>
      </c>
      <c r="U532" s="107" t="s">
        <v>2097</v>
      </c>
      <c r="V532" s="31"/>
      <c r="W532" s="66" t="s">
        <v>2098</v>
      </c>
      <c r="X532" s="66"/>
      <c r="Y532" s="16">
        <v>1</v>
      </c>
      <c r="Z532" s="31"/>
      <c r="AA532" s="31"/>
      <c r="AB532" s="18">
        <v>2016</v>
      </c>
      <c r="AC532" s="16" t="s">
        <v>51</v>
      </c>
      <c r="AD532" s="30"/>
      <c r="AE532" s="29"/>
      <c r="AF532" s="29"/>
      <c r="AG532" s="29"/>
    </row>
    <row r="533" spans="1:33" x14ac:dyDescent="0.4">
      <c r="A533" s="108" t="s">
        <v>1735</v>
      </c>
      <c r="B533" s="49">
        <v>16</v>
      </c>
      <c r="C533" s="18">
        <v>531</v>
      </c>
      <c r="D533" s="17"/>
      <c r="E533" s="49">
        <v>2406897</v>
      </c>
      <c r="F533" s="29"/>
      <c r="G533" s="109" t="s">
        <v>779</v>
      </c>
      <c r="H533" s="114" t="s">
        <v>2092</v>
      </c>
      <c r="I533" s="114" t="s">
        <v>2092</v>
      </c>
      <c r="J533" s="113" t="s">
        <v>2093</v>
      </c>
      <c r="K533" s="113" t="s">
        <v>2094</v>
      </c>
      <c r="L533" s="113" t="s">
        <v>2113</v>
      </c>
      <c r="M533" s="29" t="s">
        <v>1741</v>
      </c>
      <c r="N533" s="29" t="s">
        <v>1742</v>
      </c>
      <c r="O533" s="109"/>
      <c r="P533" s="29" t="s">
        <v>1743</v>
      </c>
      <c r="Q533" s="24" t="s">
        <v>116</v>
      </c>
      <c r="R533" s="66" t="s">
        <v>1744</v>
      </c>
      <c r="S533" s="29" t="s">
        <v>1760</v>
      </c>
      <c r="T533" s="49" t="s">
        <v>2096</v>
      </c>
      <c r="U533" s="107" t="s">
        <v>2097</v>
      </c>
      <c r="V533" s="31"/>
      <c r="W533" s="66" t="s">
        <v>2098</v>
      </c>
      <c r="X533" s="66"/>
      <c r="Y533" s="16">
        <v>1</v>
      </c>
      <c r="Z533" s="31"/>
      <c r="AA533" s="31"/>
      <c r="AB533" s="18">
        <v>2016</v>
      </c>
      <c r="AC533" s="16" t="s">
        <v>51</v>
      </c>
      <c r="AD533" s="30"/>
      <c r="AE533" s="29"/>
      <c r="AF533" s="29"/>
      <c r="AG533" s="29"/>
    </row>
    <row r="534" spans="1:33" x14ac:dyDescent="0.4">
      <c r="A534" s="108" t="s">
        <v>1735</v>
      </c>
      <c r="B534" s="49">
        <v>1</v>
      </c>
      <c r="C534" s="18">
        <v>532</v>
      </c>
      <c r="D534" s="102"/>
      <c r="E534" s="49">
        <v>2377435</v>
      </c>
      <c r="F534" s="29"/>
      <c r="G534" s="109" t="s">
        <v>36</v>
      </c>
      <c r="H534" s="114" t="s">
        <v>2114</v>
      </c>
      <c r="I534" s="114" t="s">
        <v>2114</v>
      </c>
      <c r="J534" s="113" t="s">
        <v>2115</v>
      </c>
      <c r="K534" s="113" t="s">
        <v>2116</v>
      </c>
      <c r="L534" s="113" t="s">
        <v>2117</v>
      </c>
      <c r="M534" s="29" t="s">
        <v>2118</v>
      </c>
      <c r="N534" s="29" t="s">
        <v>2073</v>
      </c>
      <c r="O534" s="109"/>
      <c r="P534" s="29" t="s">
        <v>2119</v>
      </c>
      <c r="Q534" s="66" t="s">
        <v>17</v>
      </c>
      <c r="R534" s="66" t="s">
        <v>1744</v>
      </c>
      <c r="S534" s="29" t="s">
        <v>1760</v>
      </c>
      <c r="T534" s="49" t="s">
        <v>2120</v>
      </c>
      <c r="U534" s="107" t="s">
        <v>2121</v>
      </c>
      <c r="V534" s="31"/>
      <c r="W534" s="66" t="s">
        <v>1747</v>
      </c>
      <c r="X534" s="66"/>
      <c r="Y534" s="16">
        <v>1</v>
      </c>
      <c r="Z534" s="31"/>
      <c r="AA534" s="31"/>
      <c r="AB534" s="18">
        <v>2017</v>
      </c>
      <c r="AC534" s="16" t="s">
        <v>51</v>
      </c>
      <c r="AD534" s="30"/>
      <c r="AE534" s="29"/>
      <c r="AF534" s="29"/>
      <c r="AG534" s="29"/>
    </row>
    <row r="535" spans="1:33" x14ac:dyDescent="0.4">
      <c r="A535" s="108" t="s">
        <v>1735</v>
      </c>
      <c r="B535" s="49">
        <v>2</v>
      </c>
      <c r="C535" s="17">
        <v>533</v>
      </c>
      <c r="D535" s="18" t="s">
        <v>2122</v>
      </c>
      <c r="E535" s="49">
        <v>2377435</v>
      </c>
      <c r="F535" s="29"/>
      <c r="G535" s="109" t="s">
        <v>36</v>
      </c>
      <c r="H535" s="114" t="s">
        <v>2114</v>
      </c>
      <c r="I535" s="114" t="s">
        <v>2114</v>
      </c>
      <c r="J535" s="113" t="s">
        <v>2115</v>
      </c>
      <c r="K535" s="113" t="s">
        <v>2116</v>
      </c>
      <c r="L535" s="113" t="s">
        <v>2123</v>
      </c>
      <c r="M535" s="29" t="s">
        <v>2118</v>
      </c>
      <c r="N535" s="29" t="s">
        <v>2073</v>
      </c>
      <c r="O535" s="109"/>
      <c r="P535" s="29" t="s">
        <v>2119</v>
      </c>
      <c r="Q535" s="24" t="s">
        <v>17</v>
      </c>
      <c r="R535" s="66" t="s">
        <v>1744</v>
      </c>
      <c r="S535" s="29" t="s">
        <v>1760</v>
      </c>
      <c r="T535" s="49" t="s">
        <v>2120</v>
      </c>
      <c r="U535" s="107" t="s">
        <v>2121</v>
      </c>
      <c r="V535" s="31"/>
      <c r="W535" s="66" t="s">
        <v>1747</v>
      </c>
      <c r="X535" s="66"/>
      <c r="Y535" s="16">
        <v>1</v>
      </c>
      <c r="Z535" s="31"/>
      <c r="AA535" s="31"/>
      <c r="AB535" s="18">
        <v>2017</v>
      </c>
      <c r="AC535" s="16" t="s">
        <v>51</v>
      </c>
      <c r="AD535" s="30"/>
      <c r="AE535" s="29"/>
      <c r="AF535" s="29"/>
      <c r="AG535" s="29"/>
    </row>
    <row r="536" spans="1:33" x14ac:dyDescent="0.4">
      <c r="A536" s="108" t="s">
        <v>1735</v>
      </c>
      <c r="B536" s="49">
        <v>3</v>
      </c>
      <c r="C536" s="17">
        <v>534</v>
      </c>
      <c r="D536" s="18" t="s">
        <v>2124</v>
      </c>
      <c r="E536" s="49">
        <v>2377435</v>
      </c>
      <c r="F536" s="29"/>
      <c r="G536" s="109" t="s">
        <v>36</v>
      </c>
      <c r="H536" s="114" t="s">
        <v>2114</v>
      </c>
      <c r="I536" s="114" t="s">
        <v>2114</v>
      </c>
      <c r="J536" s="113" t="s">
        <v>2115</v>
      </c>
      <c r="K536" s="113" t="s">
        <v>2116</v>
      </c>
      <c r="L536" s="113" t="s">
        <v>2125</v>
      </c>
      <c r="M536" s="29" t="s">
        <v>2118</v>
      </c>
      <c r="N536" s="29" t="s">
        <v>2073</v>
      </c>
      <c r="O536" s="109"/>
      <c r="P536" s="29" t="s">
        <v>2119</v>
      </c>
      <c r="Q536" s="24" t="s">
        <v>17</v>
      </c>
      <c r="R536" s="66" t="s">
        <v>1744</v>
      </c>
      <c r="S536" s="29" t="s">
        <v>1760</v>
      </c>
      <c r="T536" s="49" t="s">
        <v>2120</v>
      </c>
      <c r="U536" s="107" t="s">
        <v>2121</v>
      </c>
      <c r="V536" s="31"/>
      <c r="W536" s="66" t="s">
        <v>1747</v>
      </c>
      <c r="X536" s="66"/>
      <c r="Y536" s="16">
        <v>1</v>
      </c>
      <c r="Z536" s="31"/>
      <c r="AA536" s="31"/>
      <c r="AB536" s="18">
        <v>2017</v>
      </c>
      <c r="AC536" s="16" t="s">
        <v>51</v>
      </c>
      <c r="AD536" s="30"/>
      <c r="AE536" s="29"/>
      <c r="AF536" s="29"/>
      <c r="AG536" s="29"/>
    </row>
    <row r="537" spans="1:33" x14ac:dyDescent="0.4">
      <c r="A537" s="108" t="s">
        <v>1735</v>
      </c>
      <c r="B537" s="49">
        <v>4</v>
      </c>
      <c r="C537" s="17">
        <v>535</v>
      </c>
      <c r="D537" s="18" t="s">
        <v>2126</v>
      </c>
      <c r="E537" s="49">
        <v>2377435</v>
      </c>
      <c r="F537" s="29"/>
      <c r="G537" s="109" t="s">
        <v>36</v>
      </c>
      <c r="H537" s="114" t="s">
        <v>2114</v>
      </c>
      <c r="I537" s="114" t="s">
        <v>2114</v>
      </c>
      <c r="J537" s="113" t="s">
        <v>2115</v>
      </c>
      <c r="K537" s="113" t="s">
        <v>2116</v>
      </c>
      <c r="L537" s="113" t="s">
        <v>2127</v>
      </c>
      <c r="M537" s="29" t="s">
        <v>2118</v>
      </c>
      <c r="N537" s="29" t="s">
        <v>2073</v>
      </c>
      <c r="O537" s="109"/>
      <c r="P537" s="29" t="s">
        <v>2119</v>
      </c>
      <c r="Q537" s="24" t="s">
        <v>17</v>
      </c>
      <c r="R537" s="66" t="s">
        <v>1744</v>
      </c>
      <c r="S537" s="29" t="s">
        <v>1760</v>
      </c>
      <c r="T537" s="49" t="s">
        <v>2120</v>
      </c>
      <c r="U537" s="107" t="s">
        <v>2121</v>
      </c>
      <c r="V537" s="31"/>
      <c r="W537" s="66" t="s">
        <v>1747</v>
      </c>
      <c r="X537" s="66"/>
      <c r="Y537" s="16">
        <v>1</v>
      </c>
      <c r="Z537" s="31"/>
      <c r="AA537" s="31"/>
      <c r="AB537" s="18">
        <v>2017</v>
      </c>
      <c r="AC537" s="16" t="s">
        <v>51</v>
      </c>
      <c r="AD537" s="30"/>
      <c r="AE537" s="29"/>
      <c r="AF537" s="29"/>
      <c r="AG537" s="29"/>
    </row>
    <row r="538" spans="1:33" x14ac:dyDescent="0.4">
      <c r="A538" s="108" t="s">
        <v>1735</v>
      </c>
      <c r="B538" s="49">
        <v>5</v>
      </c>
      <c r="C538" s="17">
        <v>536</v>
      </c>
      <c r="D538" s="18" t="s">
        <v>2128</v>
      </c>
      <c r="E538" s="49">
        <v>2377435</v>
      </c>
      <c r="F538" s="29"/>
      <c r="G538" s="109" t="s">
        <v>36</v>
      </c>
      <c r="H538" s="114" t="s">
        <v>2114</v>
      </c>
      <c r="I538" s="114" t="s">
        <v>2114</v>
      </c>
      <c r="J538" s="113" t="s">
        <v>2115</v>
      </c>
      <c r="K538" s="113" t="s">
        <v>2116</v>
      </c>
      <c r="L538" s="113" t="s">
        <v>2129</v>
      </c>
      <c r="M538" s="29" t="s">
        <v>2118</v>
      </c>
      <c r="N538" s="29" t="s">
        <v>2073</v>
      </c>
      <c r="O538" s="109"/>
      <c r="P538" s="29" t="s">
        <v>2119</v>
      </c>
      <c r="Q538" s="24" t="s">
        <v>17</v>
      </c>
      <c r="R538" s="66" t="s">
        <v>1744</v>
      </c>
      <c r="S538" s="29" t="s">
        <v>1760</v>
      </c>
      <c r="T538" s="49" t="s">
        <v>2120</v>
      </c>
      <c r="U538" s="107" t="s">
        <v>2121</v>
      </c>
      <c r="V538" s="31"/>
      <c r="W538" s="66" t="s">
        <v>1747</v>
      </c>
      <c r="X538" s="66"/>
      <c r="Y538" s="16">
        <v>1</v>
      </c>
      <c r="Z538" s="31"/>
      <c r="AA538" s="31"/>
      <c r="AB538" s="18">
        <v>2017</v>
      </c>
      <c r="AC538" s="16" t="s">
        <v>51</v>
      </c>
      <c r="AD538" s="30"/>
      <c r="AE538" s="29"/>
      <c r="AF538" s="29"/>
      <c r="AG538" s="29"/>
    </row>
    <row r="539" spans="1:33" x14ac:dyDescent="0.4">
      <c r="A539" s="108" t="s">
        <v>1735</v>
      </c>
      <c r="B539" s="49">
        <v>6</v>
      </c>
      <c r="C539" s="17">
        <v>537</v>
      </c>
      <c r="D539" s="18" t="s">
        <v>2130</v>
      </c>
      <c r="E539" s="49">
        <v>2377435</v>
      </c>
      <c r="F539" s="29"/>
      <c r="G539" s="109" t="s">
        <v>36</v>
      </c>
      <c r="H539" s="114" t="s">
        <v>2114</v>
      </c>
      <c r="I539" s="114" t="s">
        <v>2114</v>
      </c>
      <c r="J539" s="113" t="s">
        <v>2115</v>
      </c>
      <c r="K539" s="113" t="s">
        <v>2116</v>
      </c>
      <c r="L539" s="113" t="s">
        <v>2131</v>
      </c>
      <c r="M539" s="29" t="s">
        <v>2118</v>
      </c>
      <c r="N539" s="29" t="s">
        <v>2073</v>
      </c>
      <c r="O539" s="109"/>
      <c r="P539" s="29" t="s">
        <v>2119</v>
      </c>
      <c r="Q539" s="24" t="s">
        <v>17</v>
      </c>
      <c r="R539" s="66" t="s">
        <v>1744</v>
      </c>
      <c r="S539" s="29" t="s">
        <v>1760</v>
      </c>
      <c r="T539" s="49" t="s">
        <v>2120</v>
      </c>
      <c r="U539" s="107" t="s">
        <v>2121</v>
      </c>
      <c r="V539" s="31"/>
      <c r="W539" s="66" t="s">
        <v>1747</v>
      </c>
      <c r="X539" s="66"/>
      <c r="Y539" s="16">
        <v>1</v>
      </c>
      <c r="Z539" s="31"/>
      <c r="AA539" s="31"/>
      <c r="AB539" s="18">
        <v>2017</v>
      </c>
      <c r="AC539" s="16" t="s">
        <v>51</v>
      </c>
      <c r="AD539" s="30"/>
      <c r="AE539" s="29"/>
      <c r="AF539" s="29"/>
      <c r="AG539" s="29"/>
    </row>
    <row r="540" spans="1:33" x14ac:dyDescent="0.4">
      <c r="A540" s="108" t="s">
        <v>1735</v>
      </c>
      <c r="B540" s="49">
        <v>7</v>
      </c>
      <c r="C540" s="17">
        <v>538</v>
      </c>
      <c r="D540" s="18" t="s">
        <v>2132</v>
      </c>
      <c r="E540" s="49">
        <v>2377435</v>
      </c>
      <c r="F540" s="29"/>
      <c r="G540" s="109" t="s">
        <v>36</v>
      </c>
      <c r="H540" s="114" t="s">
        <v>2114</v>
      </c>
      <c r="I540" s="114" t="s">
        <v>2114</v>
      </c>
      <c r="J540" s="113" t="s">
        <v>2115</v>
      </c>
      <c r="K540" s="113" t="s">
        <v>2116</v>
      </c>
      <c r="L540" s="113" t="s">
        <v>2133</v>
      </c>
      <c r="M540" s="29" t="s">
        <v>2118</v>
      </c>
      <c r="N540" s="29" t="s">
        <v>2073</v>
      </c>
      <c r="O540" s="109"/>
      <c r="P540" s="29" t="s">
        <v>2119</v>
      </c>
      <c r="Q540" s="24" t="s">
        <v>17</v>
      </c>
      <c r="R540" s="66" t="s">
        <v>1744</v>
      </c>
      <c r="S540" s="29" t="s">
        <v>1760</v>
      </c>
      <c r="T540" s="49" t="s">
        <v>2120</v>
      </c>
      <c r="U540" s="107" t="s">
        <v>2121</v>
      </c>
      <c r="V540" s="31"/>
      <c r="W540" s="66" t="s">
        <v>1747</v>
      </c>
      <c r="X540" s="66"/>
      <c r="Y540" s="16">
        <v>1</v>
      </c>
      <c r="Z540" s="31"/>
      <c r="AA540" s="31"/>
      <c r="AB540" s="18">
        <v>2017</v>
      </c>
      <c r="AC540" s="16" t="s">
        <v>51</v>
      </c>
      <c r="AD540" s="30"/>
      <c r="AE540" s="29"/>
      <c r="AF540" s="29"/>
      <c r="AG540" s="29"/>
    </row>
    <row r="541" spans="1:33" x14ac:dyDescent="0.4">
      <c r="A541" s="108" t="s">
        <v>1735</v>
      </c>
      <c r="B541" s="49">
        <v>8</v>
      </c>
      <c r="C541" s="17">
        <v>539</v>
      </c>
      <c r="D541" s="18" t="s">
        <v>2134</v>
      </c>
      <c r="E541" s="49">
        <v>2377435</v>
      </c>
      <c r="F541" s="29"/>
      <c r="G541" s="109" t="s">
        <v>36</v>
      </c>
      <c r="H541" s="114" t="s">
        <v>2114</v>
      </c>
      <c r="I541" s="114" t="s">
        <v>2114</v>
      </c>
      <c r="J541" s="113" t="s">
        <v>2115</v>
      </c>
      <c r="K541" s="113" t="s">
        <v>2116</v>
      </c>
      <c r="L541" s="113" t="s">
        <v>2135</v>
      </c>
      <c r="M541" s="29" t="s">
        <v>2118</v>
      </c>
      <c r="N541" s="29" t="s">
        <v>2073</v>
      </c>
      <c r="O541" s="109"/>
      <c r="P541" s="29" t="s">
        <v>2119</v>
      </c>
      <c r="Q541" s="24" t="s">
        <v>17</v>
      </c>
      <c r="R541" s="66" t="s">
        <v>1744</v>
      </c>
      <c r="S541" s="29" t="s">
        <v>1760</v>
      </c>
      <c r="T541" s="49" t="s">
        <v>2120</v>
      </c>
      <c r="U541" s="107" t="s">
        <v>2121</v>
      </c>
      <c r="V541" s="31"/>
      <c r="W541" s="66" t="s">
        <v>1747</v>
      </c>
      <c r="X541" s="66"/>
      <c r="Y541" s="16">
        <v>1</v>
      </c>
      <c r="Z541" s="31"/>
      <c r="AA541" s="31"/>
      <c r="AB541" s="18">
        <v>2017</v>
      </c>
      <c r="AC541" s="16" t="s">
        <v>51</v>
      </c>
      <c r="AD541" s="30"/>
      <c r="AE541" s="29"/>
      <c r="AF541" s="29"/>
      <c r="AG541" s="29"/>
    </row>
    <row r="542" spans="1:33" x14ac:dyDescent="0.4">
      <c r="A542" s="108" t="s">
        <v>1735</v>
      </c>
      <c r="B542" s="49">
        <v>9</v>
      </c>
      <c r="C542" s="17">
        <v>540</v>
      </c>
      <c r="D542" s="18" t="s">
        <v>2136</v>
      </c>
      <c r="E542" s="49">
        <v>2377435</v>
      </c>
      <c r="F542" s="29"/>
      <c r="G542" s="109" t="s">
        <v>36</v>
      </c>
      <c r="H542" s="114" t="s">
        <v>2114</v>
      </c>
      <c r="I542" s="114" t="s">
        <v>2114</v>
      </c>
      <c r="J542" s="113" t="s">
        <v>2115</v>
      </c>
      <c r="K542" s="113" t="s">
        <v>2116</v>
      </c>
      <c r="L542" s="113" t="s">
        <v>2137</v>
      </c>
      <c r="M542" s="29" t="s">
        <v>2118</v>
      </c>
      <c r="N542" s="29" t="s">
        <v>2073</v>
      </c>
      <c r="O542" s="109"/>
      <c r="P542" s="29" t="s">
        <v>2119</v>
      </c>
      <c r="Q542" s="24" t="s">
        <v>17</v>
      </c>
      <c r="R542" s="66" t="s">
        <v>1744</v>
      </c>
      <c r="S542" s="29" t="s">
        <v>1760</v>
      </c>
      <c r="T542" s="49" t="s">
        <v>2120</v>
      </c>
      <c r="U542" s="107" t="s">
        <v>2121</v>
      </c>
      <c r="V542" s="31"/>
      <c r="W542" s="66" t="s">
        <v>1747</v>
      </c>
      <c r="X542" s="66"/>
      <c r="Y542" s="16">
        <v>1</v>
      </c>
      <c r="Z542" s="31"/>
      <c r="AA542" s="31"/>
      <c r="AB542" s="18">
        <v>2017</v>
      </c>
      <c r="AC542" s="16" t="s">
        <v>51</v>
      </c>
      <c r="AD542" s="30"/>
      <c r="AE542" s="29"/>
      <c r="AF542" s="29"/>
      <c r="AG542" s="29"/>
    </row>
    <row r="543" spans="1:33" x14ac:dyDescent="0.4">
      <c r="A543" s="108" t="s">
        <v>1735</v>
      </c>
      <c r="B543" s="49">
        <v>10</v>
      </c>
      <c r="C543" s="17">
        <v>541</v>
      </c>
      <c r="D543" s="18" t="s">
        <v>2138</v>
      </c>
      <c r="E543" s="49">
        <v>2377435</v>
      </c>
      <c r="F543" s="29"/>
      <c r="G543" s="109" t="s">
        <v>36</v>
      </c>
      <c r="H543" s="114" t="s">
        <v>2114</v>
      </c>
      <c r="I543" s="114" t="s">
        <v>2114</v>
      </c>
      <c r="J543" s="113" t="s">
        <v>2115</v>
      </c>
      <c r="K543" s="113" t="s">
        <v>2116</v>
      </c>
      <c r="L543" s="113" t="s">
        <v>2139</v>
      </c>
      <c r="M543" s="29" t="s">
        <v>2118</v>
      </c>
      <c r="N543" s="29" t="s">
        <v>2073</v>
      </c>
      <c r="O543" s="109"/>
      <c r="P543" s="29" t="s">
        <v>2119</v>
      </c>
      <c r="Q543" s="24" t="s">
        <v>17</v>
      </c>
      <c r="R543" s="66" t="s">
        <v>1744</v>
      </c>
      <c r="S543" s="29" t="s">
        <v>1760</v>
      </c>
      <c r="T543" s="49" t="s">
        <v>2120</v>
      </c>
      <c r="U543" s="107" t="s">
        <v>2121</v>
      </c>
      <c r="V543" s="31"/>
      <c r="W543" s="66" t="s">
        <v>1747</v>
      </c>
      <c r="X543" s="66"/>
      <c r="Y543" s="16">
        <v>1</v>
      </c>
      <c r="Z543" s="31"/>
      <c r="AA543" s="31"/>
      <c r="AB543" s="18">
        <v>2017</v>
      </c>
      <c r="AC543" s="16" t="s">
        <v>51</v>
      </c>
      <c r="AD543" s="30"/>
      <c r="AE543" s="29"/>
      <c r="AF543" s="29"/>
      <c r="AG543" s="29"/>
    </row>
    <row r="544" spans="1:33" x14ac:dyDescent="0.4">
      <c r="A544" s="108" t="s">
        <v>1735</v>
      </c>
      <c r="B544" s="49">
        <v>1</v>
      </c>
      <c r="C544" s="18">
        <v>542</v>
      </c>
      <c r="D544" s="77"/>
      <c r="E544" s="49">
        <v>2585468</v>
      </c>
      <c r="F544" s="29"/>
      <c r="G544" s="109" t="s">
        <v>716</v>
      </c>
      <c r="H544" s="114" t="s">
        <v>2140</v>
      </c>
      <c r="I544" s="114" t="s">
        <v>2140</v>
      </c>
      <c r="J544" s="113" t="s">
        <v>2141</v>
      </c>
      <c r="K544" s="113" t="s">
        <v>2142</v>
      </c>
      <c r="L544" s="113" t="s">
        <v>2143</v>
      </c>
      <c r="M544" s="29" t="s">
        <v>2118</v>
      </c>
      <c r="N544" s="29" t="s">
        <v>2073</v>
      </c>
      <c r="O544" s="109"/>
      <c r="P544" s="29" t="s">
        <v>2119</v>
      </c>
      <c r="Q544" s="24" t="s">
        <v>116</v>
      </c>
      <c r="R544" s="66" t="s">
        <v>1744</v>
      </c>
      <c r="S544" s="29" t="s">
        <v>1760</v>
      </c>
      <c r="T544" s="49" t="s">
        <v>2144</v>
      </c>
      <c r="U544" s="107" t="s">
        <v>2145</v>
      </c>
      <c r="V544" s="31"/>
      <c r="W544" s="66" t="s">
        <v>1747</v>
      </c>
      <c r="X544" s="66"/>
      <c r="Y544" s="16">
        <v>1</v>
      </c>
      <c r="Z544" s="31"/>
      <c r="AA544" s="31"/>
      <c r="AB544" s="18">
        <v>2017</v>
      </c>
      <c r="AC544" s="16" t="s">
        <v>51</v>
      </c>
      <c r="AD544" s="30"/>
      <c r="AE544" s="29"/>
      <c r="AF544" s="29"/>
      <c r="AG544" s="29"/>
    </row>
    <row r="545" spans="1:33" x14ac:dyDescent="0.4">
      <c r="A545" s="108" t="s">
        <v>1735</v>
      </c>
      <c r="B545" s="49">
        <v>2</v>
      </c>
      <c r="C545" s="18">
        <v>543</v>
      </c>
      <c r="D545" s="17"/>
      <c r="E545" s="49">
        <v>2585468</v>
      </c>
      <c r="F545" s="29"/>
      <c r="G545" s="109" t="s">
        <v>716</v>
      </c>
      <c r="H545" s="114" t="s">
        <v>2140</v>
      </c>
      <c r="I545" s="114" t="s">
        <v>2140</v>
      </c>
      <c r="J545" s="113" t="s">
        <v>2141</v>
      </c>
      <c r="K545" s="113" t="s">
        <v>2142</v>
      </c>
      <c r="L545" s="113" t="s">
        <v>2146</v>
      </c>
      <c r="M545" s="29" t="s">
        <v>2118</v>
      </c>
      <c r="N545" s="29" t="s">
        <v>2073</v>
      </c>
      <c r="O545" s="109"/>
      <c r="P545" s="29" t="s">
        <v>2119</v>
      </c>
      <c r="Q545" s="24" t="s">
        <v>116</v>
      </c>
      <c r="R545" s="66" t="s">
        <v>1744</v>
      </c>
      <c r="S545" s="29" t="s">
        <v>1760</v>
      </c>
      <c r="T545" s="49" t="s">
        <v>2144</v>
      </c>
      <c r="U545" s="107" t="s">
        <v>2145</v>
      </c>
      <c r="V545" s="31"/>
      <c r="W545" s="66" t="s">
        <v>1747</v>
      </c>
      <c r="X545" s="66"/>
      <c r="Y545" s="16">
        <v>1</v>
      </c>
      <c r="Z545" s="31"/>
      <c r="AA545" s="31"/>
      <c r="AB545" s="18">
        <v>2017</v>
      </c>
      <c r="AC545" s="16" t="s">
        <v>51</v>
      </c>
      <c r="AD545" s="30"/>
      <c r="AE545" s="29"/>
      <c r="AF545" s="29"/>
      <c r="AG545" s="29"/>
    </row>
    <row r="546" spans="1:33" x14ac:dyDescent="0.4">
      <c r="A546" s="108" t="s">
        <v>1735</v>
      </c>
      <c r="B546" s="49">
        <v>3</v>
      </c>
      <c r="C546" s="18">
        <v>544</v>
      </c>
      <c r="D546" s="17"/>
      <c r="E546" s="49">
        <v>2585468</v>
      </c>
      <c r="F546" s="29"/>
      <c r="G546" s="109" t="s">
        <v>716</v>
      </c>
      <c r="H546" s="114" t="s">
        <v>2140</v>
      </c>
      <c r="I546" s="114" t="s">
        <v>2140</v>
      </c>
      <c r="J546" s="113" t="s">
        <v>2141</v>
      </c>
      <c r="K546" s="113" t="s">
        <v>2142</v>
      </c>
      <c r="L546" s="113" t="s">
        <v>2147</v>
      </c>
      <c r="M546" s="29" t="s">
        <v>2118</v>
      </c>
      <c r="N546" s="29" t="s">
        <v>2073</v>
      </c>
      <c r="O546" s="109"/>
      <c r="P546" s="29" t="s">
        <v>2119</v>
      </c>
      <c r="Q546" s="24" t="s">
        <v>116</v>
      </c>
      <c r="R546" s="66" t="s">
        <v>1744</v>
      </c>
      <c r="S546" s="29" t="s">
        <v>1760</v>
      </c>
      <c r="T546" s="49" t="s">
        <v>2144</v>
      </c>
      <c r="U546" s="107" t="s">
        <v>2145</v>
      </c>
      <c r="V546" s="31"/>
      <c r="W546" s="66" t="s">
        <v>1747</v>
      </c>
      <c r="X546" s="66"/>
      <c r="Y546" s="16">
        <v>1</v>
      </c>
      <c r="Z546" s="31"/>
      <c r="AA546" s="31"/>
      <c r="AB546" s="18">
        <v>2017</v>
      </c>
      <c r="AC546" s="16" t="s">
        <v>51</v>
      </c>
      <c r="AD546" s="30"/>
      <c r="AE546" s="29"/>
      <c r="AF546" s="29"/>
      <c r="AG546" s="29"/>
    </row>
    <row r="547" spans="1:33" x14ac:dyDescent="0.4">
      <c r="A547" s="108" t="s">
        <v>1735</v>
      </c>
      <c r="B547" s="49">
        <v>4</v>
      </c>
      <c r="C547" s="18">
        <v>545</v>
      </c>
      <c r="D547" s="17"/>
      <c r="E547" s="49">
        <v>2585468</v>
      </c>
      <c r="F547" s="29"/>
      <c r="G547" s="109" t="s">
        <v>716</v>
      </c>
      <c r="H547" s="114" t="s">
        <v>2140</v>
      </c>
      <c r="I547" s="114" t="s">
        <v>2140</v>
      </c>
      <c r="J547" s="113" t="s">
        <v>2141</v>
      </c>
      <c r="K547" s="113" t="s">
        <v>2142</v>
      </c>
      <c r="L547" s="113" t="s">
        <v>2148</v>
      </c>
      <c r="M547" s="29" t="s">
        <v>2118</v>
      </c>
      <c r="N547" s="29" t="s">
        <v>2073</v>
      </c>
      <c r="O547" s="109"/>
      <c r="P547" s="29" t="s">
        <v>2119</v>
      </c>
      <c r="Q547" s="24" t="s">
        <v>116</v>
      </c>
      <c r="R547" s="66" t="s">
        <v>1744</v>
      </c>
      <c r="S547" s="29" t="s">
        <v>1760</v>
      </c>
      <c r="T547" s="49" t="s">
        <v>2144</v>
      </c>
      <c r="U547" s="107" t="s">
        <v>2145</v>
      </c>
      <c r="V547" s="31"/>
      <c r="W547" s="66" t="s">
        <v>1747</v>
      </c>
      <c r="X547" s="66"/>
      <c r="Y547" s="16">
        <v>1</v>
      </c>
      <c r="Z547" s="31"/>
      <c r="AA547" s="31"/>
      <c r="AB547" s="18">
        <v>2017</v>
      </c>
      <c r="AC547" s="16" t="s">
        <v>51</v>
      </c>
      <c r="AD547" s="30"/>
      <c r="AE547" s="29"/>
      <c r="AF547" s="29"/>
      <c r="AG547" s="29"/>
    </row>
    <row r="548" spans="1:33" x14ac:dyDescent="0.4">
      <c r="A548" s="108" t="s">
        <v>1735</v>
      </c>
      <c r="B548" s="49">
        <v>5</v>
      </c>
      <c r="C548" s="18">
        <v>546</v>
      </c>
      <c r="D548" s="17"/>
      <c r="E548" s="49">
        <v>2585468</v>
      </c>
      <c r="F548" s="29"/>
      <c r="G548" s="109" t="s">
        <v>716</v>
      </c>
      <c r="H548" s="114" t="s">
        <v>2140</v>
      </c>
      <c r="I548" s="114" t="s">
        <v>2140</v>
      </c>
      <c r="J548" s="113" t="s">
        <v>2141</v>
      </c>
      <c r="K548" s="113" t="s">
        <v>2142</v>
      </c>
      <c r="L548" s="113" t="s">
        <v>2149</v>
      </c>
      <c r="M548" s="29" t="s">
        <v>2118</v>
      </c>
      <c r="N548" s="29" t="s">
        <v>2073</v>
      </c>
      <c r="O548" s="109"/>
      <c r="P548" s="29" t="s">
        <v>2119</v>
      </c>
      <c r="Q548" s="24" t="s">
        <v>116</v>
      </c>
      <c r="R548" s="66" t="s">
        <v>1744</v>
      </c>
      <c r="S548" s="29" t="s">
        <v>1760</v>
      </c>
      <c r="T548" s="49" t="s">
        <v>2144</v>
      </c>
      <c r="U548" s="107" t="s">
        <v>2145</v>
      </c>
      <c r="V548" s="31"/>
      <c r="W548" s="66" t="s">
        <v>1747</v>
      </c>
      <c r="X548" s="66"/>
      <c r="Y548" s="16">
        <v>1</v>
      </c>
      <c r="Z548" s="31"/>
      <c r="AA548" s="31"/>
      <c r="AB548" s="18">
        <v>2017</v>
      </c>
      <c r="AC548" s="16" t="s">
        <v>51</v>
      </c>
      <c r="AD548" s="30"/>
      <c r="AE548" s="29"/>
      <c r="AF548" s="29"/>
      <c r="AG548" s="29"/>
    </row>
    <row r="549" spans="1:33" x14ac:dyDescent="0.4">
      <c r="A549" s="108" t="s">
        <v>1735</v>
      </c>
      <c r="B549" s="49">
        <v>6</v>
      </c>
      <c r="C549" s="18">
        <v>547</v>
      </c>
      <c r="D549" s="17"/>
      <c r="E549" s="49">
        <v>2585468</v>
      </c>
      <c r="F549" s="29"/>
      <c r="G549" s="109" t="s">
        <v>716</v>
      </c>
      <c r="H549" s="114" t="s">
        <v>2140</v>
      </c>
      <c r="I549" s="114" t="s">
        <v>2140</v>
      </c>
      <c r="J549" s="113" t="s">
        <v>2141</v>
      </c>
      <c r="K549" s="113" t="s">
        <v>2142</v>
      </c>
      <c r="L549" s="113" t="s">
        <v>2150</v>
      </c>
      <c r="M549" s="29" t="s">
        <v>2118</v>
      </c>
      <c r="N549" s="29" t="s">
        <v>2073</v>
      </c>
      <c r="O549" s="109"/>
      <c r="P549" s="29" t="s">
        <v>2119</v>
      </c>
      <c r="Q549" s="24" t="s">
        <v>116</v>
      </c>
      <c r="R549" s="66" t="s">
        <v>1744</v>
      </c>
      <c r="S549" s="29" t="s">
        <v>1760</v>
      </c>
      <c r="T549" s="49" t="s">
        <v>2144</v>
      </c>
      <c r="U549" s="107" t="s">
        <v>2145</v>
      </c>
      <c r="V549" s="31"/>
      <c r="W549" s="66" t="s">
        <v>1747</v>
      </c>
      <c r="X549" s="66"/>
      <c r="Y549" s="16">
        <v>1</v>
      </c>
      <c r="Z549" s="31"/>
      <c r="AA549" s="31"/>
      <c r="AB549" s="18">
        <v>2017</v>
      </c>
      <c r="AC549" s="16" t="s">
        <v>51</v>
      </c>
      <c r="AD549" s="30"/>
      <c r="AE549" s="29"/>
      <c r="AF549" s="29"/>
      <c r="AG549" s="29"/>
    </row>
    <row r="550" spans="1:33" x14ac:dyDescent="0.4">
      <c r="A550" s="108" t="s">
        <v>1735</v>
      </c>
      <c r="B550" s="49">
        <v>7</v>
      </c>
      <c r="C550" s="18">
        <v>548</v>
      </c>
      <c r="D550" s="17"/>
      <c r="E550" s="49">
        <v>2585468</v>
      </c>
      <c r="F550" s="29"/>
      <c r="G550" s="109" t="s">
        <v>716</v>
      </c>
      <c r="H550" s="114" t="s">
        <v>2140</v>
      </c>
      <c r="I550" s="114" t="s">
        <v>2140</v>
      </c>
      <c r="J550" s="113" t="s">
        <v>2141</v>
      </c>
      <c r="K550" s="113" t="s">
        <v>2142</v>
      </c>
      <c r="L550" s="113" t="s">
        <v>2151</v>
      </c>
      <c r="M550" s="29" t="s">
        <v>2118</v>
      </c>
      <c r="N550" s="29" t="s">
        <v>2073</v>
      </c>
      <c r="O550" s="109"/>
      <c r="P550" s="29" t="s">
        <v>2119</v>
      </c>
      <c r="Q550" s="24" t="s">
        <v>116</v>
      </c>
      <c r="R550" s="66" t="s">
        <v>1744</v>
      </c>
      <c r="S550" s="29" t="s">
        <v>1760</v>
      </c>
      <c r="T550" s="49" t="s">
        <v>2144</v>
      </c>
      <c r="U550" s="107" t="s">
        <v>2145</v>
      </c>
      <c r="V550" s="31"/>
      <c r="W550" s="66" t="s">
        <v>1747</v>
      </c>
      <c r="X550" s="66"/>
      <c r="Y550" s="16">
        <v>1</v>
      </c>
      <c r="Z550" s="31"/>
      <c r="AA550" s="31"/>
      <c r="AB550" s="18">
        <v>2017</v>
      </c>
      <c r="AC550" s="16" t="s">
        <v>51</v>
      </c>
      <c r="AD550" s="30"/>
      <c r="AE550" s="29"/>
      <c r="AF550" s="29"/>
      <c r="AG550" s="29"/>
    </row>
    <row r="551" spans="1:33" x14ac:dyDescent="0.4">
      <c r="A551" s="108" t="s">
        <v>1735</v>
      </c>
      <c r="B551" s="49">
        <v>8</v>
      </c>
      <c r="C551" s="18">
        <v>549</v>
      </c>
      <c r="D551" s="102"/>
      <c r="E551" s="49">
        <v>2585468</v>
      </c>
      <c r="F551" s="29"/>
      <c r="G551" s="109" t="s">
        <v>716</v>
      </c>
      <c r="H551" s="114" t="s">
        <v>2140</v>
      </c>
      <c r="I551" s="114" t="s">
        <v>2140</v>
      </c>
      <c r="J551" s="113" t="s">
        <v>2141</v>
      </c>
      <c r="K551" s="113" t="s">
        <v>2142</v>
      </c>
      <c r="L551" s="113" t="s">
        <v>2152</v>
      </c>
      <c r="M551" s="29" t="s">
        <v>2118</v>
      </c>
      <c r="N551" s="29" t="s">
        <v>2073</v>
      </c>
      <c r="O551" s="109"/>
      <c r="P551" s="29" t="s">
        <v>2119</v>
      </c>
      <c r="Q551" s="24" t="s">
        <v>116</v>
      </c>
      <c r="R551" s="66" t="s">
        <v>1744</v>
      </c>
      <c r="S551" s="29" t="s">
        <v>1760</v>
      </c>
      <c r="T551" s="49" t="s">
        <v>2144</v>
      </c>
      <c r="U551" s="107" t="s">
        <v>2145</v>
      </c>
      <c r="V551" s="31"/>
      <c r="W551" s="66" t="s">
        <v>1747</v>
      </c>
      <c r="X551" s="66"/>
      <c r="Y551" s="16">
        <v>1</v>
      </c>
      <c r="Z551" s="31"/>
      <c r="AA551" s="31"/>
      <c r="AB551" s="18">
        <v>2017</v>
      </c>
      <c r="AC551" s="16" t="s">
        <v>51</v>
      </c>
      <c r="AD551" s="30"/>
      <c r="AE551" s="29"/>
      <c r="AF551" s="29"/>
      <c r="AG551" s="29"/>
    </row>
    <row r="552" spans="1:33" x14ac:dyDescent="0.4">
      <c r="A552" s="108" t="s">
        <v>1735</v>
      </c>
      <c r="B552" s="49">
        <v>1</v>
      </c>
      <c r="C552" s="17">
        <v>550</v>
      </c>
      <c r="D552" s="18" t="s">
        <v>2153</v>
      </c>
      <c r="E552" s="49">
        <v>2435828</v>
      </c>
      <c r="F552" s="29"/>
      <c r="G552" s="115" t="s">
        <v>1170</v>
      </c>
      <c r="H552" s="114" t="s">
        <v>2154</v>
      </c>
      <c r="I552" s="114" t="s">
        <v>2154</v>
      </c>
      <c r="J552" s="113" t="s">
        <v>2155</v>
      </c>
      <c r="K552" s="113" t="s">
        <v>2156</v>
      </c>
      <c r="L552" s="113" t="s">
        <v>2157</v>
      </c>
      <c r="M552" s="29" t="s">
        <v>2118</v>
      </c>
      <c r="N552" s="29" t="s">
        <v>2073</v>
      </c>
      <c r="O552" s="109"/>
      <c r="P552" s="29" t="s">
        <v>2119</v>
      </c>
      <c r="Q552" s="24" t="s">
        <v>17</v>
      </c>
      <c r="R552" s="66" t="s">
        <v>1744</v>
      </c>
      <c r="S552" s="29" t="s">
        <v>1760</v>
      </c>
      <c r="T552" s="49" t="s">
        <v>2158</v>
      </c>
      <c r="U552" s="107" t="s">
        <v>2159</v>
      </c>
      <c r="V552" s="31"/>
      <c r="W552" s="66" t="s">
        <v>1747</v>
      </c>
      <c r="X552" s="66"/>
      <c r="Y552" s="16">
        <v>1</v>
      </c>
      <c r="Z552" s="31"/>
      <c r="AA552" s="31"/>
      <c r="AB552" s="18">
        <v>2017</v>
      </c>
      <c r="AC552" s="16" t="s">
        <v>51</v>
      </c>
      <c r="AD552" s="30"/>
      <c r="AE552" s="29"/>
      <c r="AF552" s="29"/>
      <c r="AG552" s="29"/>
    </row>
    <row r="553" spans="1:33" x14ac:dyDescent="0.4">
      <c r="A553" s="108" t="s">
        <v>1735</v>
      </c>
      <c r="B553" s="49">
        <v>2</v>
      </c>
      <c r="C553" s="17">
        <v>551</v>
      </c>
      <c r="D553" s="18" t="s">
        <v>2160</v>
      </c>
      <c r="E553" s="49">
        <v>2435828</v>
      </c>
      <c r="F553" s="29"/>
      <c r="G553" s="115" t="s">
        <v>1170</v>
      </c>
      <c r="H553" s="114" t="s">
        <v>2154</v>
      </c>
      <c r="I553" s="114" t="s">
        <v>2154</v>
      </c>
      <c r="J553" s="113" t="s">
        <v>2155</v>
      </c>
      <c r="K553" s="113" t="s">
        <v>2156</v>
      </c>
      <c r="L553" s="113" t="s">
        <v>2161</v>
      </c>
      <c r="M553" s="29" t="s">
        <v>2118</v>
      </c>
      <c r="N553" s="29" t="s">
        <v>2073</v>
      </c>
      <c r="O553" s="109"/>
      <c r="P553" s="29" t="s">
        <v>2119</v>
      </c>
      <c r="Q553" s="24" t="s">
        <v>17</v>
      </c>
      <c r="R553" s="66" t="s">
        <v>1744</v>
      </c>
      <c r="S553" s="29" t="s">
        <v>1760</v>
      </c>
      <c r="T553" s="49" t="s">
        <v>2158</v>
      </c>
      <c r="U553" s="107" t="s">
        <v>2159</v>
      </c>
      <c r="V553" s="31"/>
      <c r="W553" s="66" t="s">
        <v>1747</v>
      </c>
      <c r="X553" s="66"/>
      <c r="Y553" s="16">
        <v>1</v>
      </c>
      <c r="Z553" s="31"/>
      <c r="AA553" s="31"/>
      <c r="AB553" s="18">
        <v>2017</v>
      </c>
      <c r="AC553" s="16" t="s">
        <v>51</v>
      </c>
      <c r="AD553" s="30"/>
      <c r="AE553" s="29"/>
      <c r="AF553" s="29"/>
      <c r="AG553" s="29"/>
    </row>
    <row r="554" spans="1:33" x14ac:dyDescent="0.4">
      <c r="A554" s="108" t="s">
        <v>1735</v>
      </c>
      <c r="B554" s="49">
        <v>3</v>
      </c>
      <c r="C554" s="18">
        <v>552</v>
      </c>
      <c r="D554" s="77"/>
      <c r="E554" s="49">
        <v>2435828</v>
      </c>
      <c r="F554" s="29"/>
      <c r="G554" s="109" t="s">
        <v>1170</v>
      </c>
      <c r="H554" s="114" t="s">
        <v>2154</v>
      </c>
      <c r="I554" s="114" t="s">
        <v>2154</v>
      </c>
      <c r="J554" s="113" t="s">
        <v>2155</v>
      </c>
      <c r="K554" s="113" t="s">
        <v>2156</v>
      </c>
      <c r="L554" s="113" t="s">
        <v>2162</v>
      </c>
      <c r="M554" s="29" t="s">
        <v>2118</v>
      </c>
      <c r="N554" s="29" t="s">
        <v>2073</v>
      </c>
      <c r="O554" s="109"/>
      <c r="P554" s="29" t="s">
        <v>2119</v>
      </c>
      <c r="Q554" s="66" t="s">
        <v>17</v>
      </c>
      <c r="R554" s="66" t="s">
        <v>1744</v>
      </c>
      <c r="S554" s="29" t="s">
        <v>1760</v>
      </c>
      <c r="T554" s="49" t="s">
        <v>2158</v>
      </c>
      <c r="U554" s="107" t="s">
        <v>2159</v>
      </c>
      <c r="V554" s="31"/>
      <c r="W554" s="66" t="s">
        <v>1747</v>
      </c>
      <c r="X554" s="66"/>
      <c r="Y554" s="16">
        <v>1</v>
      </c>
      <c r="Z554" s="31"/>
      <c r="AA554" s="31"/>
      <c r="AB554" s="18">
        <v>2017</v>
      </c>
      <c r="AC554" s="16" t="s">
        <v>51</v>
      </c>
      <c r="AD554" s="30"/>
      <c r="AE554" s="29"/>
      <c r="AF554" s="29"/>
      <c r="AG554" s="29"/>
    </row>
    <row r="555" spans="1:33" x14ac:dyDescent="0.4">
      <c r="A555" s="108" t="s">
        <v>1735</v>
      </c>
      <c r="B555" s="49">
        <v>4</v>
      </c>
      <c r="C555" s="18">
        <v>553</v>
      </c>
      <c r="D555" s="102"/>
      <c r="E555" s="49">
        <v>2435828</v>
      </c>
      <c r="F555" s="29"/>
      <c r="G555" s="109" t="s">
        <v>1170</v>
      </c>
      <c r="H555" s="114" t="s">
        <v>2154</v>
      </c>
      <c r="I555" s="114" t="s">
        <v>2154</v>
      </c>
      <c r="J555" s="113" t="s">
        <v>2155</v>
      </c>
      <c r="K555" s="113" t="s">
        <v>2156</v>
      </c>
      <c r="L555" s="113" t="s">
        <v>2163</v>
      </c>
      <c r="M555" s="29" t="s">
        <v>2118</v>
      </c>
      <c r="N555" s="29" t="s">
        <v>2073</v>
      </c>
      <c r="O555" s="109"/>
      <c r="P555" s="29" t="s">
        <v>2119</v>
      </c>
      <c r="Q555" s="66" t="s">
        <v>17</v>
      </c>
      <c r="R555" s="66" t="s">
        <v>1744</v>
      </c>
      <c r="S555" s="29" t="s">
        <v>1760</v>
      </c>
      <c r="T555" s="49" t="s">
        <v>2158</v>
      </c>
      <c r="U555" s="107" t="s">
        <v>2159</v>
      </c>
      <c r="V555" s="31"/>
      <c r="W555" s="66" t="s">
        <v>1747</v>
      </c>
      <c r="X555" s="66"/>
      <c r="Y555" s="16">
        <v>1</v>
      </c>
      <c r="Z555" s="31"/>
      <c r="AA555" s="31"/>
      <c r="AB555" s="18">
        <v>2017</v>
      </c>
      <c r="AC555" s="16" t="s">
        <v>51</v>
      </c>
      <c r="AD555" s="30"/>
      <c r="AE555" s="29"/>
      <c r="AF555" s="29"/>
      <c r="AG555" s="29"/>
    </row>
    <row r="556" spans="1:33" x14ac:dyDescent="0.4">
      <c r="A556" s="108" t="s">
        <v>1735</v>
      </c>
      <c r="B556" s="49">
        <v>5</v>
      </c>
      <c r="C556" s="17">
        <v>554</v>
      </c>
      <c r="D556" s="18" t="s">
        <v>2164</v>
      </c>
      <c r="E556" s="49">
        <v>2435828</v>
      </c>
      <c r="F556" s="29"/>
      <c r="G556" s="115" t="s">
        <v>1170</v>
      </c>
      <c r="H556" s="114" t="s">
        <v>2154</v>
      </c>
      <c r="I556" s="114" t="s">
        <v>2154</v>
      </c>
      <c r="J556" s="113" t="s">
        <v>2155</v>
      </c>
      <c r="K556" s="113" t="s">
        <v>2156</v>
      </c>
      <c r="L556" s="113" t="s">
        <v>2165</v>
      </c>
      <c r="M556" s="29" t="s">
        <v>2118</v>
      </c>
      <c r="N556" s="29" t="s">
        <v>2073</v>
      </c>
      <c r="O556" s="109"/>
      <c r="P556" s="29" t="s">
        <v>2119</v>
      </c>
      <c r="Q556" s="24" t="s">
        <v>17</v>
      </c>
      <c r="R556" s="66" t="s">
        <v>1744</v>
      </c>
      <c r="S556" s="29" t="s">
        <v>1760</v>
      </c>
      <c r="T556" s="49" t="s">
        <v>2158</v>
      </c>
      <c r="U556" s="107" t="s">
        <v>2159</v>
      </c>
      <c r="V556" s="31"/>
      <c r="W556" s="66" t="s">
        <v>1747</v>
      </c>
      <c r="X556" s="66"/>
      <c r="Y556" s="16">
        <v>1</v>
      </c>
      <c r="Z556" s="31"/>
      <c r="AA556" s="31"/>
      <c r="AB556" s="18">
        <v>2017</v>
      </c>
      <c r="AC556" s="16" t="s">
        <v>51</v>
      </c>
      <c r="AD556" s="30"/>
      <c r="AE556" s="29"/>
      <c r="AF556" s="29"/>
      <c r="AG556" s="29"/>
    </row>
    <row r="557" spans="1:33" x14ac:dyDescent="0.4">
      <c r="A557" s="108" t="s">
        <v>1735</v>
      </c>
      <c r="B557" s="49">
        <v>6</v>
      </c>
      <c r="C557" s="17">
        <v>555</v>
      </c>
      <c r="D557" s="18" t="s">
        <v>2166</v>
      </c>
      <c r="E557" s="49">
        <v>2435828</v>
      </c>
      <c r="F557" s="29"/>
      <c r="G557" s="115" t="s">
        <v>1170</v>
      </c>
      <c r="H557" s="114" t="s">
        <v>2154</v>
      </c>
      <c r="I557" s="114" t="s">
        <v>2154</v>
      </c>
      <c r="J557" s="113" t="s">
        <v>2155</v>
      </c>
      <c r="K557" s="113" t="s">
        <v>2156</v>
      </c>
      <c r="L557" s="113" t="s">
        <v>2167</v>
      </c>
      <c r="M557" s="29" t="s">
        <v>2118</v>
      </c>
      <c r="N557" s="29" t="s">
        <v>2073</v>
      </c>
      <c r="O557" s="109"/>
      <c r="P557" s="29" t="s">
        <v>2119</v>
      </c>
      <c r="Q557" s="24" t="s">
        <v>17</v>
      </c>
      <c r="R557" s="66" t="s">
        <v>1744</v>
      </c>
      <c r="S557" s="29" t="s">
        <v>1760</v>
      </c>
      <c r="T557" s="49" t="s">
        <v>2158</v>
      </c>
      <c r="U557" s="107" t="s">
        <v>2159</v>
      </c>
      <c r="V557" s="31"/>
      <c r="W557" s="66" t="s">
        <v>1747</v>
      </c>
      <c r="X557" s="66"/>
      <c r="Y557" s="16">
        <v>1</v>
      </c>
      <c r="Z557" s="31"/>
      <c r="AA557" s="31"/>
      <c r="AB557" s="18">
        <v>2017</v>
      </c>
      <c r="AC557" s="16" t="s">
        <v>51</v>
      </c>
      <c r="AD557" s="30"/>
      <c r="AE557" s="29"/>
      <c r="AF557" s="29"/>
      <c r="AG557" s="29"/>
    </row>
    <row r="558" spans="1:33" x14ac:dyDescent="0.4">
      <c r="A558" s="108" t="s">
        <v>1735</v>
      </c>
      <c r="B558" s="49">
        <v>7</v>
      </c>
      <c r="C558" s="17">
        <v>556</v>
      </c>
      <c r="D558" s="18" t="s">
        <v>2168</v>
      </c>
      <c r="E558" s="49">
        <v>2435828</v>
      </c>
      <c r="F558" s="29"/>
      <c r="G558" s="115" t="s">
        <v>1170</v>
      </c>
      <c r="H558" s="114" t="s">
        <v>2154</v>
      </c>
      <c r="I558" s="114" t="s">
        <v>2154</v>
      </c>
      <c r="J558" s="113" t="s">
        <v>2155</v>
      </c>
      <c r="K558" s="113" t="s">
        <v>2156</v>
      </c>
      <c r="L558" s="113" t="s">
        <v>2169</v>
      </c>
      <c r="M558" s="29" t="s">
        <v>2118</v>
      </c>
      <c r="N558" s="29" t="s">
        <v>2073</v>
      </c>
      <c r="O558" s="109"/>
      <c r="P558" s="29" t="s">
        <v>2119</v>
      </c>
      <c r="Q558" s="24" t="s">
        <v>17</v>
      </c>
      <c r="R558" s="66" t="s">
        <v>1744</v>
      </c>
      <c r="S558" s="29" t="s">
        <v>1760</v>
      </c>
      <c r="T558" s="49" t="s">
        <v>2158</v>
      </c>
      <c r="U558" s="107" t="s">
        <v>2159</v>
      </c>
      <c r="V558" s="31"/>
      <c r="W558" s="66" t="s">
        <v>1747</v>
      </c>
      <c r="X558" s="66"/>
      <c r="Y558" s="16">
        <v>1</v>
      </c>
      <c r="Z558" s="31"/>
      <c r="AA558" s="31"/>
      <c r="AB558" s="18">
        <v>2017</v>
      </c>
      <c r="AC558" s="16" t="s">
        <v>51</v>
      </c>
      <c r="AD558" s="30"/>
      <c r="AE558" s="29"/>
      <c r="AF558" s="29"/>
      <c r="AG558" s="29"/>
    </row>
    <row r="559" spans="1:33" x14ac:dyDescent="0.4">
      <c r="A559" s="108" t="s">
        <v>1735</v>
      </c>
      <c r="B559" s="49">
        <v>8</v>
      </c>
      <c r="C559" s="17">
        <v>557</v>
      </c>
      <c r="D559" s="18" t="s">
        <v>2170</v>
      </c>
      <c r="E559" s="49">
        <v>2435828</v>
      </c>
      <c r="F559" s="29"/>
      <c r="G559" s="115" t="s">
        <v>1170</v>
      </c>
      <c r="H559" s="114" t="s">
        <v>2154</v>
      </c>
      <c r="I559" s="114" t="s">
        <v>2154</v>
      </c>
      <c r="J559" s="113" t="s">
        <v>2155</v>
      </c>
      <c r="K559" s="113" t="s">
        <v>2156</v>
      </c>
      <c r="L559" s="113" t="s">
        <v>2171</v>
      </c>
      <c r="M559" s="29" t="s">
        <v>2118</v>
      </c>
      <c r="N559" s="29" t="s">
        <v>2073</v>
      </c>
      <c r="O559" s="109"/>
      <c r="P559" s="29" t="s">
        <v>2119</v>
      </c>
      <c r="Q559" s="24" t="s">
        <v>17</v>
      </c>
      <c r="R559" s="66" t="s">
        <v>1744</v>
      </c>
      <c r="S559" s="29" t="s">
        <v>1760</v>
      </c>
      <c r="T559" s="49" t="s">
        <v>2158</v>
      </c>
      <c r="U559" s="107" t="s">
        <v>2159</v>
      </c>
      <c r="V559" s="31"/>
      <c r="W559" s="66" t="s">
        <v>1747</v>
      </c>
      <c r="X559" s="66"/>
      <c r="Y559" s="16">
        <v>1</v>
      </c>
      <c r="Z559" s="31"/>
      <c r="AA559" s="31"/>
      <c r="AB559" s="18">
        <v>2017</v>
      </c>
      <c r="AC559" s="16" t="s">
        <v>51</v>
      </c>
      <c r="AD559" s="30"/>
      <c r="AE559" s="29"/>
      <c r="AF559" s="29"/>
      <c r="AG559" s="29"/>
    </row>
    <row r="560" spans="1:33" x14ac:dyDescent="0.4">
      <c r="A560" s="108" t="s">
        <v>1735</v>
      </c>
      <c r="B560" s="49">
        <v>9</v>
      </c>
      <c r="C560" s="17">
        <v>558</v>
      </c>
      <c r="D560" s="18" t="s">
        <v>2172</v>
      </c>
      <c r="E560" s="49">
        <v>2435828</v>
      </c>
      <c r="F560" s="29"/>
      <c r="G560" s="115" t="s">
        <v>1170</v>
      </c>
      <c r="H560" s="114" t="s">
        <v>2154</v>
      </c>
      <c r="I560" s="114" t="s">
        <v>2154</v>
      </c>
      <c r="J560" s="113" t="s">
        <v>2155</v>
      </c>
      <c r="K560" s="113" t="s">
        <v>2156</v>
      </c>
      <c r="L560" s="113" t="s">
        <v>2173</v>
      </c>
      <c r="M560" s="29" t="s">
        <v>2118</v>
      </c>
      <c r="N560" s="29" t="s">
        <v>2073</v>
      </c>
      <c r="O560" s="109"/>
      <c r="P560" s="29" t="s">
        <v>2119</v>
      </c>
      <c r="Q560" s="24" t="s">
        <v>17</v>
      </c>
      <c r="R560" s="66" t="s">
        <v>1744</v>
      </c>
      <c r="S560" s="29" t="s">
        <v>1760</v>
      </c>
      <c r="T560" s="49" t="s">
        <v>2158</v>
      </c>
      <c r="U560" s="107" t="s">
        <v>2159</v>
      </c>
      <c r="V560" s="31"/>
      <c r="W560" s="66" t="s">
        <v>1747</v>
      </c>
      <c r="X560" s="66"/>
      <c r="Y560" s="16">
        <v>1</v>
      </c>
      <c r="Z560" s="31"/>
      <c r="AA560" s="31"/>
      <c r="AB560" s="18">
        <v>2017</v>
      </c>
      <c r="AC560" s="16" t="s">
        <v>51</v>
      </c>
      <c r="AD560" s="30"/>
      <c r="AE560" s="29"/>
      <c r="AF560" s="29"/>
      <c r="AG560" s="29"/>
    </row>
    <row r="561" spans="1:33" x14ac:dyDescent="0.4">
      <c r="A561" s="108" t="s">
        <v>1735</v>
      </c>
      <c r="B561" s="49">
        <v>10</v>
      </c>
      <c r="C561" s="17">
        <v>559</v>
      </c>
      <c r="D561" s="18" t="s">
        <v>2174</v>
      </c>
      <c r="E561" s="49">
        <v>2435828</v>
      </c>
      <c r="F561" s="29"/>
      <c r="G561" s="115" t="s">
        <v>1170</v>
      </c>
      <c r="H561" s="114" t="s">
        <v>2154</v>
      </c>
      <c r="I561" s="114" t="s">
        <v>2154</v>
      </c>
      <c r="J561" s="113" t="s">
        <v>2155</v>
      </c>
      <c r="K561" s="113" t="s">
        <v>2156</v>
      </c>
      <c r="L561" s="113" t="s">
        <v>2175</v>
      </c>
      <c r="M561" s="29" t="s">
        <v>2118</v>
      </c>
      <c r="N561" s="29" t="s">
        <v>2073</v>
      </c>
      <c r="O561" s="109"/>
      <c r="P561" s="29" t="s">
        <v>2119</v>
      </c>
      <c r="Q561" s="24" t="s">
        <v>17</v>
      </c>
      <c r="R561" s="66" t="s">
        <v>1744</v>
      </c>
      <c r="S561" s="29" t="s">
        <v>1760</v>
      </c>
      <c r="T561" s="49" t="s">
        <v>2158</v>
      </c>
      <c r="U561" s="107" t="s">
        <v>2159</v>
      </c>
      <c r="V561" s="31"/>
      <c r="W561" s="66" t="s">
        <v>1747</v>
      </c>
      <c r="X561" s="66"/>
      <c r="Y561" s="16">
        <v>1</v>
      </c>
      <c r="Z561" s="31"/>
      <c r="AA561" s="31"/>
      <c r="AB561" s="18">
        <v>2017</v>
      </c>
      <c r="AC561" s="16" t="s">
        <v>51</v>
      </c>
      <c r="AD561" s="30"/>
      <c r="AE561" s="29"/>
      <c r="AF561" s="29"/>
      <c r="AG561" s="29"/>
    </row>
    <row r="562" spans="1:33" x14ac:dyDescent="0.4">
      <c r="A562" s="108" t="s">
        <v>1735</v>
      </c>
      <c r="B562" s="49">
        <v>1</v>
      </c>
      <c r="C562" s="18">
        <v>560</v>
      </c>
      <c r="D562" s="77"/>
      <c r="E562" s="49">
        <v>2594668</v>
      </c>
      <c r="F562" s="29"/>
      <c r="G562" s="109" t="s">
        <v>779</v>
      </c>
      <c r="H562" s="114" t="s">
        <v>2176</v>
      </c>
      <c r="I562" s="114" t="s">
        <v>2176</v>
      </c>
      <c r="J562" s="113" t="s">
        <v>2177</v>
      </c>
      <c r="K562" s="113" t="s">
        <v>2178</v>
      </c>
      <c r="L562" s="113" t="s">
        <v>2179</v>
      </c>
      <c r="M562" s="29" t="s">
        <v>2118</v>
      </c>
      <c r="N562" s="29" t="s">
        <v>2073</v>
      </c>
      <c r="O562" s="109"/>
      <c r="P562" s="29" t="s">
        <v>2119</v>
      </c>
      <c r="Q562" s="66" t="s">
        <v>17</v>
      </c>
      <c r="R562" s="66" t="s">
        <v>1744</v>
      </c>
      <c r="S562" s="29" t="s">
        <v>1760</v>
      </c>
      <c r="T562" s="49" t="s">
        <v>2180</v>
      </c>
      <c r="U562" s="107" t="s">
        <v>2181</v>
      </c>
      <c r="V562" s="31"/>
      <c r="W562" s="66" t="s">
        <v>1747</v>
      </c>
      <c r="X562" s="66"/>
      <c r="Y562" s="16">
        <v>1</v>
      </c>
      <c r="Z562" s="31"/>
      <c r="AA562" s="31"/>
      <c r="AB562" s="18">
        <v>2017</v>
      </c>
      <c r="AC562" s="16" t="s">
        <v>51</v>
      </c>
      <c r="AD562" s="30"/>
      <c r="AE562" s="29"/>
      <c r="AF562" s="29"/>
      <c r="AG562" s="29"/>
    </row>
    <row r="563" spans="1:33" x14ac:dyDescent="0.4">
      <c r="A563" s="108" t="s">
        <v>1735</v>
      </c>
      <c r="B563" s="49">
        <v>2</v>
      </c>
      <c r="C563" s="18">
        <v>561</v>
      </c>
      <c r="D563" s="17"/>
      <c r="E563" s="49">
        <v>2594668</v>
      </c>
      <c r="F563" s="29"/>
      <c r="G563" s="109" t="s">
        <v>779</v>
      </c>
      <c r="H563" s="114" t="s">
        <v>2176</v>
      </c>
      <c r="I563" s="114" t="s">
        <v>2176</v>
      </c>
      <c r="J563" s="113" t="s">
        <v>2177</v>
      </c>
      <c r="K563" s="113" t="s">
        <v>2178</v>
      </c>
      <c r="L563" s="113" t="s">
        <v>2182</v>
      </c>
      <c r="M563" s="29" t="s">
        <v>2118</v>
      </c>
      <c r="N563" s="29" t="s">
        <v>2073</v>
      </c>
      <c r="O563" s="109"/>
      <c r="P563" s="29" t="s">
        <v>2119</v>
      </c>
      <c r="Q563" s="66" t="s">
        <v>17</v>
      </c>
      <c r="R563" s="66" t="s">
        <v>1744</v>
      </c>
      <c r="S563" s="29" t="s">
        <v>1760</v>
      </c>
      <c r="T563" s="49" t="s">
        <v>2180</v>
      </c>
      <c r="U563" s="107" t="s">
        <v>2181</v>
      </c>
      <c r="V563" s="31"/>
      <c r="W563" s="66" t="s">
        <v>1747</v>
      </c>
      <c r="X563" s="66"/>
      <c r="Y563" s="16">
        <v>1</v>
      </c>
      <c r="Z563" s="31"/>
      <c r="AA563" s="31"/>
      <c r="AB563" s="18">
        <v>2017</v>
      </c>
      <c r="AC563" s="16" t="s">
        <v>51</v>
      </c>
      <c r="AD563" s="30"/>
      <c r="AE563" s="29"/>
      <c r="AF563" s="29"/>
      <c r="AG563" s="29"/>
    </row>
    <row r="564" spans="1:33" x14ac:dyDescent="0.4">
      <c r="A564" s="108" t="s">
        <v>1735</v>
      </c>
      <c r="B564" s="49">
        <v>3</v>
      </c>
      <c r="C564" s="18">
        <v>562</v>
      </c>
      <c r="D564" s="17"/>
      <c r="E564" s="49">
        <v>2594668</v>
      </c>
      <c r="F564" s="29"/>
      <c r="G564" s="109" t="s">
        <v>779</v>
      </c>
      <c r="H564" s="114" t="s">
        <v>2176</v>
      </c>
      <c r="I564" s="114" t="s">
        <v>2176</v>
      </c>
      <c r="J564" s="113" t="s">
        <v>2177</v>
      </c>
      <c r="K564" s="113" t="s">
        <v>2178</v>
      </c>
      <c r="L564" s="113" t="s">
        <v>2183</v>
      </c>
      <c r="M564" s="29" t="s">
        <v>2118</v>
      </c>
      <c r="N564" s="29" t="s">
        <v>2073</v>
      </c>
      <c r="O564" s="109"/>
      <c r="P564" s="29" t="s">
        <v>2119</v>
      </c>
      <c r="Q564" s="66" t="s">
        <v>17</v>
      </c>
      <c r="R564" s="66" t="s">
        <v>1744</v>
      </c>
      <c r="S564" s="29" t="s">
        <v>1760</v>
      </c>
      <c r="T564" s="49" t="s">
        <v>2180</v>
      </c>
      <c r="U564" s="107" t="s">
        <v>2181</v>
      </c>
      <c r="V564" s="31"/>
      <c r="W564" s="66" t="s">
        <v>1747</v>
      </c>
      <c r="X564" s="66"/>
      <c r="Y564" s="16">
        <v>1</v>
      </c>
      <c r="Z564" s="31"/>
      <c r="AA564" s="31"/>
      <c r="AB564" s="18">
        <v>2017</v>
      </c>
      <c r="AC564" s="16" t="s">
        <v>51</v>
      </c>
      <c r="AD564" s="30"/>
      <c r="AE564" s="29"/>
      <c r="AF564" s="29"/>
      <c r="AG564" s="29"/>
    </row>
    <row r="565" spans="1:33" x14ac:dyDescent="0.4">
      <c r="A565" s="108" t="s">
        <v>1735</v>
      </c>
      <c r="B565" s="49">
        <v>4</v>
      </c>
      <c r="C565" s="18">
        <v>563</v>
      </c>
      <c r="D565" s="17"/>
      <c r="E565" s="49">
        <v>2594668</v>
      </c>
      <c r="F565" s="29"/>
      <c r="G565" s="109" t="s">
        <v>779</v>
      </c>
      <c r="H565" s="114" t="s">
        <v>2176</v>
      </c>
      <c r="I565" s="114" t="s">
        <v>2176</v>
      </c>
      <c r="J565" s="113" t="s">
        <v>2177</v>
      </c>
      <c r="K565" s="113" t="s">
        <v>2178</v>
      </c>
      <c r="L565" s="113" t="s">
        <v>2184</v>
      </c>
      <c r="M565" s="29" t="s">
        <v>2118</v>
      </c>
      <c r="N565" s="29" t="s">
        <v>2073</v>
      </c>
      <c r="O565" s="109"/>
      <c r="P565" s="29" t="s">
        <v>2119</v>
      </c>
      <c r="Q565" s="66" t="s">
        <v>17</v>
      </c>
      <c r="R565" s="66" t="s">
        <v>1744</v>
      </c>
      <c r="S565" s="29" t="s">
        <v>1760</v>
      </c>
      <c r="T565" s="49" t="s">
        <v>2180</v>
      </c>
      <c r="U565" s="107" t="s">
        <v>2181</v>
      </c>
      <c r="V565" s="31"/>
      <c r="W565" s="66" t="s">
        <v>1747</v>
      </c>
      <c r="X565" s="66"/>
      <c r="Y565" s="16">
        <v>1</v>
      </c>
      <c r="Z565" s="31"/>
      <c r="AA565" s="31"/>
      <c r="AB565" s="18">
        <v>2017</v>
      </c>
      <c r="AC565" s="16" t="s">
        <v>51</v>
      </c>
      <c r="AD565" s="30"/>
      <c r="AE565" s="29"/>
      <c r="AF565" s="29"/>
      <c r="AG565" s="29"/>
    </row>
    <row r="566" spans="1:33" x14ac:dyDescent="0.4">
      <c r="A566" s="108" t="s">
        <v>1735</v>
      </c>
      <c r="B566" s="49">
        <v>5</v>
      </c>
      <c r="C566" s="18">
        <v>564</v>
      </c>
      <c r="D566" s="17"/>
      <c r="E566" s="49">
        <v>2594668</v>
      </c>
      <c r="F566" s="29"/>
      <c r="G566" s="109" t="s">
        <v>779</v>
      </c>
      <c r="H566" s="114" t="s">
        <v>2176</v>
      </c>
      <c r="I566" s="114" t="s">
        <v>2176</v>
      </c>
      <c r="J566" s="113" t="s">
        <v>2177</v>
      </c>
      <c r="K566" s="113" t="s">
        <v>2178</v>
      </c>
      <c r="L566" s="113" t="s">
        <v>2185</v>
      </c>
      <c r="M566" s="29" t="s">
        <v>2118</v>
      </c>
      <c r="N566" s="29" t="s">
        <v>2073</v>
      </c>
      <c r="O566" s="109"/>
      <c r="P566" s="29" t="s">
        <v>2119</v>
      </c>
      <c r="Q566" s="24" t="s">
        <v>116</v>
      </c>
      <c r="R566" s="66" t="s">
        <v>1744</v>
      </c>
      <c r="S566" s="29" t="s">
        <v>1760</v>
      </c>
      <c r="T566" s="49" t="s">
        <v>2180</v>
      </c>
      <c r="U566" s="107" t="s">
        <v>2181</v>
      </c>
      <c r="V566" s="31"/>
      <c r="W566" s="66" t="s">
        <v>1747</v>
      </c>
      <c r="X566" s="66"/>
      <c r="Y566" s="16">
        <v>1</v>
      </c>
      <c r="Z566" s="31"/>
      <c r="AA566" s="31"/>
      <c r="AB566" s="18">
        <v>2017</v>
      </c>
      <c r="AC566" s="16" t="s">
        <v>51</v>
      </c>
      <c r="AD566" s="30"/>
      <c r="AE566" s="29"/>
      <c r="AF566" s="29"/>
      <c r="AG566" s="29"/>
    </row>
    <row r="567" spans="1:33" x14ac:dyDescent="0.4">
      <c r="A567" s="108" t="s">
        <v>1735</v>
      </c>
      <c r="B567" s="49">
        <v>6</v>
      </c>
      <c r="C567" s="18">
        <v>565</v>
      </c>
      <c r="D567" s="17"/>
      <c r="E567" s="49">
        <v>2594668</v>
      </c>
      <c r="F567" s="29"/>
      <c r="G567" s="109" t="s">
        <v>779</v>
      </c>
      <c r="H567" s="114" t="s">
        <v>2176</v>
      </c>
      <c r="I567" s="114" t="s">
        <v>2176</v>
      </c>
      <c r="J567" s="113" t="s">
        <v>2177</v>
      </c>
      <c r="K567" s="113" t="s">
        <v>2178</v>
      </c>
      <c r="L567" s="113" t="s">
        <v>2186</v>
      </c>
      <c r="M567" s="29" t="s">
        <v>2118</v>
      </c>
      <c r="N567" s="29" t="s">
        <v>2073</v>
      </c>
      <c r="O567" s="109"/>
      <c r="P567" s="29" t="s">
        <v>2119</v>
      </c>
      <c r="Q567" s="24" t="s">
        <v>116</v>
      </c>
      <c r="R567" s="66" t="s">
        <v>1744</v>
      </c>
      <c r="S567" s="29" t="s">
        <v>1760</v>
      </c>
      <c r="T567" s="49" t="s">
        <v>2180</v>
      </c>
      <c r="U567" s="107" t="s">
        <v>2181</v>
      </c>
      <c r="V567" s="31"/>
      <c r="W567" s="66" t="s">
        <v>1747</v>
      </c>
      <c r="X567" s="66"/>
      <c r="Y567" s="16">
        <v>1</v>
      </c>
      <c r="Z567" s="31"/>
      <c r="AA567" s="31"/>
      <c r="AB567" s="18">
        <v>2017</v>
      </c>
      <c r="AC567" s="16" t="s">
        <v>51</v>
      </c>
      <c r="AD567" s="30"/>
      <c r="AE567" s="29"/>
      <c r="AF567" s="29"/>
      <c r="AG567" s="29"/>
    </row>
    <row r="568" spans="1:33" x14ac:dyDescent="0.4">
      <c r="A568" s="108" t="s">
        <v>1735</v>
      </c>
      <c r="B568" s="49">
        <v>7</v>
      </c>
      <c r="C568" s="18">
        <v>566</v>
      </c>
      <c r="D568" s="17"/>
      <c r="E568" s="49">
        <v>2594668</v>
      </c>
      <c r="F568" s="29"/>
      <c r="G568" s="109" t="s">
        <v>779</v>
      </c>
      <c r="H568" s="114" t="s">
        <v>2176</v>
      </c>
      <c r="I568" s="114" t="s">
        <v>2176</v>
      </c>
      <c r="J568" s="113" t="s">
        <v>2177</v>
      </c>
      <c r="K568" s="113" t="s">
        <v>2178</v>
      </c>
      <c r="L568" s="113" t="s">
        <v>2187</v>
      </c>
      <c r="M568" s="29" t="s">
        <v>2118</v>
      </c>
      <c r="N568" s="29" t="s">
        <v>2073</v>
      </c>
      <c r="O568" s="109"/>
      <c r="P568" s="29" t="s">
        <v>2119</v>
      </c>
      <c r="Q568" s="24" t="s">
        <v>116</v>
      </c>
      <c r="R568" s="66" t="s">
        <v>1744</v>
      </c>
      <c r="S568" s="29" t="s">
        <v>1760</v>
      </c>
      <c r="T568" s="49" t="s">
        <v>2180</v>
      </c>
      <c r="U568" s="107" t="s">
        <v>2181</v>
      </c>
      <c r="V568" s="31"/>
      <c r="W568" s="66" t="s">
        <v>1747</v>
      </c>
      <c r="X568" s="66"/>
      <c r="Y568" s="16">
        <v>1</v>
      </c>
      <c r="Z568" s="31"/>
      <c r="AA568" s="31"/>
      <c r="AB568" s="18">
        <v>2017</v>
      </c>
      <c r="AC568" s="16" t="s">
        <v>51</v>
      </c>
      <c r="AD568" s="30"/>
      <c r="AE568" s="29"/>
      <c r="AF568" s="29"/>
      <c r="AG568" s="29"/>
    </row>
    <row r="569" spans="1:33" x14ac:dyDescent="0.4">
      <c r="A569" s="108" t="s">
        <v>1735</v>
      </c>
      <c r="B569" s="49">
        <v>8</v>
      </c>
      <c r="C569" s="18">
        <v>567</v>
      </c>
      <c r="D569" s="17"/>
      <c r="E569" s="49">
        <v>2594668</v>
      </c>
      <c r="F569" s="29"/>
      <c r="G569" s="109" t="s">
        <v>779</v>
      </c>
      <c r="H569" s="114" t="s">
        <v>2176</v>
      </c>
      <c r="I569" s="114" t="s">
        <v>2176</v>
      </c>
      <c r="J569" s="113" t="s">
        <v>2177</v>
      </c>
      <c r="K569" s="113" t="s">
        <v>2178</v>
      </c>
      <c r="L569" s="113" t="s">
        <v>2188</v>
      </c>
      <c r="M569" s="29" t="s">
        <v>2118</v>
      </c>
      <c r="N569" s="29" t="s">
        <v>2073</v>
      </c>
      <c r="O569" s="109"/>
      <c r="P569" s="29" t="s">
        <v>2119</v>
      </c>
      <c r="Q569" s="24" t="s">
        <v>116</v>
      </c>
      <c r="R569" s="66" t="s">
        <v>1744</v>
      </c>
      <c r="S569" s="29" t="s">
        <v>1760</v>
      </c>
      <c r="T569" s="49" t="s">
        <v>2180</v>
      </c>
      <c r="U569" s="107" t="s">
        <v>2181</v>
      </c>
      <c r="V569" s="31"/>
      <c r="W569" s="66" t="s">
        <v>1747</v>
      </c>
      <c r="X569" s="66"/>
      <c r="Y569" s="16">
        <v>1</v>
      </c>
      <c r="Z569" s="31"/>
      <c r="AA569" s="31"/>
      <c r="AB569" s="18">
        <v>2017</v>
      </c>
      <c r="AC569" s="16" t="s">
        <v>51</v>
      </c>
      <c r="AD569" s="30"/>
      <c r="AE569" s="29"/>
      <c r="AF569" s="29"/>
      <c r="AG569" s="29"/>
    </row>
    <row r="570" spans="1:33" ht="39" x14ac:dyDescent="0.4">
      <c r="A570" s="108" t="s">
        <v>1735</v>
      </c>
      <c r="B570" s="49">
        <v>1</v>
      </c>
      <c r="C570" s="18">
        <v>568</v>
      </c>
      <c r="D570" s="17"/>
      <c r="E570" s="49">
        <v>2356140</v>
      </c>
      <c r="F570" s="29"/>
      <c r="G570" s="109" t="s">
        <v>872</v>
      </c>
      <c r="H570" s="114" t="s">
        <v>2189</v>
      </c>
      <c r="I570" s="114" t="s">
        <v>2189</v>
      </c>
      <c r="J570" s="113" t="s">
        <v>2190</v>
      </c>
      <c r="K570" s="113" t="s">
        <v>2191</v>
      </c>
      <c r="L570" s="113" t="s">
        <v>2192</v>
      </c>
      <c r="M570" s="29" t="s">
        <v>2118</v>
      </c>
      <c r="N570" s="29" t="s">
        <v>2073</v>
      </c>
      <c r="O570" s="109"/>
      <c r="P570" s="29" t="s">
        <v>2119</v>
      </c>
      <c r="Q570" s="24" t="s">
        <v>116</v>
      </c>
      <c r="R570" s="66" t="s">
        <v>1744</v>
      </c>
      <c r="S570" s="29" t="s">
        <v>68</v>
      </c>
      <c r="T570" s="49" t="s">
        <v>2193</v>
      </c>
      <c r="U570" s="107" t="s">
        <v>2194</v>
      </c>
      <c r="V570" s="31"/>
      <c r="W570" s="66" t="s">
        <v>1747</v>
      </c>
      <c r="X570" s="66"/>
      <c r="Y570" s="16">
        <v>1</v>
      </c>
      <c r="Z570" s="31"/>
      <c r="AA570" s="31"/>
      <c r="AB570" s="18">
        <v>2017</v>
      </c>
      <c r="AC570" s="16" t="s">
        <v>51</v>
      </c>
      <c r="AD570" s="30" t="s">
        <v>2195</v>
      </c>
      <c r="AE570" s="29"/>
      <c r="AF570" s="29"/>
      <c r="AG570" s="29"/>
    </row>
    <row r="571" spans="1:33" ht="39" x14ac:dyDescent="0.4">
      <c r="A571" s="108" t="s">
        <v>1735</v>
      </c>
      <c r="B571" s="49">
        <v>2</v>
      </c>
      <c r="C571" s="18">
        <v>569</v>
      </c>
      <c r="D571" s="17"/>
      <c r="E571" s="49">
        <v>2356140</v>
      </c>
      <c r="F571" s="29"/>
      <c r="G571" s="109" t="s">
        <v>872</v>
      </c>
      <c r="H571" s="114" t="s">
        <v>2189</v>
      </c>
      <c r="I571" s="114" t="s">
        <v>2189</v>
      </c>
      <c r="J571" s="113" t="s">
        <v>2190</v>
      </c>
      <c r="K571" s="113" t="s">
        <v>2191</v>
      </c>
      <c r="L571" s="113" t="s">
        <v>2196</v>
      </c>
      <c r="M571" s="29" t="s">
        <v>2118</v>
      </c>
      <c r="N571" s="29" t="s">
        <v>2073</v>
      </c>
      <c r="O571" s="109"/>
      <c r="P571" s="29" t="s">
        <v>2119</v>
      </c>
      <c r="Q571" s="24" t="s">
        <v>116</v>
      </c>
      <c r="R571" s="66" t="s">
        <v>1744</v>
      </c>
      <c r="S571" s="29" t="s">
        <v>68</v>
      </c>
      <c r="T571" s="49" t="s">
        <v>2193</v>
      </c>
      <c r="U571" s="107" t="s">
        <v>2194</v>
      </c>
      <c r="V571" s="31"/>
      <c r="W571" s="66" t="s">
        <v>1747</v>
      </c>
      <c r="X571" s="66"/>
      <c r="Y571" s="16">
        <v>1</v>
      </c>
      <c r="Z571" s="31"/>
      <c r="AA571" s="31"/>
      <c r="AB571" s="18">
        <v>2017</v>
      </c>
      <c r="AC571" s="16" t="s">
        <v>51</v>
      </c>
      <c r="AD571" s="30" t="s">
        <v>2195</v>
      </c>
      <c r="AE571" s="29"/>
      <c r="AF571" s="29"/>
      <c r="AG571" s="29"/>
    </row>
    <row r="572" spans="1:33" ht="39" x14ac:dyDescent="0.4">
      <c r="A572" s="108" t="s">
        <v>1735</v>
      </c>
      <c r="B572" s="49">
        <v>3</v>
      </c>
      <c r="C572" s="18">
        <v>570</v>
      </c>
      <c r="D572" s="17"/>
      <c r="E572" s="49">
        <v>2356140</v>
      </c>
      <c r="F572" s="29"/>
      <c r="G572" s="109" t="s">
        <v>872</v>
      </c>
      <c r="H572" s="114" t="s">
        <v>2189</v>
      </c>
      <c r="I572" s="114" t="s">
        <v>2189</v>
      </c>
      <c r="J572" s="113" t="s">
        <v>2190</v>
      </c>
      <c r="K572" s="113" t="s">
        <v>2191</v>
      </c>
      <c r="L572" s="113" t="s">
        <v>2197</v>
      </c>
      <c r="M572" s="29" t="s">
        <v>2118</v>
      </c>
      <c r="N572" s="29" t="s">
        <v>2073</v>
      </c>
      <c r="O572" s="109"/>
      <c r="P572" s="29" t="s">
        <v>2119</v>
      </c>
      <c r="Q572" s="24" t="s">
        <v>116</v>
      </c>
      <c r="R572" s="66" t="s">
        <v>1744</v>
      </c>
      <c r="S572" s="29" t="s">
        <v>68</v>
      </c>
      <c r="T572" s="49" t="s">
        <v>2193</v>
      </c>
      <c r="U572" s="107" t="s">
        <v>2194</v>
      </c>
      <c r="V572" s="31"/>
      <c r="W572" s="66" t="s">
        <v>1747</v>
      </c>
      <c r="X572" s="66"/>
      <c r="Y572" s="16">
        <v>1</v>
      </c>
      <c r="Z572" s="31"/>
      <c r="AA572" s="31"/>
      <c r="AB572" s="18">
        <v>2017</v>
      </c>
      <c r="AC572" s="16" t="s">
        <v>51</v>
      </c>
      <c r="AD572" s="30" t="s">
        <v>2195</v>
      </c>
      <c r="AE572" s="29"/>
      <c r="AF572" s="29"/>
      <c r="AG572" s="29"/>
    </row>
    <row r="573" spans="1:33" ht="39" x14ac:dyDescent="0.4">
      <c r="A573" s="108" t="s">
        <v>1735</v>
      </c>
      <c r="B573" s="49">
        <v>4</v>
      </c>
      <c r="C573" s="18">
        <v>571</v>
      </c>
      <c r="D573" s="17"/>
      <c r="E573" s="49">
        <v>2356140</v>
      </c>
      <c r="F573" s="29"/>
      <c r="G573" s="109" t="s">
        <v>872</v>
      </c>
      <c r="H573" s="114" t="s">
        <v>2189</v>
      </c>
      <c r="I573" s="114" t="s">
        <v>2189</v>
      </c>
      <c r="J573" s="113" t="s">
        <v>2190</v>
      </c>
      <c r="K573" s="113" t="s">
        <v>2191</v>
      </c>
      <c r="L573" s="113" t="s">
        <v>2198</v>
      </c>
      <c r="M573" s="29" t="s">
        <v>2118</v>
      </c>
      <c r="N573" s="29" t="s">
        <v>2073</v>
      </c>
      <c r="O573" s="109"/>
      <c r="P573" s="29" t="s">
        <v>2119</v>
      </c>
      <c r="Q573" s="24" t="s">
        <v>116</v>
      </c>
      <c r="R573" s="66" t="s">
        <v>1744</v>
      </c>
      <c r="S573" s="29" t="s">
        <v>68</v>
      </c>
      <c r="T573" s="49" t="s">
        <v>2193</v>
      </c>
      <c r="U573" s="107" t="s">
        <v>2194</v>
      </c>
      <c r="V573" s="31"/>
      <c r="W573" s="66" t="s">
        <v>1747</v>
      </c>
      <c r="X573" s="66"/>
      <c r="Y573" s="16">
        <v>1</v>
      </c>
      <c r="Z573" s="31"/>
      <c r="AA573" s="31"/>
      <c r="AB573" s="18">
        <v>2017</v>
      </c>
      <c r="AC573" s="16" t="s">
        <v>51</v>
      </c>
      <c r="AD573" s="30" t="s">
        <v>2195</v>
      </c>
      <c r="AE573" s="29"/>
      <c r="AF573" s="29"/>
      <c r="AG573" s="29"/>
    </row>
    <row r="574" spans="1:33" ht="39" x14ac:dyDescent="0.4">
      <c r="A574" s="108" t="s">
        <v>1735</v>
      </c>
      <c r="B574" s="49">
        <v>5</v>
      </c>
      <c r="C574" s="18">
        <v>572</v>
      </c>
      <c r="D574" s="17"/>
      <c r="E574" s="49">
        <v>2356140</v>
      </c>
      <c r="F574" s="29"/>
      <c r="G574" s="109" t="s">
        <v>872</v>
      </c>
      <c r="H574" s="114" t="s">
        <v>2189</v>
      </c>
      <c r="I574" s="114" t="s">
        <v>2189</v>
      </c>
      <c r="J574" s="113" t="s">
        <v>2190</v>
      </c>
      <c r="K574" s="113" t="s">
        <v>2191</v>
      </c>
      <c r="L574" s="113" t="s">
        <v>2199</v>
      </c>
      <c r="M574" s="29" t="s">
        <v>2118</v>
      </c>
      <c r="N574" s="29" t="s">
        <v>2073</v>
      </c>
      <c r="O574" s="109"/>
      <c r="P574" s="29" t="s">
        <v>2119</v>
      </c>
      <c r="Q574" s="24" t="s">
        <v>116</v>
      </c>
      <c r="R574" s="66" t="s">
        <v>1744</v>
      </c>
      <c r="S574" s="29" t="s">
        <v>68</v>
      </c>
      <c r="T574" s="49" t="s">
        <v>2193</v>
      </c>
      <c r="U574" s="107" t="s">
        <v>2194</v>
      </c>
      <c r="V574" s="31"/>
      <c r="W574" s="66" t="s">
        <v>1747</v>
      </c>
      <c r="X574" s="66"/>
      <c r="Y574" s="16">
        <v>1</v>
      </c>
      <c r="Z574" s="31"/>
      <c r="AA574" s="31"/>
      <c r="AB574" s="18">
        <v>2017</v>
      </c>
      <c r="AC574" s="16" t="s">
        <v>51</v>
      </c>
      <c r="AD574" s="30" t="s">
        <v>2195</v>
      </c>
      <c r="AE574" s="29"/>
      <c r="AF574" s="29"/>
      <c r="AG574" s="29"/>
    </row>
    <row r="575" spans="1:33" ht="39" x14ac:dyDescent="0.4">
      <c r="A575" s="108" t="s">
        <v>1735</v>
      </c>
      <c r="B575" s="49">
        <v>6</v>
      </c>
      <c r="C575" s="18">
        <v>573</v>
      </c>
      <c r="D575" s="102"/>
      <c r="E575" s="49">
        <v>2356140</v>
      </c>
      <c r="F575" s="29"/>
      <c r="G575" s="109" t="s">
        <v>872</v>
      </c>
      <c r="H575" s="114" t="s">
        <v>2189</v>
      </c>
      <c r="I575" s="114" t="s">
        <v>2189</v>
      </c>
      <c r="J575" s="113" t="s">
        <v>2190</v>
      </c>
      <c r="K575" s="113" t="s">
        <v>2191</v>
      </c>
      <c r="L575" s="113" t="s">
        <v>2200</v>
      </c>
      <c r="M575" s="29" t="s">
        <v>2118</v>
      </c>
      <c r="N575" s="29" t="s">
        <v>2073</v>
      </c>
      <c r="O575" s="109"/>
      <c r="P575" s="29" t="s">
        <v>2119</v>
      </c>
      <c r="Q575" s="24" t="s">
        <v>116</v>
      </c>
      <c r="R575" s="66" t="s">
        <v>1744</v>
      </c>
      <c r="S575" s="29" t="s">
        <v>68</v>
      </c>
      <c r="T575" s="49" t="s">
        <v>2193</v>
      </c>
      <c r="U575" s="107" t="s">
        <v>2194</v>
      </c>
      <c r="V575" s="31"/>
      <c r="W575" s="66" t="s">
        <v>1747</v>
      </c>
      <c r="X575" s="66"/>
      <c r="Y575" s="16">
        <v>1</v>
      </c>
      <c r="Z575" s="31"/>
      <c r="AA575" s="31"/>
      <c r="AB575" s="18">
        <v>2017</v>
      </c>
      <c r="AC575" s="16" t="s">
        <v>51</v>
      </c>
      <c r="AD575" s="30" t="s">
        <v>2195</v>
      </c>
      <c r="AE575" s="29"/>
      <c r="AF575" s="29"/>
      <c r="AG575" s="29"/>
    </row>
    <row r="576" spans="1:33" x14ac:dyDescent="0.4">
      <c r="A576" s="108" t="s">
        <v>1735</v>
      </c>
      <c r="B576" s="49">
        <v>1</v>
      </c>
      <c r="C576" s="17">
        <v>574</v>
      </c>
      <c r="D576" s="18" t="s">
        <v>2201</v>
      </c>
      <c r="E576" s="49">
        <v>2647906</v>
      </c>
      <c r="F576" s="29"/>
      <c r="G576" s="109" t="s">
        <v>988</v>
      </c>
      <c r="H576" s="114" t="s">
        <v>2202</v>
      </c>
      <c r="I576" s="114" t="s">
        <v>2202</v>
      </c>
      <c r="J576" s="113" t="s">
        <v>2203</v>
      </c>
      <c r="K576" s="113" t="s">
        <v>2204</v>
      </c>
      <c r="L576" s="113" t="s">
        <v>2205</v>
      </c>
      <c r="M576" s="29" t="s">
        <v>2118</v>
      </c>
      <c r="N576" s="29" t="s">
        <v>2073</v>
      </c>
      <c r="O576" s="109"/>
      <c r="P576" s="29" t="s">
        <v>2119</v>
      </c>
      <c r="Q576" s="24" t="s">
        <v>17</v>
      </c>
      <c r="R576" s="66" t="s">
        <v>1744</v>
      </c>
      <c r="S576" s="29" t="s">
        <v>1760</v>
      </c>
      <c r="T576" s="49" t="s">
        <v>2206</v>
      </c>
      <c r="U576" s="107" t="s">
        <v>2207</v>
      </c>
      <c r="V576" s="31"/>
      <c r="W576" s="66" t="s">
        <v>1747</v>
      </c>
      <c r="X576" s="66"/>
      <c r="Y576" s="16">
        <v>1</v>
      </c>
      <c r="Z576" s="31"/>
      <c r="AA576" s="31"/>
      <c r="AB576" s="18">
        <v>2017</v>
      </c>
      <c r="AC576" s="16" t="s">
        <v>51</v>
      </c>
      <c r="AD576" s="30"/>
      <c r="AE576" s="29"/>
      <c r="AF576" s="29"/>
      <c r="AG576" s="29"/>
    </row>
    <row r="577" spans="1:33" x14ac:dyDescent="0.4">
      <c r="A577" s="108" t="s">
        <v>1735</v>
      </c>
      <c r="B577" s="49">
        <v>2</v>
      </c>
      <c r="C577" s="17">
        <v>575</v>
      </c>
      <c r="D577" s="18" t="s">
        <v>2208</v>
      </c>
      <c r="E577" s="49">
        <v>2647906</v>
      </c>
      <c r="F577" s="29"/>
      <c r="G577" s="109" t="s">
        <v>988</v>
      </c>
      <c r="H577" s="114" t="s">
        <v>2202</v>
      </c>
      <c r="I577" s="114" t="s">
        <v>2202</v>
      </c>
      <c r="J577" s="113" t="s">
        <v>2203</v>
      </c>
      <c r="K577" s="113" t="s">
        <v>2204</v>
      </c>
      <c r="L577" s="113" t="s">
        <v>2209</v>
      </c>
      <c r="M577" s="29" t="s">
        <v>2118</v>
      </c>
      <c r="N577" s="29" t="s">
        <v>2073</v>
      </c>
      <c r="O577" s="109"/>
      <c r="P577" s="29" t="s">
        <v>2119</v>
      </c>
      <c r="Q577" s="24" t="s">
        <v>17</v>
      </c>
      <c r="R577" s="66" t="s">
        <v>1744</v>
      </c>
      <c r="S577" s="29" t="s">
        <v>1760</v>
      </c>
      <c r="T577" s="49" t="s">
        <v>2206</v>
      </c>
      <c r="U577" s="107" t="s">
        <v>2207</v>
      </c>
      <c r="V577" s="31"/>
      <c r="W577" s="66" t="s">
        <v>1747</v>
      </c>
      <c r="X577" s="66"/>
      <c r="Y577" s="16">
        <v>1</v>
      </c>
      <c r="Z577" s="31"/>
      <c r="AA577" s="31"/>
      <c r="AB577" s="18">
        <v>2017</v>
      </c>
      <c r="AC577" s="16" t="s">
        <v>51</v>
      </c>
      <c r="AD577" s="30"/>
      <c r="AE577" s="29"/>
      <c r="AF577" s="29"/>
      <c r="AG577" s="29"/>
    </row>
    <row r="578" spans="1:33" x14ac:dyDescent="0.4">
      <c r="A578" s="108" t="s">
        <v>1735</v>
      </c>
      <c r="B578" s="49">
        <v>3</v>
      </c>
      <c r="C578" s="18">
        <v>576</v>
      </c>
      <c r="D578" s="116"/>
      <c r="E578" s="49">
        <v>2647906</v>
      </c>
      <c r="F578" s="29"/>
      <c r="G578" s="109" t="s">
        <v>988</v>
      </c>
      <c r="H578" s="114" t="s">
        <v>2202</v>
      </c>
      <c r="I578" s="114" t="s">
        <v>2202</v>
      </c>
      <c r="J578" s="113" t="s">
        <v>2203</v>
      </c>
      <c r="K578" s="113" t="s">
        <v>2204</v>
      </c>
      <c r="L578" s="113" t="s">
        <v>2210</v>
      </c>
      <c r="M578" s="29" t="s">
        <v>2118</v>
      </c>
      <c r="N578" s="29" t="s">
        <v>2073</v>
      </c>
      <c r="O578" s="109"/>
      <c r="P578" s="29" t="s">
        <v>2119</v>
      </c>
      <c r="Q578" s="66" t="s">
        <v>17</v>
      </c>
      <c r="R578" s="66" t="s">
        <v>1744</v>
      </c>
      <c r="S578" s="29" t="s">
        <v>1760</v>
      </c>
      <c r="T578" s="49" t="s">
        <v>2206</v>
      </c>
      <c r="U578" s="107" t="s">
        <v>2207</v>
      </c>
      <c r="V578" s="31"/>
      <c r="W578" s="66" t="s">
        <v>1747</v>
      </c>
      <c r="X578" s="66"/>
      <c r="Y578" s="16">
        <v>1</v>
      </c>
      <c r="Z578" s="31"/>
      <c r="AA578" s="31"/>
      <c r="AB578" s="18">
        <v>2017</v>
      </c>
      <c r="AC578" s="16" t="s">
        <v>51</v>
      </c>
      <c r="AD578" s="30"/>
      <c r="AE578" s="29"/>
      <c r="AF578" s="29"/>
      <c r="AG578" s="29"/>
    </row>
    <row r="579" spans="1:33" x14ac:dyDescent="0.4">
      <c r="A579" s="108" t="s">
        <v>1735</v>
      </c>
      <c r="B579" s="49">
        <v>4</v>
      </c>
      <c r="C579" s="17">
        <v>577</v>
      </c>
      <c r="D579" s="18" t="s">
        <v>2211</v>
      </c>
      <c r="E579" s="49">
        <v>2647906</v>
      </c>
      <c r="F579" s="29"/>
      <c r="G579" s="109" t="s">
        <v>988</v>
      </c>
      <c r="H579" s="114" t="s">
        <v>2202</v>
      </c>
      <c r="I579" s="114" t="s">
        <v>2202</v>
      </c>
      <c r="J579" s="113" t="s">
        <v>2203</v>
      </c>
      <c r="K579" s="113" t="s">
        <v>2204</v>
      </c>
      <c r="L579" s="113" t="s">
        <v>2212</v>
      </c>
      <c r="M579" s="29" t="s">
        <v>2118</v>
      </c>
      <c r="N579" s="29" t="s">
        <v>2073</v>
      </c>
      <c r="O579" s="109"/>
      <c r="P579" s="29" t="s">
        <v>2119</v>
      </c>
      <c r="Q579" s="24" t="s">
        <v>17</v>
      </c>
      <c r="R579" s="66" t="s">
        <v>1744</v>
      </c>
      <c r="S579" s="29" t="s">
        <v>1760</v>
      </c>
      <c r="T579" s="49" t="s">
        <v>2206</v>
      </c>
      <c r="U579" s="107" t="s">
        <v>2207</v>
      </c>
      <c r="V579" s="31"/>
      <c r="W579" s="66" t="s">
        <v>1747</v>
      </c>
      <c r="X579" s="66"/>
      <c r="Y579" s="16">
        <v>1</v>
      </c>
      <c r="Z579" s="31"/>
      <c r="AA579" s="31"/>
      <c r="AB579" s="18">
        <v>2017</v>
      </c>
      <c r="AC579" s="16" t="s">
        <v>51</v>
      </c>
      <c r="AD579" s="30"/>
      <c r="AE579" s="29"/>
      <c r="AF579" s="29"/>
      <c r="AG579" s="29"/>
    </row>
    <row r="580" spans="1:33" x14ac:dyDescent="0.4">
      <c r="A580" s="108" t="s">
        <v>1735</v>
      </c>
      <c r="B580" s="49">
        <v>5</v>
      </c>
      <c r="C580" s="17">
        <v>578</v>
      </c>
      <c r="D580" s="18" t="s">
        <v>2213</v>
      </c>
      <c r="E580" s="49">
        <v>2647906</v>
      </c>
      <c r="F580" s="29"/>
      <c r="G580" s="109" t="s">
        <v>988</v>
      </c>
      <c r="H580" s="114" t="s">
        <v>2202</v>
      </c>
      <c r="I580" s="114" t="s">
        <v>2202</v>
      </c>
      <c r="J580" s="113" t="s">
        <v>2203</v>
      </c>
      <c r="K580" s="113" t="s">
        <v>2204</v>
      </c>
      <c r="L580" s="113" t="s">
        <v>2214</v>
      </c>
      <c r="M580" s="29" t="s">
        <v>2118</v>
      </c>
      <c r="N580" s="29" t="s">
        <v>2073</v>
      </c>
      <c r="O580" s="109"/>
      <c r="P580" s="29" t="s">
        <v>2119</v>
      </c>
      <c r="Q580" s="24" t="s">
        <v>17</v>
      </c>
      <c r="R580" s="66" t="s">
        <v>1744</v>
      </c>
      <c r="S580" s="29" t="s">
        <v>1760</v>
      </c>
      <c r="T580" s="49" t="s">
        <v>2206</v>
      </c>
      <c r="U580" s="107" t="s">
        <v>2207</v>
      </c>
      <c r="V580" s="31"/>
      <c r="W580" s="66" t="s">
        <v>1747</v>
      </c>
      <c r="X580" s="66"/>
      <c r="Y580" s="16">
        <v>1</v>
      </c>
      <c r="Z580" s="31"/>
      <c r="AA580" s="31"/>
      <c r="AB580" s="18">
        <v>2017</v>
      </c>
      <c r="AC580" s="16" t="s">
        <v>51</v>
      </c>
      <c r="AD580" s="30"/>
      <c r="AE580" s="29"/>
      <c r="AF580" s="29"/>
      <c r="AG580" s="29"/>
    </row>
    <row r="581" spans="1:33" x14ac:dyDescent="0.4">
      <c r="A581" s="108" t="s">
        <v>1735</v>
      </c>
      <c r="B581" s="49">
        <v>6</v>
      </c>
      <c r="C581" s="17">
        <v>579</v>
      </c>
      <c r="D581" s="18" t="s">
        <v>2215</v>
      </c>
      <c r="E581" s="49">
        <v>2647906</v>
      </c>
      <c r="F581" s="29"/>
      <c r="G581" s="109" t="s">
        <v>988</v>
      </c>
      <c r="H581" s="114" t="s">
        <v>2202</v>
      </c>
      <c r="I581" s="114" t="s">
        <v>2202</v>
      </c>
      <c r="J581" s="113" t="s">
        <v>2203</v>
      </c>
      <c r="K581" s="113" t="s">
        <v>2204</v>
      </c>
      <c r="L581" s="113" t="s">
        <v>2216</v>
      </c>
      <c r="M581" s="29" t="s">
        <v>2118</v>
      </c>
      <c r="N581" s="29" t="s">
        <v>2073</v>
      </c>
      <c r="O581" s="109"/>
      <c r="P581" s="29" t="s">
        <v>2119</v>
      </c>
      <c r="Q581" s="24" t="s">
        <v>17</v>
      </c>
      <c r="R581" s="66" t="s">
        <v>1744</v>
      </c>
      <c r="S581" s="29" t="s">
        <v>1760</v>
      </c>
      <c r="T581" s="49" t="s">
        <v>2206</v>
      </c>
      <c r="U581" s="107" t="s">
        <v>2207</v>
      </c>
      <c r="V581" s="31"/>
      <c r="W581" s="66" t="s">
        <v>1747</v>
      </c>
      <c r="X581" s="66"/>
      <c r="Y581" s="16">
        <v>1</v>
      </c>
      <c r="Z581" s="31"/>
      <c r="AA581" s="31"/>
      <c r="AB581" s="18">
        <v>2017</v>
      </c>
      <c r="AC581" s="16" t="s">
        <v>51</v>
      </c>
      <c r="AD581" s="30"/>
      <c r="AE581" s="29"/>
      <c r="AF581" s="29"/>
      <c r="AG581" s="29"/>
    </row>
    <row r="582" spans="1:33" x14ac:dyDescent="0.4">
      <c r="A582" s="108" t="s">
        <v>1735</v>
      </c>
      <c r="B582" s="49">
        <v>7</v>
      </c>
      <c r="C582" s="17">
        <v>580</v>
      </c>
      <c r="D582" s="18" t="s">
        <v>2217</v>
      </c>
      <c r="E582" s="49">
        <v>2647906</v>
      </c>
      <c r="F582" s="29"/>
      <c r="G582" s="109" t="s">
        <v>988</v>
      </c>
      <c r="H582" s="114" t="s">
        <v>2202</v>
      </c>
      <c r="I582" s="114" t="s">
        <v>2202</v>
      </c>
      <c r="J582" s="113" t="s">
        <v>2203</v>
      </c>
      <c r="K582" s="113" t="s">
        <v>2204</v>
      </c>
      <c r="L582" s="113" t="s">
        <v>2218</v>
      </c>
      <c r="M582" s="29" t="s">
        <v>2118</v>
      </c>
      <c r="N582" s="29" t="s">
        <v>2073</v>
      </c>
      <c r="O582" s="109"/>
      <c r="P582" s="29" t="s">
        <v>2119</v>
      </c>
      <c r="Q582" s="24" t="s">
        <v>17</v>
      </c>
      <c r="R582" s="66" t="s">
        <v>1744</v>
      </c>
      <c r="S582" s="29" t="s">
        <v>1760</v>
      </c>
      <c r="T582" s="49" t="s">
        <v>2206</v>
      </c>
      <c r="U582" s="107" t="s">
        <v>2207</v>
      </c>
      <c r="V582" s="31"/>
      <c r="W582" s="66" t="s">
        <v>1747</v>
      </c>
      <c r="X582" s="66"/>
      <c r="Y582" s="16">
        <v>1</v>
      </c>
      <c r="Z582" s="31"/>
      <c r="AA582" s="31"/>
      <c r="AB582" s="18">
        <v>2017</v>
      </c>
      <c r="AC582" s="16" t="s">
        <v>51</v>
      </c>
      <c r="AD582" s="30"/>
      <c r="AE582" s="29"/>
      <c r="AF582" s="29"/>
      <c r="AG582" s="29"/>
    </row>
    <row r="583" spans="1:33" x14ac:dyDescent="0.4">
      <c r="A583" s="108" t="s">
        <v>1735</v>
      </c>
      <c r="B583" s="49">
        <v>8</v>
      </c>
      <c r="C583" s="17">
        <v>581</v>
      </c>
      <c r="D583" s="18" t="s">
        <v>2219</v>
      </c>
      <c r="E583" s="49">
        <v>2647906</v>
      </c>
      <c r="F583" s="29"/>
      <c r="G583" s="109" t="s">
        <v>988</v>
      </c>
      <c r="H583" s="114" t="s">
        <v>2202</v>
      </c>
      <c r="I583" s="114" t="s">
        <v>2202</v>
      </c>
      <c r="J583" s="113" t="s">
        <v>2203</v>
      </c>
      <c r="K583" s="113" t="s">
        <v>2204</v>
      </c>
      <c r="L583" s="113" t="s">
        <v>2220</v>
      </c>
      <c r="M583" s="29" t="s">
        <v>2118</v>
      </c>
      <c r="N583" s="29" t="s">
        <v>2073</v>
      </c>
      <c r="O583" s="109"/>
      <c r="P583" s="29" t="s">
        <v>2119</v>
      </c>
      <c r="Q583" s="24" t="s">
        <v>17</v>
      </c>
      <c r="R583" s="66" t="s">
        <v>1744</v>
      </c>
      <c r="S583" s="29" t="s">
        <v>1760</v>
      </c>
      <c r="T583" s="49" t="s">
        <v>2206</v>
      </c>
      <c r="U583" s="107" t="s">
        <v>2207</v>
      </c>
      <c r="V583" s="31"/>
      <c r="W583" s="66" t="s">
        <v>1747</v>
      </c>
      <c r="X583" s="66"/>
      <c r="Y583" s="16">
        <v>1</v>
      </c>
      <c r="Z583" s="31"/>
      <c r="AA583" s="31"/>
      <c r="AB583" s="18">
        <v>2017</v>
      </c>
      <c r="AC583" s="16" t="s">
        <v>51</v>
      </c>
      <c r="AD583" s="30"/>
      <c r="AE583" s="29"/>
      <c r="AF583" s="29"/>
      <c r="AG583" s="29"/>
    </row>
    <row r="584" spans="1:33" x14ac:dyDescent="0.4">
      <c r="A584" s="108" t="s">
        <v>1735</v>
      </c>
      <c r="B584" s="49">
        <v>9</v>
      </c>
      <c r="C584" s="17">
        <v>582</v>
      </c>
      <c r="D584" s="18" t="s">
        <v>2221</v>
      </c>
      <c r="E584" s="49">
        <v>2647906</v>
      </c>
      <c r="F584" s="29"/>
      <c r="G584" s="109" t="s">
        <v>988</v>
      </c>
      <c r="H584" s="114" t="s">
        <v>2202</v>
      </c>
      <c r="I584" s="114" t="s">
        <v>2202</v>
      </c>
      <c r="J584" s="113" t="s">
        <v>2203</v>
      </c>
      <c r="K584" s="113" t="s">
        <v>2204</v>
      </c>
      <c r="L584" s="113" t="s">
        <v>2222</v>
      </c>
      <c r="M584" s="29" t="s">
        <v>2118</v>
      </c>
      <c r="N584" s="29" t="s">
        <v>2073</v>
      </c>
      <c r="O584" s="109"/>
      <c r="P584" s="29" t="s">
        <v>2119</v>
      </c>
      <c r="Q584" s="24" t="s">
        <v>17</v>
      </c>
      <c r="R584" s="66" t="s">
        <v>1744</v>
      </c>
      <c r="S584" s="29" t="s">
        <v>1760</v>
      </c>
      <c r="T584" s="49" t="s">
        <v>2206</v>
      </c>
      <c r="U584" s="107" t="s">
        <v>2207</v>
      </c>
      <c r="V584" s="31"/>
      <c r="W584" s="66" t="s">
        <v>1747</v>
      </c>
      <c r="X584" s="66"/>
      <c r="Y584" s="16">
        <v>1</v>
      </c>
      <c r="Z584" s="31"/>
      <c r="AA584" s="31"/>
      <c r="AB584" s="18">
        <v>2017</v>
      </c>
      <c r="AC584" s="16" t="s">
        <v>51</v>
      </c>
      <c r="AD584" s="30"/>
      <c r="AE584" s="29"/>
      <c r="AF584" s="29"/>
      <c r="AG584" s="29"/>
    </row>
    <row r="585" spans="1:33" x14ac:dyDescent="0.4">
      <c r="A585" s="108" t="s">
        <v>1735</v>
      </c>
      <c r="B585" s="49">
        <v>10</v>
      </c>
      <c r="C585" s="17">
        <v>583</v>
      </c>
      <c r="D585" s="18" t="s">
        <v>2223</v>
      </c>
      <c r="E585" s="49">
        <v>2647906</v>
      </c>
      <c r="F585" s="29"/>
      <c r="G585" s="109" t="s">
        <v>988</v>
      </c>
      <c r="H585" s="114" t="s">
        <v>2202</v>
      </c>
      <c r="I585" s="114" t="s">
        <v>2202</v>
      </c>
      <c r="J585" s="113" t="s">
        <v>2203</v>
      </c>
      <c r="K585" s="113" t="s">
        <v>2204</v>
      </c>
      <c r="L585" s="113" t="s">
        <v>2224</v>
      </c>
      <c r="M585" s="29" t="s">
        <v>2118</v>
      </c>
      <c r="N585" s="29" t="s">
        <v>2073</v>
      </c>
      <c r="O585" s="109"/>
      <c r="P585" s="29" t="s">
        <v>2119</v>
      </c>
      <c r="Q585" s="24" t="s">
        <v>17</v>
      </c>
      <c r="R585" s="66" t="s">
        <v>1744</v>
      </c>
      <c r="S585" s="29" t="s">
        <v>1760</v>
      </c>
      <c r="T585" s="49" t="s">
        <v>2206</v>
      </c>
      <c r="U585" s="107" t="s">
        <v>2207</v>
      </c>
      <c r="V585" s="31"/>
      <c r="W585" s="66" t="s">
        <v>1747</v>
      </c>
      <c r="X585" s="66"/>
      <c r="Y585" s="16">
        <v>1</v>
      </c>
      <c r="Z585" s="31"/>
      <c r="AA585" s="31"/>
      <c r="AB585" s="18">
        <v>2017</v>
      </c>
      <c r="AC585" s="16" t="s">
        <v>51</v>
      </c>
      <c r="AD585" s="30"/>
      <c r="AE585" s="29"/>
      <c r="AF585" s="29"/>
      <c r="AG585" s="29"/>
    </row>
    <row r="586" spans="1:33" x14ac:dyDescent="0.4">
      <c r="A586" s="108" t="s">
        <v>1735</v>
      </c>
      <c r="B586" s="49">
        <v>11</v>
      </c>
      <c r="C586" s="17">
        <v>584</v>
      </c>
      <c r="D586" s="18" t="s">
        <v>2225</v>
      </c>
      <c r="E586" s="49">
        <v>2647906</v>
      </c>
      <c r="F586" s="29"/>
      <c r="G586" s="109" t="s">
        <v>988</v>
      </c>
      <c r="H586" s="114" t="s">
        <v>2202</v>
      </c>
      <c r="I586" s="114" t="s">
        <v>2202</v>
      </c>
      <c r="J586" s="113" t="s">
        <v>2203</v>
      </c>
      <c r="K586" s="113" t="s">
        <v>2204</v>
      </c>
      <c r="L586" s="113" t="s">
        <v>2226</v>
      </c>
      <c r="M586" s="29" t="s">
        <v>2118</v>
      </c>
      <c r="N586" s="29" t="s">
        <v>2073</v>
      </c>
      <c r="O586" s="109"/>
      <c r="P586" s="29" t="s">
        <v>2119</v>
      </c>
      <c r="Q586" s="24" t="s">
        <v>17</v>
      </c>
      <c r="R586" s="66" t="s">
        <v>1744</v>
      </c>
      <c r="S586" s="29" t="s">
        <v>1760</v>
      </c>
      <c r="T586" s="49" t="s">
        <v>2206</v>
      </c>
      <c r="U586" s="107" t="s">
        <v>2207</v>
      </c>
      <c r="V586" s="31"/>
      <c r="W586" s="66" t="s">
        <v>1747</v>
      </c>
      <c r="X586" s="66"/>
      <c r="Y586" s="16">
        <v>1</v>
      </c>
      <c r="Z586" s="31"/>
      <c r="AA586" s="31"/>
      <c r="AB586" s="18">
        <v>2017</v>
      </c>
      <c r="AC586" s="16" t="s">
        <v>51</v>
      </c>
      <c r="AD586" s="30"/>
      <c r="AE586" s="29"/>
      <c r="AF586" s="29"/>
      <c r="AG586" s="29"/>
    </row>
    <row r="587" spans="1:33" x14ac:dyDescent="0.4">
      <c r="A587" s="108" t="s">
        <v>1735</v>
      </c>
      <c r="B587" s="49">
        <v>12</v>
      </c>
      <c r="C587" s="17">
        <v>585</v>
      </c>
      <c r="D587" s="18" t="s">
        <v>2227</v>
      </c>
      <c r="E587" s="49">
        <v>2647906</v>
      </c>
      <c r="F587" s="29"/>
      <c r="G587" s="109" t="s">
        <v>988</v>
      </c>
      <c r="H587" s="114" t="s">
        <v>2202</v>
      </c>
      <c r="I587" s="114" t="s">
        <v>2202</v>
      </c>
      <c r="J587" s="113" t="s">
        <v>2203</v>
      </c>
      <c r="K587" s="113" t="s">
        <v>2204</v>
      </c>
      <c r="L587" s="113" t="s">
        <v>2228</v>
      </c>
      <c r="M587" s="29" t="s">
        <v>2118</v>
      </c>
      <c r="N587" s="29" t="s">
        <v>2073</v>
      </c>
      <c r="O587" s="109"/>
      <c r="P587" s="29" t="s">
        <v>2119</v>
      </c>
      <c r="Q587" s="24" t="s">
        <v>17</v>
      </c>
      <c r="R587" s="66" t="s">
        <v>1744</v>
      </c>
      <c r="S587" s="29" t="s">
        <v>1760</v>
      </c>
      <c r="T587" s="49" t="s">
        <v>2206</v>
      </c>
      <c r="U587" s="107" t="s">
        <v>2207</v>
      </c>
      <c r="V587" s="31"/>
      <c r="W587" s="66" t="s">
        <v>1747</v>
      </c>
      <c r="X587" s="66"/>
      <c r="Y587" s="16">
        <v>1</v>
      </c>
      <c r="Z587" s="31"/>
      <c r="AA587" s="31"/>
      <c r="AB587" s="18">
        <v>2017</v>
      </c>
      <c r="AC587" s="16" t="s">
        <v>51</v>
      </c>
      <c r="AD587" s="30"/>
      <c r="AE587" s="29"/>
      <c r="AF587" s="29"/>
      <c r="AG587" s="29"/>
    </row>
    <row r="588" spans="1:33" x14ac:dyDescent="0.4">
      <c r="A588" s="108" t="s">
        <v>1735</v>
      </c>
      <c r="B588" s="49">
        <v>1</v>
      </c>
      <c r="C588" s="18">
        <v>586</v>
      </c>
      <c r="D588" s="116"/>
      <c r="E588" s="49">
        <v>2455627</v>
      </c>
      <c r="F588" s="29"/>
      <c r="G588" s="109" t="s">
        <v>999</v>
      </c>
      <c r="H588" s="114" t="s">
        <v>2229</v>
      </c>
      <c r="I588" s="114" t="s">
        <v>2229</v>
      </c>
      <c r="J588" s="113" t="s">
        <v>2230</v>
      </c>
      <c r="K588" s="113" t="s">
        <v>2231</v>
      </c>
      <c r="L588" s="113" t="s">
        <v>2232</v>
      </c>
      <c r="M588" s="29" t="s">
        <v>2118</v>
      </c>
      <c r="N588" s="29" t="s">
        <v>2073</v>
      </c>
      <c r="O588" s="109"/>
      <c r="P588" s="29" t="s">
        <v>2119</v>
      </c>
      <c r="Q588" s="66" t="s">
        <v>17</v>
      </c>
      <c r="R588" s="66" t="s">
        <v>1744</v>
      </c>
      <c r="S588" s="29" t="s">
        <v>1760</v>
      </c>
      <c r="T588" s="49" t="s">
        <v>2233</v>
      </c>
      <c r="U588" s="107" t="s">
        <v>2234</v>
      </c>
      <c r="V588" s="31"/>
      <c r="W588" s="66" t="s">
        <v>1747</v>
      </c>
      <c r="X588" s="66"/>
      <c r="Y588" s="16">
        <v>1</v>
      </c>
      <c r="Z588" s="31"/>
      <c r="AA588" s="31"/>
      <c r="AB588" s="18">
        <v>2017</v>
      </c>
      <c r="AC588" s="16" t="s">
        <v>51</v>
      </c>
      <c r="AD588" s="30"/>
      <c r="AE588" s="29"/>
      <c r="AF588" s="29"/>
      <c r="AG588" s="29"/>
    </row>
    <row r="589" spans="1:33" x14ac:dyDescent="0.4">
      <c r="A589" s="108" t="s">
        <v>1735</v>
      </c>
      <c r="B589" s="49">
        <v>2</v>
      </c>
      <c r="C589" s="17">
        <v>587</v>
      </c>
      <c r="D589" s="18" t="s">
        <v>2235</v>
      </c>
      <c r="E589" s="49">
        <v>2455627</v>
      </c>
      <c r="F589" s="29"/>
      <c r="G589" s="109" t="s">
        <v>999</v>
      </c>
      <c r="H589" s="114" t="s">
        <v>2229</v>
      </c>
      <c r="I589" s="114" t="s">
        <v>2229</v>
      </c>
      <c r="J589" s="113" t="s">
        <v>2230</v>
      </c>
      <c r="K589" s="113" t="s">
        <v>2231</v>
      </c>
      <c r="L589" s="113" t="s">
        <v>2236</v>
      </c>
      <c r="M589" s="29" t="s">
        <v>2118</v>
      </c>
      <c r="N589" s="29" t="s">
        <v>2073</v>
      </c>
      <c r="O589" s="109"/>
      <c r="P589" s="29" t="s">
        <v>2119</v>
      </c>
      <c r="Q589" s="24" t="s">
        <v>17</v>
      </c>
      <c r="R589" s="66" t="s">
        <v>1744</v>
      </c>
      <c r="S589" s="29" t="s">
        <v>1760</v>
      </c>
      <c r="T589" s="49" t="s">
        <v>2233</v>
      </c>
      <c r="U589" s="107" t="s">
        <v>2234</v>
      </c>
      <c r="V589" s="31"/>
      <c r="W589" s="66" t="s">
        <v>1747</v>
      </c>
      <c r="X589" s="66"/>
      <c r="Y589" s="16">
        <v>1</v>
      </c>
      <c r="Z589" s="31"/>
      <c r="AA589" s="31"/>
      <c r="AB589" s="18">
        <v>2017</v>
      </c>
      <c r="AC589" s="16" t="s">
        <v>51</v>
      </c>
      <c r="AD589" s="30"/>
      <c r="AE589" s="29"/>
      <c r="AF589" s="29"/>
      <c r="AG589" s="29"/>
    </row>
    <row r="590" spans="1:33" x14ac:dyDescent="0.4">
      <c r="A590" s="108" t="s">
        <v>1735</v>
      </c>
      <c r="B590" s="49">
        <v>3</v>
      </c>
      <c r="C590" s="17">
        <v>588</v>
      </c>
      <c r="D590" s="18" t="s">
        <v>2237</v>
      </c>
      <c r="E590" s="49">
        <v>2455627</v>
      </c>
      <c r="F590" s="29"/>
      <c r="G590" s="109" t="s">
        <v>999</v>
      </c>
      <c r="H590" s="114" t="s">
        <v>2229</v>
      </c>
      <c r="I590" s="114" t="s">
        <v>2229</v>
      </c>
      <c r="J590" s="113" t="s">
        <v>2230</v>
      </c>
      <c r="K590" s="113" t="s">
        <v>2231</v>
      </c>
      <c r="L590" s="113" t="s">
        <v>2238</v>
      </c>
      <c r="M590" s="29" t="s">
        <v>2118</v>
      </c>
      <c r="N590" s="29" t="s">
        <v>2073</v>
      </c>
      <c r="O590" s="109"/>
      <c r="P590" s="29" t="s">
        <v>2119</v>
      </c>
      <c r="Q590" s="24" t="s">
        <v>17</v>
      </c>
      <c r="R590" s="66" t="s">
        <v>1744</v>
      </c>
      <c r="S590" s="29" t="s">
        <v>1760</v>
      </c>
      <c r="T590" s="49" t="s">
        <v>2233</v>
      </c>
      <c r="U590" s="107" t="s">
        <v>2234</v>
      </c>
      <c r="V590" s="31"/>
      <c r="W590" s="66" t="s">
        <v>1747</v>
      </c>
      <c r="X590" s="66"/>
      <c r="Y590" s="16">
        <v>1</v>
      </c>
      <c r="Z590" s="31"/>
      <c r="AA590" s="31"/>
      <c r="AB590" s="18">
        <v>2017</v>
      </c>
      <c r="AC590" s="16" t="s">
        <v>51</v>
      </c>
      <c r="AD590" s="30"/>
      <c r="AE590" s="29"/>
      <c r="AF590" s="29"/>
      <c r="AG590" s="29"/>
    </row>
    <row r="591" spans="1:33" x14ac:dyDescent="0.4">
      <c r="A591" s="108" t="s">
        <v>1735</v>
      </c>
      <c r="B591" s="49">
        <v>4</v>
      </c>
      <c r="C591" s="18">
        <v>589</v>
      </c>
      <c r="D591" s="77"/>
      <c r="E591" s="49">
        <v>2455627</v>
      </c>
      <c r="F591" s="29"/>
      <c r="G591" s="109" t="s">
        <v>999</v>
      </c>
      <c r="H591" s="114" t="s">
        <v>2229</v>
      </c>
      <c r="I591" s="114" t="s">
        <v>2229</v>
      </c>
      <c r="J591" s="113" t="s">
        <v>2230</v>
      </c>
      <c r="K591" s="113" t="s">
        <v>2231</v>
      </c>
      <c r="L591" s="113" t="s">
        <v>2239</v>
      </c>
      <c r="M591" s="29" t="s">
        <v>2118</v>
      </c>
      <c r="N591" s="29" t="s">
        <v>2073</v>
      </c>
      <c r="O591" s="109"/>
      <c r="P591" s="29" t="s">
        <v>2119</v>
      </c>
      <c r="Q591" s="66" t="s">
        <v>17</v>
      </c>
      <c r="R591" s="66" t="s">
        <v>1744</v>
      </c>
      <c r="S591" s="29" t="s">
        <v>1760</v>
      </c>
      <c r="T591" s="49" t="s">
        <v>2233</v>
      </c>
      <c r="U591" s="107" t="s">
        <v>2234</v>
      </c>
      <c r="V591" s="31"/>
      <c r="W591" s="66" t="s">
        <v>1747</v>
      </c>
      <c r="X591" s="66"/>
      <c r="Y591" s="16">
        <v>1</v>
      </c>
      <c r="Z591" s="31"/>
      <c r="AA591" s="31"/>
      <c r="AB591" s="18">
        <v>2017</v>
      </c>
      <c r="AC591" s="16" t="s">
        <v>51</v>
      </c>
      <c r="AD591" s="30"/>
      <c r="AE591" s="29"/>
      <c r="AF591" s="29"/>
      <c r="AG591" s="29"/>
    </row>
    <row r="592" spans="1:33" x14ac:dyDescent="0.4">
      <c r="A592" s="108" t="s">
        <v>1735</v>
      </c>
      <c r="B592" s="49">
        <v>5</v>
      </c>
      <c r="C592" s="18">
        <v>590</v>
      </c>
      <c r="D592" s="102"/>
      <c r="E592" s="49">
        <v>2455627</v>
      </c>
      <c r="F592" s="29"/>
      <c r="G592" s="109" t="s">
        <v>999</v>
      </c>
      <c r="H592" s="114" t="s">
        <v>2229</v>
      </c>
      <c r="I592" s="114" t="s">
        <v>2229</v>
      </c>
      <c r="J592" s="113" t="s">
        <v>2230</v>
      </c>
      <c r="K592" s="113" t="s">
        <v>2231</v>
      </c>
      <c r="L592" s="113" t="s">
        <v>2240</v>
      </c>
      <c r="M592" s="29" t="s">
        <v>2118</v>
      </c>
      <c r="N592" s="29" t="s">
        <v>2073</v>
      </c>
      <c r="O592" s="109"/>
      <c r="P592" s="29" t="s">
        <v>2119</v>
      </c>
      <c r="Q592" s="66" t="s">
        <v>17</v>
      </c>
      <c r="R592" s="66" t="s">
        <v>1744</v>
      </c>
      <c r="S592" s="29" t="s">
        <v>1760</v>
      </c>
      <c r="T592" s="49" t="s">
        <v>2233</v>
      </c>
      <c r="U592" s="107" t="s">
        <v>2234</v>
      </c>
      <c r="V592" s="31"/>
      <c r="W592" s="66" t="s">
        <v>1747</v>
      </c>
      <c r="X592" s="66"/>
      <c r="Y592" s="16">
        <v>1</v>
      </c>
      <c r="Z592" s="31"/>
      <c r="AA592" s="31"/>
      <c r="AB592" s="18">
        <v>2017</v>
      </c>
      <c r="AC592" s="16" t="s">
        <v>51</v>
      </c>
      <c r="AD592" s="30"/>
      <c r="AE592" s="29"/>
      <c r="AF592" s="29"/>
      <c r="AG592" s="29"/>
    </row>
    <row r="593" spans="1:33" x14ac:dyDescent="0.4">
      <c r="A593" s="108" t="s">
        <v>1735</v>
      </c>
      <c r="B593" s="49">
        <v>6</v>
      </c>
      <c r="C593" s="17">
        <v>591</v>
      </c>
      <c r="D593" s="18" t="s">
        <v>2241</v>
      </c>
      <c r="E593" s="49">
        <v>2455627</v>
      </c>
      <c r="F593" s="29"/>
      <c r="G593" s="109" t="s">
        <v>999</v>
      </c>
      <c r="H593" s="114" t="s">
        <v>2229</v>
      </c>
      <c r="I593" s="114" t="s">
        <v>2229</v>
      </c>
      <c r="J593" s="113" t="s">
        <v>2230</v>
      </c>
      <c r="K593" s="113" t="s">
        <v>2231</v>
      </c>
      <c r="L593" s="113" t="s">
        <v>2242</v>
      </c>
      <c r="M593" s="29" t="s">
        <v>2118</v>
      </c>
      <c r="N593" s="29" t="s">
        <v>2073</v>
      </c>
      <c r="O593" s="109"/>
      <c r="P593" s="29" t="s">
        <v>2119</v>
      </c>
      <c r="Q593" s="24" t="s">
        <v>17</v>
      </c>
      <c r="R593" s="66" t="s">
        <v>1744</v>
      </c>
      <c r="S593" s="29" t="s">
        <v>1760</v>
      </c>
      <c r="T593" s="49" t="s">
        <v>2233</v>
      </c>
      <c r="U593" s="107" t="s">
        <v>2234</v>
      </c>
      <c r="V593" s="31"/>
      <c r="W593" s="66" t="s">
        <v>1747</v>
      </c>
      <c r="X593" s="66"/>
      <c r="Y593" s="16">
        <v>1</v>
      </c>
      <c r="Z593" s="31"/>
      <c r="AA593" s="31"/>
      <c r="AB593" s="18">
        <v>2017</v>
      </c>
      <c r="AC593" s="16" t="s">
        <v>51</v>
      </c>
      <c r="AD593" s="30"/>
      <c r="AE593" s="29"/>
      <c r="AF593" s="29"/>
      <c r="AG593" s="29"/>
    </row>
    <row r="594" spans="1:33" x14ac:dyDescent="0.4">
      <c r="A594" s="108" t="s">
        <v>1735</v>
      </c>
      <c r="B594" s="49">
        <v>7</v>
      </c>
      <c r="C594" s="17">
        <v>592</v>
      </c>
      <c r="D594" s="18" t="s">
        <v>2243</v>
      </c>
      <c r="E594" s="49">
        <v>2455627</v>
      </c>
      <c r="F594" s="29"/>
      <c r="G594" s="109" t="s">
        <v>999</v>
      </c>
      <c r="H594" s="114" t="s">
        <v>2229</v>
      </c>
      <c r="I594" s="114" t="s">
        <v>2229</v>
      </c>
      <c r="J594" s="113" t="s">
        <v>2230</v>
      </c>
      <c r="K594" s="113" t="s">
        <v>2231</v>
      </c>
      <c r="L594" s="113" t="s">
        <v>2244</v>
      </c>
      <c r="M594" s="29" t="s">
        <v>2118</v>
      </c>
      <c r="N594" s="29" t="s">
        <v>2073</v>
      </c>
      <c r="O594" s="109"/>
      <c r="P594" s="29" t="s">
        <v>2119</v>
      </c>
      <c r="Q594" s="24" t="s">
        <v>17</v>
      </c>
      <c r="R594" s="66" t="s">
        <v>1744</v>
      </c>
      <c r="S594" s="29" t="s">
        <v>1760</v>
      </c>
      <c r="T594" s="49" t="s">
        <v>2233</v>
      </c>
      <c r="U594" s="107" t="s">
        <v>2234</v>
      </c>
      <c r="V594" s="31"/>
      <c r="W594" s="66" t="s">
        <v>1747</v>
      </c>
      <c r="X594" s="66"/>
      <c r="Y594" s="16">
        <v>1</v>
      </c>
      <c r="Z594" s="31"/>
      <c r="AA594" s="31"/>
      <c r="AB594" s="18">
        <v>2017</v>
      </c>
      <c r="AC594" s="16" t="s">
        <v>51</v>
      </c>
      <c r="AD594" s="30"/>
      <c r="AE594" s="29"/>
      <c r="AF594" s="29"/>
      <c r="AG594" s="29"/>
    </row>
    <row r="595" spans="1:33" x14ac:dyDescent="0.4">
      <c r="A595" s="108" t="s">
        <v>1735</v>
      </c>
      <c r="B595" s="49">
        <v>8</v>
      </c>
      <c r="C595" s="17">
        <v>593</v>
      </c>
      <c r="D595" s="18" t="s">
        <v>2245</v>
      </c>
      <c r="E595" s="49">
        <v>2455627</v>
      </c>
      <c r="F595" s="29"/>
      <c r="G595" s="109" t="s">
        <v>999</v>
      </c>
      <c r="H595" s="114" t="s">
        <v>2229</v>
      </c>
      <c r="I595" s="114" t="s">
        <v>2229</v>
      </c>
      <c r="J595" s="113" t="s">
        <v>2230</v>
      </c>
      <c r="K595" s="113" t="s">
        <v>2231</v>
      </c>
      <c r="L595" s="113" t="s">
        <v>2246</v>
      </c>
      <c r="M595" s="29" t="s">
        <v>2118</v>
      </c>
      <c r="N595" s="29" t="s">
        <v>2073</v>
      </c>
      <c r="O595" s="109"/>
      <c r="P595" s="29" t="s">
        <v>2119</v>
      </c>
      <c r="Q595" s="24" t="s">
        <v>17</v>
      </c>
      <c r="R595" s="66" t="s">
        <v>1744</v>
      </c>
      <c r="S595" s="29" t="s">
        <v>1760</v>
      </c>
      <c r="T595" s="49" t="s">
        <v>2233</v>
      </c>
      <c r="U595" s="107" t="s">
        <v>2234</v>
      </c>
      <c r="V595" s="31"/>
      <c r="W595" s="66" t="s">
        <v>1747</v>
      </c>
      <c r="X595" s="66"/>
      <c r="Y595" s="16">
        <v>1</v>
      </c>
      <c r="Z595" s="31"/>
      <c r="AA595" s="31"/>
      <c r="AB595" s="18">
        <v>2017</v>
      </c>
      <c r="AC595" s="16" t="s">
        <v>51</v>
      </c>
      <c r="AD595" s="30"/>
      <c r="AE595" s="29"/>
      <c r="AF595" s="29"/>
      <c r="AG595" s="29"/>
    </row>
    <row r="596" spans="1:33" x14ac:dyDescent="0.4">
      <c r="A596" s="108" t="s">
        <v>1735</v>
      </c>
      <c r="B596" s="49">
        <v>9</v>
      </c>
      <c r="C596" s="17">
        <v>594</v>
      </c>
      <c r="D596" s="18" t="s">
        <v>2247</v>
      </c>
      <c r="E596" s="49">
        <v>2455627</v>
      </c>
      <c r="F596" s="29"/>
      <c r="G596" s="109" t="s">
        <v>999</v>
      </c>
      <c r="H596" s="114" t="s">
        <v>2229</v>
      </c>
      <c r="I596" s="114" t="s">
        <v>2229</v>
      </c>
      <c r="J596" s="113" t="s">
        <v>2230</v>
      </c>
      <c r="K596" s="113" t="s">
        <v>2231</v>
      </c>
      <c r="L596" s="113" t="s">
        <v>2248</v>
      </c>
      <c r="M596" s="29" t="s">
        <v>2118</v>
      </c>
      <c r="N596" s="29" t="s">
        <v>2073</v>
      </c>
      <c r="O596" s="109"/>
      <c r="P596" s="29" t="s">
        <v>2119</v>
      </c>
      <c r="Q596" s="24" t="s">
        <v>17</v>
      </c>
      <c r="R596" s="66" t="s">
        <v>1744</v>
      </c>
      <c r="S596" s="29" t="s">
        <v>1760</v>
      </c>
      <c r="T596" s="49" t="s">
        <v>2233</v>
      </c>
      <c r="U596" s="107" t="s">
        <v>2234</v>
      </c>
      <c r="V596" s="31"/>
      <c r="W596" s="66" t="s">
        <v>1747</v>
      </c>
      <c r="X596" s="66"/>
      <c r="Y596" s="16">
        <v>1</v>
      </c>
      <c r="Z596" s="31"/>
      <c r="AA596" s="31"/>
      <c r="AB596" s="18">
        <v>2017</v>
      </c>
      <c r="AC596" s="16" t="s">
        <v>51</v>
      </c>
      <c r="AD596" s="30"/>
      <c r="AE596" s="29"/>
      <c r="AF596" s="29"/>
      <c r="AG596" s="29"/>
    </row>
    <row r="597" spans="1:33" x14ac:dyDescent="0.4">
      <c r="A597" s="108" t="s">
        <v>1735</v>
      </c>
      <c r="B597" s="49">
        <v>10</v>
      </c>
      <c r="C597" s="17">
        <v>595</v>
      </c>
      <c r="D597" s="18" t="s">
        <v>2249</v>
      </c>
      <c r="E597" s="49">
        <v>2455627</v>
      </c>
      <c r="F597" s="29"/>
      <c r="G597" s="109" t="s">
        <v>999</v>
      </c>
      <c r="H597" s="114" t="s">
        <v>2229</v>
      </c>
      <c r="I597" s="114" t="s">
        <v>2229</v>
      </c>
      <c r="J597" s="113" t="s">
        <v>2230</v>
      </c>
      <c r="K597" s="113" t="s">
        <v>2231</v>
      </c>
      <c r="L597" s="113" t="s">
        <v>2250</v>
      </c>
      <c r="M597" s="29" t="s">
        <v>2118</v>
      </c>
      <c r="N597" s="29" t="s">
        <v>2073</v>
      </c>
      <c r="O597" s="109"/>
      <c r="P597" s="29" t="s">
        <v>2119</v>
      </c>
      <c r="Q597" s="24" t="s">
        <v>17</v>
      </c>
      <c r="R597" s="66" t="s">
        <v>1744</v>
      </c>
      <c r="S597" s="29" t="s">
        <v>1760</v>
      </c>
      <c r="T597" s="49" t="s">
        <v>2233</v>
      </c>
      <c r="U597" s="107" t="s">
        <v>2234</v>
      </c>
      <c r="V597" s="31"/>
      <c r="W597" s="66" t="s">
        <v>1747</v>
      </c>
      <c r="X597" s="66"/>
      <c r="Y597" s="16">
        <v>1</v>
      </c>
      <c r="Z597" s="31"/>
      <c r="AA597" s="31"/>
      <c r="AB597" s="18">
        <v>2017</v>
      </c>
      <c r="AC597" s="16" t="s">
        <v>51</v>
      </c>
      <c r="AD597" s="30"/>
      <c r="AE597" s="29"/>
      <c r="AF597" s="29"/>
      <c r="AG597" s="29"/>
    </row>
    <row r="598" spans="1:33" x14ac:dyDescent="0.4">
      <c r="A598" s="108" t="s">
        <v>1735</v>
      </c>
      <c r="B598" s="49">
        <v>11</v>
      </c>
      <c r="C598" s="17">
        <v>596</v>
      </c>
      <c r="D598" s="18" t="s">
        <v>2251</v>
      </c>
      <c r="E598" s="49">
        <v>2455627</v>
      </c>
      <c r="F598" s="29"/>
      <c r="G598" s="109" t="s">
        <v>999</v>
      </c>
      <c r="H598" s="114" t="s">
        <v>2229</v>
      </c>
      <c r="I598" s="114" t="s">
        <v>2229</v>
      </c>
      <c r="J598" s="113" t="s">
        <v>2230</v>
      </c>
      <c r="K598" s="113" t="s">
        <v>2231</v>
      </c>
      <c r="L598" s="113" t="s">
        <v>2252</v>
      </c>
      <c r="M598" s="29" t="s">
        <v>2118</v>
      </c>
      <c r="N598" s="29" t="s">
        <v>2073</v>
      </c>
      <c r="O598" s="109"/>
      <c r="P598" s="29" t="s">
        <v>2119</v>
      </c>
      <c r="Q598" s="24" t="s">
        <v>17</v>
      </c>
      <c r="R598" s="66" t="s">
        <v>1744</v>
      </c>
      <c r="S598" s="29" t="s">
        <v>1760</v>
      </c>
      <c r="T598" s="49" t="s">
        <v>2233</v>
      </c>
      <c r="U598" s="107" t="s">
        <v>2234</v>
      </c>
      <c r="V598" s="31"/>
      <c r="W598" s="66" t="s">
        <v>1747</v>
      </c>
      <c r="X598" s="66"/>
      <c r="Y598" s="16">
        <v>1</v>
      </c>
      <c r="Z598" s="31"/>
      <c r="AA598" s="31"/>
      <c r="AB598" s="18">
        <v>2017</v>
      </c>
      <c r="AC598" s="16" t="s">
        <v>51</v>
      </c>
      <c r="AD598" s="30"/>
      <c r="AE598" s="29"/>
      <c r="AF598" s="29"/>
      <c r="AG598" s="29"/>
    </row>
    <row r="599" spans="1:33" x14ac:dyDescent="0.4">
      <c r="A599" s="108" t="s">
        <v>1735</v>
      </c>
      <c r="B599" s="49">
        <v>12</v>
      </c>
      <c r="C599" s="17">
        <v>597</v>
      </c>
      <c r="D599" s="18" t="s">
        <v>2253</v>
      </c>
      <c r="E599" s="49">
        <v>2455627</v>
      </c>
      <c r="F599" s="29"/>
      <c r="G599" s="109" t="s">
        <v>999</v>
      </c>
      <c r="H599" s="114" t="s">
        <v>2229</v>
      </c>
      <c r="I599" s="114" t="s">
        <v>2229</v>
      </c>
      <c r="J599" s="113" t="s">
        <v>2230</v>
      </c>
      <c r="K599" s="113" t="s">
        <v>2231</v>
      </c>
      <c r="L599" s="113" t="s">
        <v>2254</v>
      </c>
      <c r="M599" s="29" t="s">
        <v>2118</v>
      </c>
      <c r="N599" s="29" t="s">
        <v>2073</v>
      </c>
      <c r="O599" s="109"/>
      <c r="P599" s="29" t="s">
        <v>2119</v>
      </c>
      <c r="Q599" s="24" t="s">
        <v>17</v>
      </c>
      <c r="R599" s="66" t="s">
        <v>1744</v>
      </c>
      <c r="S599" s="29" t="s">
        <v>1760</v>
      </c>
      <c r="T599" s="49" t="s">
        <v>2233</v>
      </c>
      <c r="U599" s="107" t="s">
        <v>2234</v>
      </c>
      <c r="V599" s="31"/>
      <c r="W599" s="66" t="s">
        <v>1747</v>
      </c>
      <c r="X599" s="66"/>
      <c r="Y599" s="16">
        <v>1</v>
      </c>
      <c r="Z599" s="31"/>
      <c r="AA599" s="31"/>
      <c r="AB599" s="18">
        <v>2017</v>
      </c>
      <c r="AC599" s="16" t="s">
        <v>51</v>
      </c>
      <c r="AD599" s="30"/>
      <c r="AE599" s="29"/>
      <c r="AF599" s="29"/>
      <c r="AG599" s="29"/>
    </row>
    <row r="600" spans="1:33" x14ac:dyDescent="0.4">
      <c r="A600" s="108" t="s">
        <v>1735</v>
      </c>
      <c r="B600" s="49">
        <v>13</v>
      </c>
      <c r="C600" s="17">
        <v>598</v>
      </c>
      <c r="D600" s="18" t="s">
        <v>2255</v>
      </c>
      <c r="E600" s="49">
        <v>2455627</v>
      </c>
      <c r="F600" s="29"/>
      <c r="G600" s="109" t="s">
        <v>999</v>
      </c>
      <c r="H600" s="114" t="s">
        <v>2229</v>
      </c>
      <c r="I600" s="114" t="s">
        <v>2229</v>
      </c>
      <c r="J600" s="113" t="s">
        <v>2230</v>
      </c>
      <c r="K600" s="113" t="s">
        <v>2231</v>
      </c>
      <c r="L600" s="113" t="s">
        <v>2256</v>
      </c>
      <c r="M600" s="29" t="s">
        <v>2118</v>
      </c>
      <c r="N600" s="29" t="s">
        <v>2073</v>
      </c>
      <c r="O600" s="109"/>
      <c r="P600" s="29" t="s">
        <v>2119</v>
      </c>
      <c r="Q600" s="24" t="s">
        <v>17</v>
      </c>
      <c r="R600" s="66" t="s">
        <v>1744</v>
      </c>
      <c r="S600" s="29" t="s">
        <v>1760</v>
      </c>
      <c r="T600" s="49" t="s">
        <v>2233</v>
      </c>
      <c r="U600" s="107" t="s">
        <v>2234</v>
      </c>
      <c r="V600" s="31"/>
      <c r="W600" s="66" t="s">
        <v>1747</v>
      </c>
      <c r="X600" s="66"/>
      <c r="Y600" s="16">
        <v>1</v>
      </c>
      <c r="Z600" s="31"/>
      <c r="AA600" s="31"/>
      <c r="AB600" s="18">
        <v>2017</v>
      </c>
      <c r="AC600" s="16" t="s">
        <v>51</v>
      </c>
      <c r="AD600" s="30"/>
      <c r="AE600" s="29"/>
      <c r="AF600" s="29"/>
      <c r="AG600" s="29"/>
    </row>
    <row r="601" spans="1:33" x14ac:dyDescent="0.4">
      <c r="A601" s="108" t="s">
        <v>1735</v>
      </c>
      <c r="B601" s="49">
        <v>14</v>
      </c>
      <c r="C601" s="18">
        <v>599</v>
      </c>
      <c r="D601" s="116"/>
      <c r="E601" s="49">
        <v>2455627</v>
      </c>
      <c r="F601" s="29"/>
      <c r="G601" s="109" t="s">
        <v>999</v>
      </c>
      <c r="H601" s="114" t="s">
        <v>2229</v>
      </c>
      <c r="I601" s="114" t="s">
        <v>2229</v>
      </c>
      <c r="J601" s="113" t="s">
        <v>2230</v>
      </c>
      <c r="K601" s="113" t="s">
        <v>2231</v>
      </c>
      <c r="L601" s="113" t="s">
        <v>2257</v>
      </c>
      <c r="M601" s="29" t="s">
        <v>2118</v>
      </c>
      <c r="N601" s="29" t="s">
        <v>2073</v>
      </c>
      <c r="O601" s="109"/>
      <c r="P601" s="29" t="s">
        <v>2119</v>
      </c>
      <c r="Q601" s="66" t="s">
        <v>17</v>
      </c>
      <c r="R601" s="66" t="s">
        <v>1744</v>
      </c>
      <c r="S601" s="29" t="s">
        <v>1760</v>
      </c>
      <c r="T601" s="49" t="s">
        <v>2233</v>
      </c>
      <c r="U601" s="107" t="s">
        <v>2234</v>
      </c>
      <c r="V601" s="31"/>
      <c r="W601" s="66" t="s">
        <v>1747</v>
      </c>
      <c r="X601" s="66"/>
      <c r="Y601" s="16">
        <v>1</v>
      </c>
      <c r="Z601" s="31"/>
      <c r="AA601" s="31"/>
      <c r="AB601" s="18">
        <v>2017</v>
      </c>
      <c r="AC601" s="16" t="s">
        <v>51</v>
      </c>
      <c r="AD601" s="30"/>
      <c r="AE601" s="29"/>
      <c r="AF601" s="29"/>
      <c r="AG601" s="29"/>
    </row>
    <row r="602" spans="1:33" x14ac:dyDescent="0.4">
      <c r="A602" s="108" t="s">
        <v>1735</v>
      </c>
      <c r="B602" s="49">
        <v>15</v>
      </c>
      <c r="C602" s="17">
        <v>600</v>
      </c>
      <c r="D602" s="18" t="s">
        <v>2258</v>
      </c>
      <c r="E602" s="49">
        <v>2455627</v>
      </c>
      <c r="F602" s="29"/>
      <c r="G602" s="109" t="s">
        <v>999</v>
      </c>
      <c r="H602" s="114" t="s">
        <v>2229</v>
      </c>
      <c r="I602" s="114" t="s">
        <v>2229</v>
      </c>
      <c r="J602" s="113" t="s">
        <v>2230</v>
      </c>
      <c r="K602" s="113" t="s">
        <v>2231</v>
      </c>
      <c r="L602" s="113" t="s">
        <v>2259</v>
      </c>
      <c r="M602" s="29" t="s">
        <v>2118</v>
      </c>
      <c r="N602" s="29" t="s">
        <v>2073</v>
      </c>
      <c r="O602" s="109"/>
      <c r="P602" s="29" t="s">
        <v>2119</v>
      </c>
      <c r="Q602" s="24" t="s">
        <v>17</v>
      </c>
      <c r="R602" s="66" t="s">
        <v>1744</v>
      </c>
      <c r="S602" s="29" t="s">
        <v>1760</v>
      </c>
      <c r="T602" s="49" t="s">
        <v>2233</v>
      </c>
      <c r="U602" s="107" t="s">
        <v>2234</v>
      </c>
      <c r="V602" s="31"/>
      <c r="W602" s="66" t="s">
        <v>1747</v>
      </c>
      <c r="X602" s="66"/>
      <c r="Y602" s="16">
        <v>1</v>
      </c>
      <c r="Z602" s="31"/>
      <c r="AA602" s="31"/>
      <c r="AB602" s="18">
        <v>2017</v>
      </c>
      <c r="AC602" s="16" t="s">
        <v>51</v>
      </c>
      <c r="AD602" s="30"/>
      <c r="AE602" s="29"/>
      <c r="AF602" s="29"/>
      <c r="AG602" s="29"/>
    </row>
    <row r="603" spans="1:33" x14ac:dyDescent="0.4">
      <c r="A603" s="108" t="s">
        <v>1735</v>
      </c>
      <c r="B603" s="49">
        <v>16</v>
      </c>
      <c r="C603" s="17">
        <v>601</v>
      </c>
      <c r="D603" s="18" t="s">
        <v>2260</v>
      </c>
      <c r="E603" s="49">
        <v>2455627</v>
      </c>
      <c r="F603" s="29"/>
      <c r="G603" s="109" t="s">
        <v>999</v>
      </c>
      <c r="H603" s="114" t="s">
        <v>2229</v>
      </c>
      <c r="I603" s="114" t="s">
        <v>2229</v>
      </c>
      <c r="J603" s="113" t="s">
        <v>2230</v>
      </c>
      <c r="K603" s="113" t="s">
        <v>2231</v>
      </c>
      <c r="L603" s="113" t="s">
        <v>2261</v>
      </c>
      <c r="M603" s="29" t="s">
        <v>2118</v>
      </c>
      <c r="N603" s="29" t="s">
        <v>2073</v>
      </c>
      <c r="O603" s="109"/>
      <c r="P603" s="29" t="s">
        <v>2119</v>
      </c>
      <c r="Q603" s="24" t="s">
        <v>17</v>
      </c>
      <c r="R603" s="66" t="s">
        <v>1744</v>
      </c>
      <c r="S603" s="29" t="s">
        <v>1760</v>
      </c>
      <c r="T603" s="49" t="s">
        <v>2233</v>
      </c>
      <c r="U603" s="107" t="s">
        <v>2234</v>
      </c>
      <c r="V603" s="31"/>
      <c r="W603" s="66" t="s">
        <v>1747</v>
      </c>
      <c r="X603" s="66"/>
      <c r="Y603" s="16">
        <v>1</v>
      </c>
      <c r="Z603" s="31"/>
      <c r="AA603" s="31"/>
      <c r="AB603" s="18">
        <v>2017</v>
      </c>
      <c r="AC603" s="16" t="s">
        <v>51</v>
      </c>
      <c r="AD603" s="30"/>
      <c r="AE603" s="29"/>
      <c r="AF603" s="29"/>
      <c r="AG603" s="29"/>
    </row>
    <row r="604" spans="1:33" x14ac:dyDescent="0.4">
      <c r="A604" s="108" t="s">
        <v>1735</v>
      </c>
      <c r="B604" s="49">
        <v>1</v>
      </c>
      <c r="C604" s="17">
        <v>602</v>
      </c>
      <c r="D604" s="18" t="s">
        <v>2262</v>
      </c>
      <c r="E604" s="49">
        <v>2647234</v>
      </c>
      <c r="F604" s="29"/>
      <c r="G604" s="109" t="s">
        <v>988</v>
      </c>
      <c r="H604" s="114" t="s">
        <v>2263</v>
      </c>
      <c r="I604" s="114" t="s">
        <v>2263</v>
      </c>
      <c r="J604" s="113" t="s">
        <v>2264</v>
      </c>
      <c r="K604" s="113" t="s">
        <v>2265</v>
      </c>
      <c r="L604" s="113" t="s">
        <v>2266</v>
      </c>
      <c r="M604" s="29" t="s">
        <v>2118</v>
      </c>
      <c r="N604" s="29" t="s">
        <v>2073</v>
      </c>
      <c r="O604" s="109"/>
      <c r="P604" s="29" t="s">
        <v>2119</v>
      </c>
      <c r="Q604" s="24" t="s">
        <v>17</v>
      </c>
      <c r="R604" s="66" t="s">
        <v>1744</v>
      </c>
      <c r="S604" s="29" t="s">
        <v>1760</v>
      </c>
      <c r="T604" s="49" t="s">
        <v>2267</v>
      </c>
      <c r="U604" s="107" t="s">
        <v>2268</v>
      </c>
      <c r="V604" s="31"/>
      <c r="W604" s="66" t="s">
        <v>1747</v>
      </c>
      <c r="X604" s="66"/>
      <c r="Y604" s="16">
        <v>1</v>
      </c>
      <c r="Z604" s="31"/>
      <c r="AA604" s="31"/>
      <c r="AB604" s="18">
        <v>2017</v>
      </c>
      <c r="AC604" s="16" t="s">
        <v>51</v>
      </c>
      <c r="AD604" s="30"/>
      <c r="AE604" s="29"/>
      <c r="AF604" s="29"/>
      <c r="AG604" s="29"/>
    </row>
    <row r="605" spans="1:33" x14ac:dyDescent="0.4">
      <c r="A605" s="108" t="s">
        <v>1735</v>
      </c>
      <c r="B605" s="49">
        <v>2</v>
      </c>
      <c r="C605" s="17">
        <v>603</v>
      </c>
      <c r="D605" s="18" t="s">
        <v>2269</v>
      </c>
      <c r="E605" s="49">
        <v>2647234</v>
      </c>
      <c r="F605" s="29"/>
      <c r="G605" s="109" t="s">
        <v>988</v>
      </c>
      <c r="H605" s="114" t="s">
        <v>2263</v>
      </c>
      <c r="I605" s="114" t="s">
        <v>2263</v>
      </c>
      <c r="J605" s="113" t="s">
        <v>2264</v>
      </c>
      <c r="K605" s="113" t="s">
        <v>2265</v>
      </c>
      <c r="L605" s="113" t="s">
        <v>2270</v>
      </c>
      <c r="M605" s="29" t="s">
        <v>2118</v>
      </c>
      <c r="N605" s="29" t="s">
        <v>2073</v>
      </c>
      <c r="O605" s="109"/>
      <c r="P605" s="29" t="s">
        <v>2119</v>
      </c>
      <c r="Q605" s="24" t="s">
        <v>17</v>
      </c>
      <c r="R605" s="66" t="s">
        <v>1744</v>
      </c>
      <c r="S605" s="29" t="s">
        <v>1760</v>
      </c>
      <c r="T605" s="49" t="s">
        <v>2267</v>
      </c>
      <c r="U605" s="107" t="s">
        <v>2268</v>
      </c>
      <c r="V605" s="31"/>
      <c r="W605" s="66" t="s">
        <v>1747</v>
      </c>
      <c r="X605" s="66"/>
      <c r="Y605" s="16">
        <v>1</v>
      </c>
      <c r="Z605" s="31"/>
      <c r="AA605" s="31"/>
      <c r="AB605" s="18">
        <v>2017</v>
      </c>
      <c r="AC605" s="16" t="s">
        <v>51</v>
      </c>
      <c r="AD605" s="30"/>
      <c r="AE605" s="29"/>
      <c r="AF605" s="29"/>
      <c r="AG605" s="29"/>
    </row>
    <row r="606" spans="1:33" x14ac:dyDescent="0.4">
      <c r="A606" s="108" t="s">
        <v>1735</v>
      </c>
      <c r="B606" s="49">
        <v>3</v>
      </c>
      <c r="C606" s="17">
        <v>604</v>
      </c>
      <c r="D606" s="18" t="s">
        <v>2271</v>
      </c>
      <c r="E606" s="49">
        <v>2647234</v>
      </c>
      <c r="F606" s="29"/>
      <c r="G606" s="109" t="s">
        <v>988</v>
      </c>
      <c r="H606" s="114" t="s">
        <v>2263</v>
      </c>
      <c r="I606" s="114" t="s">
        <v>2263</v>
      </c>
      <c r="J606" s="113" t="s">
        <v>2264</v>
      </c>
      <c r="K606" s="113" t="s">
        <v>2265</v>
      </c>
      <c r="L606" s="113" t="s">
        <v>2272</v>
      </c>
      <c r="M606" s="29" t="s">
        <v>2118</v>
      </c>
      <c r="N606" s="29" t="s">
        <v>2073</v>
      </c>
      <c r="O606" s="109"/>
      <c r="P606" s="29" t="s">
        <v>2119</v>
      </c>
      <c r="Q606" s="24" t="s">
        <v>17</v>
      </c>
      <c r="R606" s="66" t="s">
        <v>1744</v>
      </c>
      <c r="S606" s="29" t="s">
        <v>1760</v>
      </c>
      <c r="T606" s="49" t="s">
        <v>2267</v>
      </c>
      <c r="U606" s="107" t="s">
        <v>2268</v>
      </c>
      <c r="V606" s="31"/>
      <c r="W606" s="66" t="s">
        <v>1747</v>
      </c>
      <c r="X606" s="66"/>
      <c r="Y606" s="16">
        <v>1</v>
      </c>
      <c r="Z606" s="31"/>
      <c r="AA606" s="31"/>
      <c r="AB606" s="18">
        <v>2017</v>
      </c>
      <c r="AC606" s="16" t="s">
        <v>51</v>
      </c>
      <c r="AD606" s="30"/>
      <c r="AE606" s="29"/>
      <c r="AF606" s="29"/>
      <c r="AG606" s="29"/>
    </row>
    <row r="607" spans="1:33" x14ac:dyDescent="0.4">
      <c r="A607" s="108" t="s">
        <v>1735</v>
      </c>
      <c r="B607" s="49">
        <v>4</v>
      </c>
      <c r="C607" s="17">
        <v>605</v>
      </c>
      <c r="D607" s="18" t="s">
        <v>2273</v>
      </c>
      <c r="E607" s="49">
        <v>2647234</v>
      </c>
      <c r="F607" s="29"/>
      <c r="G607" s="109" t="s">
        <v>988</v>
      </c>
      <c r="H607" s="114" t="s">
        <v>2263</v>
      </c>
      <c r="I607" s="114" t="s">
        <v>2263</v>
      </c>
      <c r="J607" s="113" t="s">
        <v>2264</v>
      </c>
      <c r="K607" s="113" t="s">
        <v>2265</v>
      </c>
      <c r="L607" s="113" t="s">
        <v>2274</v>
      </c>
      <c r="M607" s="29" t="s">
        <v>2118</v>
      </c>
      <c r="N607" s="29" t="s">
        <v>2073</v>
      </c>
      <c r="O607" s="109"/>
      <c r="P607" s="29" t="s">
        <v>2119</v>
      </c>
      <c r="Q607" s="24" t="s">
        <v>17</v>
      </c>
      <c r="R607" s="66" t="s">
        <v>1744</v>
      </c>
      <c r="S607" s="29" t="s">
        <v>1760</v>
      </c>
      <c r="T607" s="49" t="s">
        <v>2267</v>
      </c>
      <c r="U607" s="107" t="s">
        <v>2268</v>
      </c>
      <c r="V607" s="31"/>
      <c r="W607" s="66" t="s">
        <v>1747</v>
      </c>
      <c r="X607" s="66"/>
      <c r="Y607" s="16">
        <v>1</v>
      </c>
      <c r="Z607" s="31"/>
      <c r="AA607" s="31"/>
      <c r="AB607" s="18">
        <v>2017</v>
      </c>
      <c r="AC607" s="16" t="s">
        <v>51</v>
      </c>
      <c r="AD607" s="30"/>
      <c r="AE607" s="29"/>
      <c r="AF607" s="29"/>
      <c r="AG607" s="29"/>
    </row>
    <row r="608" spans="1:33" x14ac:dyDescent="0.4">
      <c r="A608" s="108" t="s">
        <v>1735</v>
      </c>
      <c r="B608" s="49">
        <v>5</v>
      </c>
      <c r="C608" s="17">
        <v>606</v>
      </c>
      <c r="D608" s="18" t="s">
        <v>2275</v>
      </c>
      <c r="E608" s="49">
        <v>2647234</v>
      </c>
      <c r="F608" s="29"/>
      <c r="G608" s="109" t="s">
        <v>988</v>
      </c>
      <c r="H608" s="114" t="s">
        <v>2263</v>
      </c>
      <c r="I608" s="114" t="s">
        <v>2263</v>
      </c>
      <c r="J608" s="113" t="s">
        <v>2264</v>
      </c>
      <c r="K608" s="113" t="s">
        <v>2265</v>
      </c>
      <c r="L608" s="113" t="s">
        <v>2276</v>
      </c>
      <c r="M608" s="29" t="s">
        <v>2118</v>
      </c>
      <c r="N608" s="29" t="s">
        <v>2073</v>
      </c>
      <c r="O608" s="109"/>
      <c r="P608" s="29" t="s">
        <v>2119</v>
      </c>
      <c r="Q608" s="24" t="s">
        <v>17</v>
      </c>
      <c r="R608" s="66" t="s">
        <v>1744</v>
      </c>
      <c r="S608" s="29" t="s">
        <v>1760</v>
      </c>
      <c r="T608" s="49" t="s">
        <v>2267</v>
      </c>
      <c r="U608" s="107" t="s">
        <v>2268</v>
      </c>
      <c r="V608" s="31"/>
      <c r="W608" s="66" t="s">
        <v>1747</v>
      </c>
      <c r="X608" s="66"/>
      <c r="Y608" s="16">
        <v>1</v>
      </c>
      <c r="Z608" s="31"/>
      <c r="AA608" s="31"/>
      <c r="AB608" s="18">
        <v>2017</v>
      </c>
      <c r="AC608" s="16" t="s">
        <v>51</v>
      </c>
      <c r="AD608" s="30"/>
      <c r="AE608" s="29"/>
      <c r="AF608" s="29"/>
      <c r="AG608" s="29"/>
    </row>
    <row r="609" spans="1:33" x14ac:dyDescent="0.4">
      <c r="A609" s="108" t="s">
        <v>1735</v>
      </c>
      <c r="B609" s="49">
        <v>6</v>
      </c>
      <c r="C609" s="17">
        <v>607</v>
      </c>
      <c r="D609" s="18" t="s">
        <v>2277</v>
      </c>
      <c r="E609" s="49">
        <v>2647234</v>
      </c>
      <c r="F609" s="29"/>
      <c r="G609" s="109" t="s">
        <v>988</v>
      </c>
      <c r="H609" s="114" t="s">
        <v>2263</v>
      </c>
      <c r="I609" s="114" t="s">
        <v>2263</v>
      </c>
      <c r="J609" s="113" t="s">
        <v>2264</v>
      </c>
      <c r="K609" s="113" t="s">
        <v>2265</v>
      </c>
      <c r="L609" s="113" t="s">
        <v>2278</v>
      </c>
      <c r="M609" s="29" t="s">
        <v>2118</v>
      </c>
      <c r="N609" s="29" t="s">
        <v>2073</v>
      </c>
      <c r="O609" s="109"/>
      <c r="P609" s="29" t="s">
        <v>2119</v>
      </c>
      <c r="Q609" s="24" t="s">
        <v>17</v>
      </c>
      <c r="R609" s="66" t="s">
        <v>1744</v>
      </c>
      <c r="S609" s="29" t="s">
        <v>1760</v>
      </c>
      <c r="T609" s="49" t="s">
        <v>2267</v>
      </c>
      <c r="U609" s="107" t="s">
        <v>2268</v>
      </c>
      <c r="V609" s="31"/>
      <c r="W609" s="66" t="s">
        <v>1747</v>
      </c>
      <c r="X609" s="66"/>
      <c r="Y609" s="16">
        <v>1</v>
      </c>
      <c r="Z609" s="31"/>
      <c r="AA609" s="31"/>
      <c r="AB609" s="18">
        <v>2017</v>
      </c>
      <c r="AC609" s="16" t="s">
        <v>51</v>
      </c>
      <c r="AD609" s="30"/>
      <c r="AE609" s="29"/>
      <c r="AF609" s="29"/>
      <c r="AG609" s="29"/>
    </row>
    <row r="610" spans="1:33" x14ac:dyDescent="0.4">
      <c r="A610" s="108" t="s">
        <v>1735</v>
      </c>
      <c r="B610" s="49">
        <v>7</v>
      </c>
      <c r="C610" s="17">
        <v>608</v>
      </c>
      <c r="D610" s="18" t="s">
        <v>2279</v>
      </c>
      <c r="E610" s="49">
        <v>2647234</v>
      </c>
      <c r="F610" s="29"/>
      <c r="G610" s="109" t="s">
        <v>988</v>
      </c>
      <c r="H610" s="114" t="s">
        <v>2263</v>
      </c>
      <c r="I610" s="114" t="s">
        <v>2263</v>
      </c>
      <c r="J610" s="113" t="s">
        <v>2264</v>
      </c>
      <c r="K610" s="113" t="s">
        <v>2265</v>
      </c>
      <c r="L610" s="113" t="s">
        <v>2280</v>
      </c>
      <c r="M610" s="29" t="s">
        <v>2118</v>
      </c>
      <c r="N610" s="29" t="s">
        <v>2073</v>
      </c>
      <c r="O610" s="109"/>
      <c r="P610" s="29" t="s">
        <v>2119</v>
      </c>
      <c r="Q610" s="24" t="s">
        <v>17</v>
      </c>
      <c r="R610" s="66" t="s">
        <v>1744</v>
      </c>
      <c r="S610" s="29" t="s">
        <v>1760</v>
      </c>
      <c r="T610" s="49" t="s">
        <v>2267</v>
      </c>
      <c r="U610" s="107" t="s">
        <v>2268</v>
      </c>
      <c r="V610" s="31"/>
      <c r="W610" s="66" t="s">
        <v>1747</v>
      </c>
      <c r="X610" s="66"/>
      <c r="Y610" s="16">
        <v>1</v>
      </c>
      <c r="Z610" s="31"/>
      <c r="AA610" s="31"/>
      <c r="AB610" s="18">
        <v>2017</v>
      </c>
      <c r="AC610" s="16" t="s">
        <v>51</v>
      </c>
      <c r="AD610" s="30"/>
      <c r="AE610" s="29"/>
      <c r="AF610" s="29"/>
      <c r="AG610" s="29"/>
    </row>
    <row r="611" spans="1:33" x14ac:dyDescent="0.4">
      <c r="A611" s="108" t="s">
        <v>1735</v>
      </c>
      <c r="B611" s="49">
        <v>8</v>
      </c>
      <c r="C611" s="17">
        <v>609</v>
      </c>
      <c r="D611" s="18" t="s">
        <v>2281</v>
      </c>
      <c r="E611" s="49">
        <v>2647234</v>
      </c>
      <c r="F611" s="29"/>
      <c r="G611" s="109" t="s">
        <v>988</v>
      </c>
      <c r="H611" s="114" t="s">
        <v>2263</v>
      </c>
      <c r="I611" s="114" t="s">
        <v>2263</v>
      </c>
      <c r="J611" s="113" t="s">
        <v>2264</v>
      </c>
      <c r="K611" s="113" t="s">
        <v>2265</v>
      </c>
      <c r="L611" s="113" t="s">
        <v>2282</v>
      </c>
      <c r="M611" s="29" t="s">
        <v>2118</v>
      </c>
      <c r="N611" s="29" t="s">
        <v>2073</v>
      </c>
      <c r="O611" s="109"/>
      <c r="P611" s="29" t="s">
        <v>2119</v>
      </c>
      <c r="Q611" s="24" t="s">
        <v>17</v>
      </c>
      <c r="R611" s="66" t="s">
        <v>1744</v>
      </c>
      <c r="S611" s="29" t="s">
        <v>1760</v>
      </c>
      <c r="T611" s="49" t="s">
        <v>2267</v>
      </c>
      <c r="U611" s="107" t="s">
        <v>2268</v>
      </c>
      <c r="V611" s="31"/>
      <c r="W611" s="66" t="s">
        <v>1747</v>
      </c>
      <c r="X611" s="66"/>
      <c r="Y611" s="16">
        <v>1</v>
      </c>
      <c r="Z611" s="31"/>
      <c r="AA611" s="31"/>
      <c r="AB611" s="18">
        <v>2017</v>
      </c>
      <c r="AC611" s="16" t="s">
        <v>51</v>
      </c>
      <c r="AD611" s="30"/>
      <c r="AE611" s="29"/>
      <c r="AF611" s="29"/>
      <c r="AG611" s="29"/>
    </row>
    <row r="612" spans="1:33" x14ac:dyDescent="0.4">
      <c r="A612" s="108" t="s">
        <v>1735</v>
      </c>
      <c r="B612" s="49">
        <v>9</v>
      </c>
      <c r="C612" s="17">
        <v>610</v>
      </c>
      <c r="D612" s="18" t="s">
        <v>2283</v>
      </c>
      <c r="E612" s="49">
        <v>2647234</v>
      </c>
      <c r="F612" s="29"/>
      <c r="G612" s="109" t="s">
        <v>988</v>
      </c>
      <c r="H612" s="114" t="s">
        <v>2263</v>
      </c>
      <c r="I612" s="114" t="s">
        <v>2263</v>
      </c>
      <c r="J612" s="113" t="s">
        <v>2264</v>
      </c>
      <c r="K612" s="113" t="s">
        <v>2265</v>
      </c>
      <c r="L612" s="113" t="s">
        <v>2284</v>
      </c>
      <c r="M612" s="29" t="s">
        <v>2118</v>
      </c>
      <c r="N612" s="29" t="s">
        <v>2073</v>
      </c>
      <c r="O612" s="109"/>
      <c r="P612" s="29" t="s">
        <v>2119</v>
      </c>
      <c r="Q612" s="24" t="s">
        <v>17</v>
      </c>
      <c r="R612" s="66" t="s">
        <v>1744</v>
      </c>
      <c r="S612" s="29" t="s">
        <v>1760</v>
      </c>
      <c r="T612" s="49" t="s">
        <v>2267</v>
      </c>
      <c r="U612" s="107" t="s">
        <v>2268</v>
      </c>
      <c r="V612" s="31"/>
      <c r="W612" s="66" t="s">
        <v>1747</v>
      </c>
      <c r="X612" s="66"/>
      <c r="Y612" s="16">
        <v>1</v>
      </c>
      <c r="Z612" s="31"/>
      <c r="AA612" s="31"/>
      <c r="AB612" s="18">
        <v>2017</v>
      </c>
      <c r="AC612" s="16" t="s">
        <v>51</v>
      </c>
      <c r="AD612" s="30"/>
      <c r="AE612" s="29"/>
      <c r="AF612" s="29"/>
      <c r="AG612" s="29"/>
    </row>
    <row r="613" spans="1:33" x14ac:dyDescent="0.4">
      <c r="A613" s="108" t="s">
        <v>1735</v>
      </c>
      <c r="B613" s="49">
        <v>10</v>
      </c>
      <c r="C613" s="17">
        <v>611</v>
      </c>
      <c r="D613" s="18" t="s">
        <v>2285</v>
      </c>
      <c r="E613" s="49">
        <v>2647234</v>
      </c>
      <c r="F613" s="29"/>
      <c r="G613" s="109" t="s">
        <v>988</v>
      </c>
      <c r="H613" s="114" t="s">
        <v>2263</v>
      </c>
      <c r="I613" s="114" t="s">
        <v>2263</v>
      </c>
      <c r="J613" s="113" t="s">
        <v>2264</v>
      </c>
      <c r="K613" s="113" t="s">
        <v>2265</v>
      </c>
      <c r="L613" s="113" t="s">
        <v>2286</v>
      </c>
      <c r="M613" s="29" t="s">
        <v>2118</v>
      </c>
      <c r="N613" s="29" t="s">
        <v>2073</v>
      </c>
      <c r="O613" s="109"/>
      <c r="P613" s="29" t="s">
        <v>2119</v>
      </c>
      <c r="Q613" s="24" t="s">
        <v>17</v>
      </c>
      <c r="R613" s="66" t="s">
        <v>1744</v>
      </c>
      <c r="S613" s="29" t="s">
        <v>1760</v>
      </c>
      <c r="T613" s="49" t="s">
        <v>2267</v>
      </c>
      <c r="U613" s="107" t="s">
        <v>2268</v>
      </c>
      <c r="V613" s="31"/>
      <c r="W613" s="66" t="s">
        <v>1747</v>
      </c>
      <c r="X613" s="66"/>
      <c r="Y613" s="16">
        <v>1</v>
      </c>
      <c r="Z613" s="31"/>
      <c r="AA613" s="31"/>
      <c r="AB613" s="18">
        <v>2017</v>
      </c>
      <c r="AC613" s="16" t="s">
        <v>51</v>
      </c>
      <c r="AD613" s="30"/>
      <c r="AE613" s="29"/>
      <c r="AF613" s="29"/>
      <c r="AG613" s="29"/>
    </row>
    <row r="614" spans="1:33" x14ac:dyDescent="0.4">
      <c r="A614" s="108" t="s">
        <v>1735</v>
      </c>
      <c r="B614" s="49">
        <v>11</v>
      </c>
      <c r="C614" s="17">
        <v>612</v>
      </c>
      <c r="D614" s="18" t="s">
        <v>2287</v>
      </c>
      <c r="E614" s="49">
        <v>2647234</v>
      </c>
      <c r="F614" s="29"/>
      <c r="G614" s="109" t="s">
        <v>988</v>
      </c>
      <c r="H614" s="114" t="s">
        <v>2263</v>
      </c>
      <c r="I614" s="114" t="s">
        <v>2263</v>
      </c>
      <c r="J614" s="113" t="s">
        <v>2264</v>
      </c>
      <c r="K614" s="113" t="s">
        <v>2265</v>
      </c>
      <c r="L614" s="113" t="s">
        <v>2288</v>
      </c>
      <c r="M614" s="29" t="s">
        <v>2118</v>
      </c>
      <c r="N614" s="29" t="s">
        <v>2073</v>
      </c>
      <c r="O614" s="109"/>
      <c r="P614" s="29" t="s">
        <v>2119</v>
      </c>
      <c r="Q614" s="24" t="s">
        <v>17</v>
      </c>
      <c r="R614" s="66" t="s">
        <v>1744</v>
      </c>
      <c r="S614" s="29" t="s">
        <v>1760</v>
      </c>
      <c r="T614" s="49" t="s">
        <v>2267</v>
      </c>
      <c r="U614" s="107" t="s">
        <v>2268</v>
      </c>
      <c r="V614" s="31"/>
      <c r="W614" s="66" t="s">
        <v>1747</v>
      </c>
      <c r="X614" s="66"/>
      <c r="Y614" s="16">
        <v>1</v>
      </c>
      <c r="Z614" s="31"/>
      <c r="AA614" s="31"/>
      <c r="AB614" s="18">
        <v>2017</v>
      </c>
      <c r="AC614" s="16" t="s">
        <v>51</v>
      </c>
      <c r="AD614" s="30"/>
      <c r="AE614" s="29"/>
      <c r="AF614" s="29"/>
      <c r="AG614" s="29"/>
    </row>
    <row r="615" spans="1:33" x14ac:dyDescent="0.4">
      <c r="A615" s="108" t="s">
        <v>1735</v>
      </c>
      <c r="B615" s="49">
        <v>12</v>
      </c>
      <c r="C615" s="17">
        <v>613</v>
      </c>
      <c r="D615" s="18" t="s">
        <v>2289</v>
      </c>
      <c r="E615" s="49">
        <v>2647234</v>
      </c>
      <c r="F615" s="29"/>
      <c r="G615" s="109" t="s">
        <v>988</v>
      </c>
      <c r="H615" s="114" t="s">
        <v>2263</v>
      </c>
      <c r="I615" s="114" t="s">
        <v>2263</v>
      </c>
      <c r="J615" s="113" t="s">
        <v>2264</v>
      </c>
      <c r="K615" s="113" t="s">
        <v>2265</v>
      </c>
      <c r="L615" s="113" t="s">
        <v>2290</v>
      </c>
      <c r="M615" s="29" t="s">
        <v>2118</v>
      </c>
      <c r="N615" s="29" t="s">
        <v>2073</v>
      </c>
      <c r="O615" s="109"/>
      <c r="P615" s="29" t="s">
        <v>2119</v>
      </c>
      <c r="Q615" s="24" t="s">
        <v>17</v>
      </c>
      <c r="R615" s="66" t="s">
        <v>1744</v>
      </c>
      <c r="S615" s="29" t="s">
        <v>1760</v>
      </c>
      <c r="T615" s="49" t="s">
        <v>2267</v>
      </c>
      <c r="U615" s="107" t="s">
        <v>2268</v>
      </c>
      <c r="V615" s="31"/>
      <c r="W615" s="66" t="s">
        <v>1747</v>
      </c>
      <c r="X615" s="66"/>
      <c r="Y615" s="16">
        <v>1</v>
      </c>
      <c r="Z615" s="31"/>
      <c r="AA615" s="31"/>
      <c r="AB615" s="18">
        <v>2017</v>
      </c>
      <c r="AC615" s="16" t="s">
        <v>51</v>
      </c>
      <c r="AD615" s="30"/>
      <c r="AE615" s="29"/>
      <c r="AF615" s="29"/>
      <c r="AG615" s="29"/>
    </row>
    <row r="616" spans="1:33" x14ac:dyDescent="0.4">
      <c r="A616" s="108" t="s">
        <v>1735</v>
      </c>
      <c r="B616" s="49">
        <v>13</v>
      </c>
      <c r="C616" s="17">
        <v>614</v>
      </c>
      <c r="D616" s="18" t="s">
        <v>2291</v>
      </c>
      <c r="E616" s="49">
        <v>2647234</v>
      </c>
      <c r="F616" s="29"/>
      <c r="G616" s="109" t="s">
        <v>988</v>
      </c>
      <c r="H616" s="114" t="s">
        <v>2263</v>
      </c>
      <c r="I616" s="114" t="s">
        <v>2263</v>
      </c>
      <c r="J616" s="113" t="s">
        <v>2264</v>
      </c>
      <c r="K616" s="113" t="s">
        <v>2265</v>
      </c>
      <c r="L616" s="113" t="s">
        <v>2292</v>
      </c>
      <c r="M616" s="29" t="s">
        <v>2118</v>
      </c>
      <c r="N616" s="29" t="s">
        <v>2073</v>
      </c>
      <c r="O616" s="109"/>
      <c r="P616" s="29" t="s">
        <v>2119</v>
      </c>
      <c r="Q616" s="24" t="s">
        <v>17</v>
      </c>
      <c r="R616" s="66" t="s">
        <v>1744</v>
      </c>
      <c r="S616" s="29" t="s">
        <v>1760</v>
      </c>
      <c r="T616" s="49" t="s">
        <v>2267</v>
      </c>
      <c r="U616" s="107" t="s">
        <v>2268</v>
      </c>
      <c r="V616" s="31"/>
      <c r="W616" s="66" t="s">
        <v>1747</v>
      </c>
      <c r="X616" s="66"/>
      <c r="Y616" s="16">
        <v>1</v>
      </c>
      <c r="Z616" s="31"/>
      <c r="AA616" s="31"/>
      <c r="AB616" s="18">
        <v>2017</v>
      </c>
      <c r="AC616" s="16" t="s">
        <v>51</v>
      </c>
      <c r="AD616" s="30"/>
      <c r="AE616" s="29"/>
      <c r="AF616" s="29"/>
      <c r="AG616" s="29"/>
    </row>
    <row r="617" spans="1:33" x14ac:dyDescent="0.4">
      <c r="A617" s="108" t="s">
        <v>1735</v>
      </c>
      <c r="B617" s="49">
        <v>14</v>
      </c>
      <c r="C617" s="17">
        <v>615</v>
      </c>
      <c r="D617" s="18" t="s">
        <v>2293</v>
      </c>
      <c r="E617" s="49">
        <v>2647234</v>
      </c>
      <c r="F617" s="29"/>
      <c r="G617" s="109" t="s">
        <v>988</v>
      </c>
      <c r="H617" s="114" t="s">
        <v>2263</v>
      </c>
      <c r="I617" s="114" t="s">
        <v>2263</v>
      </c>
      <c r="J617" s="113" t="s">
        <v>2264</v>
      </c>
      <c r="K617" s="113" t="s">
        <v>2265</v>
      </c>
      <c r="L617" s="113" t="s">
        <v>2294</v>
      </c>
      <c r="M617" s="29" t="s">
        <v>2118</v>
      </c>
      <c r="N617" s="29" t="s">
        <v>2073</v>
      </c>
      <c r="O617" s="109"/>
      <c r="P617" s="29" t="s">
        <v>2119</v>
      </c>
      <c r="Q617" s="24" t="s">
        <v>17</v>
      </c>
      <c r="R617" s="66" t="s">
        <v>1744</v>
      </c>
      <c r="S617" s="29" t="s">
        <v>1760</v>
      </c>
      <c r="T617" s="49" t="s">
        <v>2267</v>
      </c>
      <c r="U617" s="107" t="s">
        <v>2268</v>
      </c>
      <c r="V617" s="31"/>
      <c r="W617" s="66" t="s">
        <v>1747</v>
      </c>
      <c r="X617" s="66"/>
      <c r="Y617" s="16">
        <v>1</v>
      </c>
      <c r="Z617" s="31"/>
      <c r="AA617" s="31"/>
      <c r="AB617" s="18">
        <v>2017</v>
      </c>
      <c r="AC617" s="16" t="s">
        <v>51</v>
      </c>
      <c r="AD617" s="30"/>
      <c r="AE617" s="29"/>
      <c r="AF617" s="29"/>
      <c r="AG617" s="29"/>
    </row>
    <row r="618" spans="1:33" x14ac:dyDescent="0.4">
      <c r="A618" s="108" t="s">
        <v>1735</v>
      </c>
      <c r="B618" s="49">
        <v>15</v>
      </c>
      <c r="C618" s="17">
        <v>616</v>
      </c>
      <c r="D618" s="18" t="s">
        <v>2295</v>
      </c>
      <c r="E618" s="49">
        <v>2647234</v>
      </c>
      <c r="F618" s="29"/>
      <c r="G618" s="109" t="s">
        <v>988</v>
      </c>
      <c r="H618" s="114" t="s">
        <v>2263</v>
      </c>
      <c r="I618" s="114" t="s">
        <v>2263</v>
      </c>
      <c r="J618" s="113" t="s">
        <v>2264</v>
      </c>
      <c r="K618" s="113" t="s">
        <v>2265</v>
      </c>
      <c r="L618" s="113" t="s">
        <v>2296</v>
      </c>
      <c r="M618" s="29" t="s">
        <v>2118</v>
      </c>
      <c r="N618" s="29" t="s">
        <v>2073</v>
      </c>
      <c r="O618" s="109"/>
      <c r="P618" s="29" t="s">
        <v>2119</v>
      </c>
      <c r="Q618" s="24" t="s">
        <v>17</v>
      </c>
      <c r="R618" s="66" t="s">
        <v>1744</v>
      </c>
      <c r="S618" s="29" t="s">
        <v>1760</v>
      </c>
      <c r="T618" s="49" t="s">
        <v>2267</v>
      </c>
      <c r="U618" s="107" t="s">
        <v>2268</v>
      </c>
      <c r="V618" s="31"/>
      <c r="W618" s="66" t="s">
        <v>1747</v>
      </c>
      <c r="X618" s="66"/>
      <c r="Y618" s="16">
        <v>1</v>
      </c>
      <c r="Z618" s="31"/>
      <c r="AA618" s="31"/>
      <c r="AB618" s="18">
        <v>2017</v>
      </c>
      <c r="AC618" s="16" t="s">
        <v>51</v>
      </c>
      <c r="AD618" s="30"/>
      <c r="AE618" s="29"/>
      <c r="AF618" s="29"/>
      <c r="AG618" s="29"/>
    </row>
    <row r="619" spans="1:33" x14ac:dyDescent="0.4">
      <c r="A619" s="108" t="s">
        <v>1735</v>
      </c>
      <c r="B619" s="49">
        <v>16</v>
      </c>
      <c r="C619" s="17">
        <v>617</v>
      </c>
      <c r="D619" s="18" t="s">
        <v>2297</v>
      </c>
      <c r="E619" s="49">
        <v>2647234</v>
      </c>
      <c r="F619" s="29"/>
      <c r="G619" s="109" t="s">
        <v>988</v>
      </c>
      <c r="H619" s="114" t="s">
        <v>2263</v>
      </c>
      <c r="I619" s="114" t="s">
        <v>2263</v>
      </c>
      <c r="J619" s="113" t="s">
        <v>2264</v>
      </c>
      <c r="K619" s="113" t="s">
        <v>2265</v>
      </c>
      <c r="L619" s="113" t="s">
        <v>2298</v>
      </c>
      <c r="M619" s="29" t="s">
        <v>2118</v>
      </c>
      <c r="N619" s="29" t="s">
        <v>2073</v>
      </c>
      <c r="O619" s="109"/>
      <c r="P619" s="29" t="s">
        <v>2119</v>
      </c>
      <c r="Q619" s="24" t="s">
        <v>17</v>
      </c>
      <c r="R619" s="66" t="s">
        <v>1744</v>
      </c>
      <c r="S619" s="29" t="s">
        <v>1760</v>
      </c>
      <c r="T619" s="49" t="s">
        <v>2267</v>
      </c>
      <c r="U619" s="107" t="s">
        <v>2268</v>
      </c>
      <c r="V619" s="31"/>
      <c r="W619" s="66" t="s">
        <v>1747</v>
      </c>
      <c r="X619" s="66"/>
      <c r="Y619" s="16">
        <v>1</v>
      </c>
      <c r="Z619" s="31"/>
      <c r="AA619" s="31"/>
      <c r="AB619" s="18">
        <v>2017</v>
      </c>
      <c r="AC619" s="16" t="s">
        <v>51</v>
      </c>
      <c r="AD619" s="30"/>
      <c r="AE619" s="29"/>
      <c r="AF619" s="29"/>
      <c r="AG619" s="29"/>
    </row>
    <row r="620" spans="1:33" x14ac:dyDescent="0.4">
      <c r="A620" s="108" t="s">
        <v>1735</v>
      </c>
      <c r="B620" s="49">
        <v>1</v>
      </c>
      <c r="C620" s="18">
        <v>618</v>
      </c>
      <c r="D620" s="77"/>
      <c r="E620" s="49">
        <v>2329255</v>
      </c>
      <c r="F620" s="29"/>
      <c r="G620" s="109" t="s">
        <v>716</v>
      </c>
      <c r="H620" s="114" t="s">
        <v>2299</v>
      </c>
      <c r="I620" s="114" t="s">
        <v>2299</v>
      </c>
      <c r="J620" s="113" t="s">
        <v>2300</v>
      </c>
      <c r="K620" s="113" t="s">
        <v>2301</v>
      </c>
      <c r="L620" s="113" t="s">
        <v>2302</v>
      </c>
      <c r="M620" s="29" t="s">
        <v>2118</v>
      </c>
      <c r="N620" s="29" t="s">
        <v>2073</v>
      </c>
      <c r="O620" s="109"/>
      <c r="P620" s="29" t="s">
        <v>2119</v>
      </c>
      <c r="Q620" s="24" t="s">
        <v>116</v>
      </c>
      <c r="R620" s="66" t="s">
        <v>1744</v>
      </c>
      <c r="S620" s="29" t="s">
        <v>1760</v>
      </c>
      <c r="T620" s="49" t="s">
        <v>2303</v>
      </c>
      <c r="U620" s="107" t="s">
        <v>2304</v>
      </c>
      <c r="V620" s="31"/>
      <c r="W620" s="66" t="s">
        <v>1747</v>
      </c>
      <c r="X620" s="66"/>
      <c r="Y620" s="16">
        <v>1</v>
      </c>
      <c r="Z620" s="31"/>
      <c r="AA620" s="31"/>
      <c r="AB620" s="18">
        <v>2017</v>
      </c>
      <c r="AC620" s="16" t="s">
        <v>51</v>
      </c>
      <c r="AD620" s="30"/>
      <c r="AE620" s="29"/>
      <c r="AF620" s="29"/>
      <c r="AG620" s="29"/>
    </row>
    <row r="621" spans="1:33" x14ac:dyDescent="0.4">
      <c r="A621" s="108" t="s">
        <v>1735</v>
      </c>
      <c r="B621" s="49">
        <v>2</v>
      </c>
      <c r="C621" s="18">
        <v>619</v>
      </c>
      <c r="D621" s="17"/>
      <c r="E621" s="49">
        <v>2329255</v>
      </c>
      <c r="F621" s="29"/>
      <c r="G621" s="109" t="s">
        <v>716</v>
      </c>
      <c r="H621" s="114" t="s">
        <v>2299</v>
      </c>
      <c r="I621" s="114" t="s">
        <v>2299</v>
      </c>
      <c r="J621" s="113" t="s">
        <v>2300</v>
      </c>
      <c r="K621" s="113" t="s">
        <v>2301</v>
      </c>
      <c r="L621" s="113" t="s">
        <v>2305</v>
      </c>
      <c r="M621" s="29" t="s">
        <v>2118</v>
      </c>
      <c r="N621" s="29" t="s">
        <v>2073</v>
      </c>
      <c r="O621" s="109"/>
      <c r="P621" s="29" t="s">
        <v>2119</v>
      </c>
      <c r="Q621" s="24" t="s">
        <v>116</v>
      </c>
      <c r="R621" s="66" t="s">
        <v>1744</v>
      </c>
      <c r="S621" s="29" t="s">
        <v>1760</v>
      </c>
      <c r="T621" s="49" t="s">
        <v>2303</v>
      </c>
      <c r="U621" s="107" t="s">
        <v>2304</v>
      </c>
      <c r="V621" s="31"/>
      <c r="W621" s="66" t="s">
        <v>1747</v>
      </c>
      <c r="X621" s="66"/>
      <c r="Y621" s="16">
        <v>1</v>
      </c>
      <c r="Z621" s="31"/>
      <c r="AA621" s="31"/>
      <c r="AB621" s="18">
        <v>2017</v>
      </c>
      <c r="AC621" s="16" t="s">
        <v>51</v>
      </c>
      <c r="AD621" s="30"/>
      <c r="AE621" s="29"/>
      <c r="AF621" s="29"/>
      <c r="AG621" s="29"/>
    </row>
    <row r="622" spans="1:33" x14ac:dyDescent="0.4">
      <c r="A622" s="108" t="s">
        <v>1735</v>
      </c>
      <c r="B622" s="49">
        <v>3</v>
      </c>
      <c r="C622" s="18">
        <v>620</v>
      </c>
      <c r="D622" s="17"/>
      <c r="E622" s="49">
        <v>2329255</v>
      </c>
      <c r="F622" s="29"/>
      <c r="G622" s="109" t="s">
        <v>716</v>
      </c>
      <c r="H622" s="114" t="s">
        <v>2299</v>
      </c>
      <c r="I622" s="114" t="s">
        <v>2299</v>
      </c>
      <c r="J622" s="113" t="s">
        <v>2300</v>
      </c>
      <c r="K622" s="113" t="s">
        <v>2301</v>
      </c>
      <c r="L622" s="113" t="s">
        <v>2306</v>
      </c>
      <c r="M622" s="29" t="s">
        <v>2118</v>
      </c>
      <c r="N622" s="29" t="s">
        <v>2073</v>
      </c>
      <c r="O622" s="109"/>
      <c r="P622" s="29" t="s">
        <v>2119</v>
      </c>
      <c r="Q622" s="24" t="s">
        <v>116</v>
      </c>
      <c r="R622" s="66" t="s">
        <v>1744</v>
      </c>
      <c r="S622" s="29" t="s">
        <v>1760</v>
      </c>
      <c r="T622" s="49" t="s">
        <v>2303</v>
      </c>
      <c r="U622" s="107" t="s">
        <v>2304</v>
      </c>
      <c r="V622" s="31"/>
      <c r="W622" s="66" t="s">
        <v>1747</v>
      </c>
      <c r="X622" s="66"/>
      <c r="Y622" s="16">
        <v>1</v>
      </c>
      <c r="Z622" s="31"/>
      <c r="AA622" s="31"/>
      <c r="AB622" s="18">
        <v>2017</v>
      </c>
      <c r="AC622" s="16" t="s">
        <v>51</v>
      </c>
      <c r="AD622" s="30"/>
      <c r="AE622" s="29"/>
      <c r="AF622" s="29"/>
      <c r="AG622" s="29"/>
    </row>
    <row r="623" spans="1:33" x14ac:dyDescent="0.4">
      <c r="A623" s="108" t="s">
        <v>1735</v>
      </c>
      <c r="B623" s="49">
        <v>4</v>
      </c>
      <c r="C623" s="18">
        <v>621</v>
      </c>
      <c r="D623" s="17"/>
      <c r="E623" s="49">
        <v>2329255</v>
      </c>
      <c r="F623" s="29"/>
      <c r="G623" s="109" t="s">
        <v>716</v>
      </c>
      <c r="H623" s="114" t="s">
        <v>2299</v>
      </c>
      <c r="I623" s="114" t="s">
        <v>2299</v>
      </c>
      <c r="J623" s="113" t="s">
        <v>2300</v>
      </c>
      <c r="K623" s="113" t="s">
        <v>2301</v>
      </c>
      <c r="L623" s="113" t="s">
        <v>2307</v>
      </c>
      <c r="M623" s="29" t="s">
        <v>2118</v>
      </c>
      <c r="N623" s="29" t="s">
        <v>2073</v>
      </c>
      <c r="O623" s="109"/>
      <c r="P623" s="29" t="s">
        <v>2119</v>
      </c>
      <c r="Q623" s="24" t="s">
        <v>116</v>
      </c>
      <c r="R623" s="66" t="s">
        <v>1744</v>
      </c>
      <c r="S623" s="29" t="s">
        <v>1760</v>
      </c>
      <c r="T623" s="49" t="s">
        <v>2303</v>
      </c>
      <c r="U623" s="107" t="s">
        <v>2304</v>
      </c>
      <c r="V623" s="31"/>
      <c r="W623" s="66" t="s">
        <v>1747</v>
      </c>
      <c r="X623" s="66"/>
      <c r="Y623" s="16">
        <v>1</v>
      </c>
      <c r="Z623" s="31"/>
      <c r="AA623" s="31"/>
      <c r="AB623" s="18">
        <v>2017</v>
      </c>
      <c r="AC623" s="16" t="s">
        <v>51</v>
      </c>
      <c r="AD623" s="30"/>
      <c r="AE623" s="29"/>
      <c r="AF623" s="29"/>
      <c r="AG623" s="29"/>
    </row>
    <row r="624" spans="1:33" x14ac:dyDescent="0.4">
      <c r="A624" s="108" t="s">
        <v>1735</v>
      </c>
      <c r="B624" s="49">
        <v>5</v>
      </c>
      <c r="C624" s="18">
        <v>622</v>
      </c>
      <c r="D624" s="17"/>
      <c r="E624" s="49">
        <v>2329255</v>
      </c>
      <c r="F624" s="29"/>
      <c r="G624" s="109" t="s">
        <v>716</v>
      </c>
      <c r="H624" s="114" t="s">
        <v>2299</v>
      </c>
      <c r="I624" s="114" t="s">
        <v>2299</v>
      </c>
      <c r="J624" s="113" t="s">
        <v>2300</v>
      </c>
      <c r="K624" s="113" t="s">
        <v>2301</v>
      </c>
      <c r="L624" s="113" t="s">
        <v>2308</v>
      </c>
      <c r="M624" s="29" t="s">
        <v>2118</v>
      </c>
      <c r="N624" s="29" t="s">
        <v>2073</v>
      </c>
      <c r="O624" s="109"/>
      <c r="P624" s="29" t="s">
        <v>2119</v>
      </c>
      <c r="Q624" s="24" t="s">
        <v>116</v>
      </c>
      <c r="R624" s="66" t="s">
        <v>1744</v>
      </c>
      <c r="S624" s="29" t="s">
        <v>1760</v>
      </c>
      <c r="T624" s="49" t="s">
        <v>2303</v>
      </c>
      <c r="U624" s="107" t="s">
        <v>2304</v>
      </c>
      <c r="V624" s="31"/>
      <c r="W624" s="66" t="s">
        <v>1747</v>
      </c>
      <c r="X624" s="66"/>
      <c r="Y624" s="16">
        <v>1</v>
      </c>
      <c r="Z624" s="31"/>
      <c r="AA624" s="31"/>
      <c r="AB624" s="18">
        <v>2017</v>
      </c>
      <c r="AC624" s="16" t="s">
        <v>51</v>
      </c>
      <c r="AD624" s="30"/>
      <c r="AE624" s="29"/>
      <c r="AF624" s="29"/>
      <c r="AG624" s="29"/>
    </row>
    <row r="625" spans="1:33" x14ac:dyDescent="0.4">
      <c r="A625" s="108" t="s">
        <v>1735</v>
      </c>
      <c r="B625" s="49">
        <v>6</v>
      </c>
      <c r="C625" s="18">
        <v>623</v>
      </c>
      <c r="D625" s="17"/>
      <c r="E625" s="49">
        <v>2329255</v>
      </c>
      <c r="F625" s="29"/>
      <c r="G625" s="109" t="s">
        <v>716</v>
      </c>
      <c r="H625" s="114" t="s">
        <v>2299</v>
      </c>
      <c r="I625" s="114" t="s">
        <v>2299</v>
      </c>
      <c r="J625" s="113" t="s">
        <v>2300</v>
      </c>
      <c r="K625" s="113" t="s">
        <v>2301</v>
      </c>
      <c r="L625" s="113" t="s">
        <v>2309</v>
      </c>
      <c r="M625" s="29" t="s">
        <v>2118</v>
      </c>
      <c r="N625" s="29" t="s">
        <v>2073</v>
      </c>
      <c r="O625" s="109"/>
      <c r="P625" s="29" t="s">
        <v>2119</v>
      </c>
      <c r="Q625" s="24" t="s">
        <v>116</v>
      </c>
      <c r="R625" s="66" t="s">
        <v>1744</v>
      </c>
      <c r="S625" s="29" t="s">
        <v>1760</v>
      </c>
      <c r="T625" s="49" t="s">
        <v>2303</v>
      </c>
      <c r="U625" s="107" t="s">
        <v>2304</v>
      </c>
      <c r="V625" s="31"/>
      <c r="W625" s="66" t="s">
        <v>1747</v>
      </c>
      <c r="X625" s="66"/>
      <c r="Y625" s="16">
        <v>1</v>
      </c>
      <c r="Z625" s="31"/>
      <c r="AA625" s="31"/>
      <c r="AB625" s="18">
        <v>2017</v>
      </c>
      <c r="AC625" s="16" t="s">
        <v>51</v>
      </c>
      <c r="AD625" s="30"/>
      <c r="AE625" s="29"/>
      <c r="AF625" s="29"/>
      <c r="AG625" s="29"/>
    </row>
    <row r="626" spans="1:33" x14ac:dyDescent="0.4">
      <c r="A626" s="108" t="s">
        <v>1735</v>
      </c>
      <c r="B626" s="49">
        <v>7</v>
      </c>
      <c r="C626" s="18">
        <v>624</v>
      </c>
      <c r="D626" s="17"/>
      <c r="E626" s="49">
        <v>2329255</v>
      </c>
      <c r="F626" s="29"/>
      <c r="G626" s="109" t="s">
        <v>716</v>
      </c>
      <c r="H626" s="114" t="s">
        <v>2299</v>
      </c>
      <c r="I626" s="114" t="s">
        <v>2299</v>
      </c>
      <c r="J626" s="113" t="s">
        <v>2300</v>
      </c>
      <c r="K626" s="113" t="s">
        <v>2301</v>
      </c>
      <c r="L626" s="113" t="s">
        <v>2310</v>
      </c>
      <c r="M626" s="29" t="s">
        <v>2118</v>
      </c>
      <c r="N626" s="29" t="s">
        <v>2073</v>
      </c>
      <c r="O626" s="109"/>
      <c r="P626" s="29" t="s">
        <v>2119</v>
      </c>
      <c r="Q626" s="24" t="s">
        <v>116</v>
      </c>
      <c r="R626" s="66" t="s">
        <v>1744</v>
      </c>
      <c r="S626" s="29" t="s">
        <v>1760</v>
      </c>
      <c r="T626" s="49" t="s">
        <v>2303</v>
      </c>
      <c r="U626" s="107" t="s">
        <v>2304</v>
      </c>
      <c r="V626" s="31"/>
      <c r="W626" s="66" t="s">
        <v>1747</v>
      </c>
      <c r="X626" s="66"/>
      <c r="Y626" s="16">
        <v>1</v>
      </c>
      <c r="Z626" s="31"/>
      <c r="AA626" s="31"/>
      <c r="AB626" s="18">
        <v>2017</v>
      </c>
      <c r="AC626" s="16" t="s">
        <v>51</v>
      </c>
      <c r="AD626" s="30"/>
      <c r="AE626" s="29"/>
      <c r="AF626" s="29"/>
      <c r="AG626" s="29"/>
    </row>
    <row r="627" spans="1:33" x14ac:dyDescent="0.4">
      <c r="A627" s="108" t="s">
        <v>1735</v>
      </c>
      <c r="B627" s="49">
        <v>8</v>
      </c>
      <c r="C627" s="18">
        <v>625</v>
      </c>
      <c r="D627" s="17"/>
      <c r="E627" s="49">
        <v>2329255</v>
      </c>
      <c r="F627" s="29"/>
      <c r="G627" s="109" t="s">
        <v>716</v>
      </c>
      <c r="H627" s="114" t="s">
        <v>2299</v>
      </c>
      <c r="I627" s="114" t="s">
        <v>2299</v>
      </c>
      <c r="J627" s="113" t="s">
        <v>2300</v>
      </c>
      <c r="K627" s="113" t="s">
        <v>2301</v>
      </c>
      <c r="L627" s="113" t="s">
        <v>2311</v>
      </c>
      <c r="M627" s="29" t="s">
        <v>2118</v>
      </c>
      <c r="N627" s="29" t="s">
        <v>2073</v>
      </c>
      <c r="O627" s="109"/>
      <c r="P627" s="29" t="s">
        <v>2119</v>
      </c>
      <c r="Q627" s="24" t="s">
        <v>116</v>
      </c>
      <c r="R627" s="66" t="s">
        <v>1744</v>
      </c>
      <c r="S627" s="29" t="s">
        <v>1760</v>
      </c>
      <c r="T627" s="49" t="s">
        <v>2303</v>
      </c>
      <c r="U627" s="107" t="s">
        <v>2304</v>
      </c>
      <c r="V627" s="31"/>
      <c r="W627" s="66" t="s">
        <v>1747</v>
      </c>
      <c r="X627" s="66"/>
      <c r="Y627" s="16">
        <v>1</v>
      </c>
      <c r="Z627" s="31"/>
      <c r="AA627" s="31"/>
      <c r="AB627" s="18">
        <v>2017</v>
      </c>
      <c r="AC627" s="16" t="s">
        <v>51</v>
      </c>
      <c r="AD627" s="30"/>
      <c r="AE627" s="29"/>
      <c r="AF627" s="29"/>
      <c r="AG627" s="29"/>
    </row>
    <row r="628" spans="1:33" x14ac:dyDescent="0.4">
      <c r="A628" s="108" t="s">
        <v>1735</v>
      </c>
      <c r="B628" s="49">
        <v>9</v>
      </c>
      <c r="C628" s="18">
        <v>626</v>
      </c>
      <c r="D628" s="17"/>
      <c r="E628" s="49">
        <v>2329255</v>
      </c>
      <c r="F628" s="29"/>
      <c r="G628" s="109" t="s">
        <v>716</v>
      </c>
      <c r="H628" s="114" t="s">
        <v>2299</v>
      </c>
      <c r="I628" s="114" t="s">
        <v>2299</v>
      </c>
      <c r="J628" s="113" t="s">
        <v>2300</v>
      </c>
      <c r="K628" s="113" t="s">
        <v>2301</v>
      </c>
      <c r="L628" s="113" t="s">
        <v>2312</v>
      </c>
      <c r="M628" s="29" t="s">
        <v>2118</v>
      </c>
      <c r="N628" s="29" t="s">
        <v>2073</v>
      </c>
      <c r="O628" s="109"/>
      <c r="P628" s="29" t="s">
        <v>2119</v>
      </c>
      <c r="Q628" s="24" t="s">
        <v>116</v>
      </c>
      <c r="R628" s="66" t="s">
        <v>1744</v>
      </c>
      <c r="S628" s="29" t="s">
        <v>1760</v>
      </c>
      <c r="T628" s="49" t="s">
        <v>2303</v>
      </c>
      <c r="U628" s="107" t="s">
        <v>2304</v>
      </c>
      <c r="V628" s="31"/>
      <c r="W628" s="66" t="s">
        <v>1747</v>
      </c>
      <c r="X628" s="66"/>
      <c r="Y628" s="16">
        <v>1</v>
      </c>
      <c r="Z628" s="31"/>
      <c r="AA628" s="31"/>
      <c r="AB628" s="18">
        <v>2017</v>
      </c>
      <c r="AC628" s="16" t="s">
        <v>51</v>
      </c>
      <c r="AD628" s="30"/>
      <c r="AE628" s="29"/>
      <c r="AF628" s="29"/>
      <c r="AG628" s="29"/>
    </row>
    <row r="629" spans="1:33" x14ac:dyDescent="0.4">
      <c r="A629" s="108" t="s">
        <v>1735</v>
      </c>
      <c r="B629" s="49">
        <v>10</v>
      </c>
      <c r="C629" s="18">
        <v>627</v>
      </c>
      <c r="D629" s="17"/>
      <c r="E629" s="49">
        <v>2329255</v>
      </c>
      <c r="F629" s="29"/>
      <c r="G629" s="109" t="s">
        <v>716</v>
      </c>
      <c r="H629" s="114" t="s">
        <v>2299</v>
      </c>
      <c r="I629" s="114" t="s">
        <v>2299</v>
      </c>
      <c r="J629" s="113" t="s">
        <v>2300</v>
      </c>
      <c r="K629" s="113" t="s">
        <v>2301</v>
      </c>
      <c r="L629" s="113" t="s">
        <v>2313</v>
      </c>
      <c r="M629" s="29" t="s">
        <v>2118</v>
      </c>
      <c r="N629" s="29" t="s">
        <v>2073</v>
      </c>
      <c r="O629" s="109"/>
      <c r="P629" s="29" t="s">
        <v>2119</v>
      </c>
      <c r="Q629" s="24" t="s">
        <v>116</v>
      </c>
      <c r="R629" s="66" t="s">
        <v>1744</v>
      </c>
      <c r="S629" s="29" t="s">
        <v>1760</v>
      </c>
      <c r="T629" s="49" t="s">
        <v>2303</v>
      </c>
      <c r="U629" s="107" t="s">
        <v>2304</v>
      </c>
      <c r="V629" s="31"/>
      <c r="W629" s="66" t="s">
        <v>1747</v>
      </c>
      <c r="X629" s="66"/>
      <c r="Y629" s="16">
        <v>1</v>
      </c>
      <c r="Z629" s="31"/>
      <c r="AA629" s="31"/>
      <c r="AB629" s="18">
        <v>2017</v>
      </c>
      <c r="AC629" s="16" t="s">
        <v>51</v>
      </c>
      <c r="AD629" s="30"/>
      <c r="AE629" s="29"/>
      <c r="AF629" s="29"/>
      <c r="AG629" s="29"/>
    </row>
    <row r="630" spans="1:33" x14ac:dyDescent="0.4">
      <c r="A630" s="108" t="s">
        <v>1735</v>
      </c>
      <c r="B630" s="49">
        <v>11</v>
      </c>
      <c r="C630" s="18">
        <v>628</v>
      </c>
      <c r="D630" s="17"/>
      <c r="E630" s="49">
        <v>2329255</v>
      </c>
      <c r="F630" s="29"/>
      <c r="G630" s="109" t="s">
        <v>716</v>
      </c>
      <c r="H630" s="114" t="s">
        <v>2299</v>
      </c>
      <c r="I630" s="114" t="s">
        <v>2299</v>
      </c>
      <c r="J630" s="113" t="s">
        <v>2300</v>
      </c>
      <c r="K630" s="113" t="s">
        <v>2301</v>
      </c>
      <c r="L630" s="113" t="s">
        <v>2314</v>
      </c>
      <c r="M630" s="29" t="s">
        <v>2118</v>
      </c>
      <c r="N630" s="29" t="s">
        <v>2073</v>
      </c>
      <c r="O630" s="109"/>
      <c r="P630" s="29" t="s">
        <v>2119</v>
      </c>
      <c r="Q630" s="24" t="s">
        <v>116</v>
      </c>
      <c r="R630" s="66" t="s">
        <v>1744</v>
      </c>
      <c r="S630" s="29" t="s">
        <v>1760</v>
      </c>
      <c r="T630" s="49" t="s">
        <v>2303</v>
      </c>
      <c r="U630" s="107" t="s">
        <v>2304</v>
      </c>
      <c r="V630" s="31"/>
      <c r="W630" s="66" t="s">
        <v>1747</v>
      </c>
      <c r="X630" s="66"/>
      <c r="Y630" s="16">
        <v>1</v>
      </c>
      <c r="Z630" s="31"/>
      <c r="AA630" s="31"/>
      <c r="AB630" s="18">
        <v>2017</v>
      </c>
      <c r="AC630" s="16" t="s">
        <v>51</v>
      </c>
      <c r="AD630" s="30"/>
      <c r="AE630" s="29"/>
      <c r="AF630" s="29"/>
      <c r="AG630" s="29"/>
    </row>
    <row r="631" spans="1:33" x14ac:dyDescent="0.4">
      <c r="A631" s="108" t="s">
        <v>1735</v>
      </c>
      <c r="B631" s="49">
        <v>12</v>
      </c>
      <c r="C631" s="18">
        <v>629</v>
      </c>
      <c r="D631" s="17"/>
      <c r="E631" s="49">
        <v>2329255</v>
      </c>
      <c r="F631" s="29"/>
      <c r="G631" s="109" t="s">
        <v>716</v>
      </c>
      <c r="H631" s="114" t="s">
        <v>2299</v>
      </c>
      <c r="I631" s="114" t="s">
        <v>2299</v>
      </c>
      <c r="J631" s="113" t="s">
        <v>2300</v>
      </c>
      <c r="K631" s="113" t="s">
        <v>2301</v>
      </c>
      <c r="L631" s="113" t="s">
        <v>2315</v>
      </c>
      <c r="M631" s="29" t="s">
        <v>2118</v>
      </c>
      <c r="N631" s="29" t="s">
        <v>2073</v>
      </c>
      <c r="O631" s="109"/>
      <c r="P631" s="29" t="s">
        <v>2119</v>
      </c>
      <c r="Q631" s="24" t="s">
        <v>116</v>
      </c>
      <c r="R631" s="66" t="s">
        <v>1744</v>
      </c>
      <c r="S631" s="29" t="s">
        <v>1760</v>
      </c>
      <c r="T631" s="49" t="s">
        <v>2303</v>
      </c>
      <c r="U631" s="107" t="s">
        <v>2304</v>
      </c>
      <c r="V631" s="31"/>
      <c r="W631" s="66" t="s">
        <v>1747</v>
      </c>
      <c r="X631" s="66"/>
      <c r="Y631" s="16">
        <v>1</v>
      </c>
      <c r="Z631" s="31"/>
      <c r="AA631" s="31"/>
      <c r="AB631" s="18">
        <v>2017</v>
      </c>
      <c r="AC631" s="16" t="s">
        <v>51</v>
      </c>
      <c r="AD631" s="30"/>
      <c r="AE631" s="29"/>
      <c r="AF631" s="29"/>
      <c r="AG631" s="29"/>
    </row>
    <row r="632" spans="1:33" x14ac:dyDescent="0.4">
      <c r="A632" s="108" t="s">
        <v>1735</v>
      </c>
      <c r="B632" s="49">
        <v>13</v>
      </c>
      <c r="C632" s="18">
        <v>630</v>
      </c>
      <c r="D632" s="17"/>
      <c r="E632" s="49">
        <v>2329255</v>
      </c>
      <c r="F632" s="29"/>
      <c r="G632" s="109" t="s">
        <v>716</v>
      </c>
      <c r="H632" s="114" t="s">
        <v>2299</v>
      </c>
      <c r="I632" s="114" t="s">
        <v>2299</v>
      </c>
      <c r="J632" s="113" t="s">
        <v>2300</v>
      </c>
      <c r="K632" s="113" t="s">
        <v>2301</v>
      </c>
      <c r="L632" s="113" t="s">
        <v>2316</v>
      </c>
      <c r="M632" s="29" t="s">
        <v>2118</v>
      </c>
      <c r="N632" s="29" t="s">
        <v>2073</v>
      </c>
      <c r="O632" s="109"/>
      <c r="P632" s="29" t="s">
        <v>2119</v>
      </c>
      <c r="Q632" s="24" t="s">
        <v>116</v>
      </c>
      <c r="R632" s="66" t="s">
        <v>1744</v>
      </c>
      <c r="S632" s="29" t="s">
        <v>1760</v>
      </c>
      <c r="T632" s="49" t="s">
        <v>2303</v>
      </c>
      <c r="U632" s="107" t="s">
        <v>2304</v>
      </c>
      <c r="V632" s="31"/>
      <c r="W632" s="66" t="s">
        <v>1747</v>
      </c>
      <c r="X632" s="66"/>
      <c r="Y632" s="16">
        <v>1</v>
      </c>
      <c r="Z632" s="31"/>
      <c r="AA632" s="31"/>
      <c r="AB632" s="18">
        <v>2017</v>
      </c>
      <c r="AC632" s="16" t="s">
        <v>51</v>
      </c>
      <c r="AD632" s="30"/>
      <c r="AE632" s="29"/>
      <c r="AF632" s="29"/>
      <c r="AG632" s="29"/>
    </row>
    <row r="633" spans="1:33" x14ac:dyDescent="0.4">
      <c r="A633" s="108" t="s">
        <v>1735</v>
      </c>
      <c r="B633" s="49">
        <v>1</v>
      </c>
      <c r="C633" s="18">
        <v>631</v>
      </c>
      <c r="D633" s="17"/>
      <c r="E633" s="49">
        <v>2358537</v>
      </c>
      <c r="F633" s="29"/>
      <c r="G633" s="109" t="s">
        <v>1786</v>
      </c>
      <c r="H633" s="114" t="s">
        <v>2317</v>
      </c>
      <c r="I633" s="114" t="s">
        <v>2317</v>
      </c>
      <c r="J633" s="113" t="s">
        <v>2318</v>
      </c>
      <c r="K633" s="113" t="s">
        <v>2319</v>
      </c>
      <c r="L633" s="113" t="s">
        <v>2320</v>
      </c>
      <c r="M633" s="29" t="s">
        <v>2118</v>
      </c>
      <c r="N633" s="29" t="s">
        <v>2073</v>
      </c>
      <c r="O633" s="109"/>
      <c r="P633" s="29" t="s">
        <v>2119</v>
      </c>
      <c r="Q633" s="24" t="s">
        <v>116</v>
      </c>
      <c r="R633" s="66" t="s">
        <v>1744</v>
      </c>
      <c r="S633" s="29" t="s">
        <v>1760</v>
      </c>
      <c r="T633" s="49" t="s">
        <v>2321</v>
      </c>
      <c r="U633" s="107" t="s">
        <v>2322</v>
      </c>
      <c r="V633" s="31"/>
      <c r="W633" s="66" t="s">
        <v>1747</v>
      </c>
      <c r="X633" s="66"/>
      <c r="Y633" s="16">
        <v>1</v>
      </c>
      <c r="Z633" s="31"/>
      <c r="AA633" s="31"/>
      <c r="AB633" s="18">
        <v>2017</v>
      </c>
      <c r="AC633" s="16" t="s">
        <v>51</v>
      </c>
      <c r="AD633" s="30"/>
      <c r="AE633" s="29"/>
      <c r="AF633" s="29"/>
      <c r="AG633" s="29"/>
    </row>
    <row r="634" spans="1:33" x14ac:dyDescent="0.4">
      <c r="A634" s="108" t="s">
        <v>1735</v>
      </c>
      <c r="B634" s="49">
        <v>2</v>
      </c>
      <c r="C634" s="18">
        <v>632</v>
      </c>
      <c r="D634" s="17"/>
      <c r="E634" s="49">
        <v>2358537</v>
      </c>
      <c r="F634" s="29"/>
      <c r="G634" s="109" t="s">
        <v>1786</v>
      </c>
      <c r="H634" s="114" t="s">
        <v>2317</v>
      </c>
      <c r="I634" s="114" t="s">
        <v>2317</v>
      </c>
      <c r="J634" s="113" t="s">
        <v>2318</v>
      </c>
      <c r="K634" s="113" t="s">
        <v>2319</v>
      </c>
      <c r="L634" s="113" t="s">
        <v>2323</v>
      </c>
      <c r="M634" s="29" t="s">
        <v>2118</v>
      </c>
      <c r="N634" s="29" t="s">
        <v>2073</v>
      </c>
      <c r="O634" s="109"/>
      <c r="P634" s="29" t="s">
        <v>2119</v>
      </c>
      <c r="Q634" s="24" t="s">
        <v>116</v>
      </c>
      <c r="R634" s="66" t="s">
        <v>1744</v>
      </c>
      <c r="S634" s="29" t="s">
        <v>1760</v>
      </c>
      <c r="T634" s="49" t="s">
        <v>2321</v>
      </c>
      <c r="U634" s="107" t="s">
        <v>2322</v>
      </c>
      <c r="V634" s="31"/>
      <c r="W634" s="66" t="s">
        <v>1747</v>
      </c>
      <c r="X634" s="66"/>
      <c r="Y634" s="16">
        <v>1</v>
      </c>
      <c r="Z634" s="31"/>
      <c r="AA634" s="31"/>
      <c r="AB634" s="18">
        <v>2017</v>
      </c>
      <c r="AC634" s="16" t="s">
        <v>51</v>
      </c>
      <c r="AD634" s="30"/>
      <c r="AE634" s="29"/>
      <c r="AF634" s="29"/>
      <c r="AG634" s="29"/>
    </row>
    <row r="635" spans="1:33" x14ac:dyDescent="0.4">
      <c r="A635" s="108" t="s">
        <v>1735</v>
      </c>
      <c r="B635" s="49">
        <v>3</v>
      </c>
      <c r="C635" s="18">
        <v>633</v>
      </c>
      <c r="D635" s="17"/>
      <c r="E635" s="49">
        <v>2358537</v>
      </c>
      <c r="F635" s="29"/>
      <c r="G635" s="109" t="s">
        <v>1786</v>
      </c>
      <c r="H635" s="114" t="s">
        <v>2317</v>
      </c>
      <c r="I635" s="114" t="s">
        <v>2317</v>
      </c>
      <c r="J635" s="113" t="s">
        <v>2318</v>
      </c>
      <c r="K635" s="113" t="s">
        <v>2319</v>
      </c>
      <c r="L635" s="113" t="s">
        <v>2324</v>
      </c>
      <c r="M635" s="29" t="s">
        <v>2118</v>
      </c>
      <c r="N635" s="29" t="s">
        <v>2073</v>
      </c>
      <c r="O635" s="109"/>
      <c r="P635" s="29" t="s">
        <v>2119</v>
      </c>
      <c r="Q635" s="24" t="s">
        <v>116</v>
      </c>
      <c r="R635" s="66" t="s">
        <v>1744</v>
      </c>
      <c r="S635" s="29" t="s">
        <v>1760</v>
      </c>
      <c r="T635" s="49" t="s">
        <v>2321</v>
      </c>
      <c r="U635" s="107" t="s">
        <v>2322</v>
      </c>
      <c r="V635" s="31"/>
      <c r="W635" s="66" t="s">
        <v>1747</v>
      </c>
      <c r="X635" s="66"/>
      <c r="Y635" s="16">
        <v>1</v>
      </c>
      <c r="Z635" s="31"/>
      <c r="AA635" s="31"/>
      <c r="AB635" s="18">
        <v>2017</v>
      </c>
      <c r="AC635" s="16" t="s">
        <v>51</v>
      </c>
      <c r="AD635" s="30"/>
      <c r="AE635" s="29"/>
      <c r="AF635" s="29"/>
      <c r="AG635" s="29"/>
    </row>
    <row r="636" spans="1:33" x14ac:dyDescent="0.4">
      <c r="A636" s="108" t="s">
        <v>1735</v>
      </c>
      <c r="B636" s="49">
        <v>4</v>
      </c>
      <c r="C636" s="18">
        <v>634</v>
      </c>
      <c r="D636" s="17"/>
      <c r="E636" s="49">
        <v>2358537</v>
      </c>
      <c r="F636" s="29"/>
      <c r="G636" s="109" t="s">
        <v>1786</v>
      </c>
      <c r="H636" s="114" t="s">
        <v>2317</v>
      </c>
      <c r="I636" s="114" t="s">
        <v>2317</v>
      </c>
      <c r="J636" s="113" t="s">
        <v>2318</v>
      </c>
      <c r="K636" s="113" t="s">
        <v>2319</v>
      </c>
      <c r="L636" s="113" t="s">
        <v>2325</v>
      </c>
      <c r="M636" s="29" t="s">
        <v>2118</v>
      </c>
      <c r="N636" s="29" t="s">
        <v>2073</v>
      </c>
      <c r="O636" s="109"/>
      <c r="P636" s="29" t="s">
        <v>2119</v>
      </c>
      <c r="Q636" s="24" t="s">
        <v>116</v>
      </c>
      <c r="R636" s="66" t="s">
        <v>1744</v>
      </c>
      <c r="S636" s="29" t="s">
        <v>1760</v>
      </c>
      <c r="T636" s="49" t="s">
        <v>2321</v>
      </c>
      <c r="U636" s="107" t="s">
        <v>2322</v>
      </c>
      <c r="V636" s="31"/>
      <c r="W636" s="66" t="s">
        <v>1747</v>
      </c>
      <c r="X636" s="66"/>
      <c r="Y636" s="16">
        <v>1</v>
      </c>
      <c r="Z636" s="31"/>
      <c r="AA636" s="31"/>
      <c r="AB636" s="18">
        <v>2017</v>
      </c>
      <c r="AC636" s="16" t="s">
        <v>51</v>
      </c>
      <c r="AD636" s="30"/>
      <c r="AE636" s="29"/>
      <c r="AF636" s="29"/>
      <c r="AG636" s="29"/>
    </row>
    <row r="637" spans="1:33" x14ac:dyDescent="0.4">
      <c r="A637" s="108" t="s">
        <v>1735</v>
      </c>
      <c r="B637" s="49">
        <v>5</v>
      </c>
      <c r="C637" s="18">
        <v>635</v>
      </c>
      <c r="D637" s="17"/>
      <c r="E637" s="49">
        <v>2358537</v>
      </c>
      <c r="F637" s="29"/>
      <c r="G637" s="109" t="s">
        <v>1786</v>
      </c>
      <c r="H637" s="114" t="s">
        <v>2317</v>
      </c>
      <c r="I637" s="114" t="s">
        <v>2317</v>
      </c>
      <c r="J637" s="113" t="s">
        <v>2318</v>
      </c>
      <c r="K637" s="113" t="s">
        <v>2319</v>
      </c>
      <c r="L637" s="113" t="s">
        <v>2326</v>
      </c>
      <c r="M637" s="29" t="s">
        <v>2118</v>
      </c>
      <c r="N637" s="29" t="s">
        <v>2073</v>
      </c>
      <c r="O637" s="109"/>
      <c r="P637" s="29" t="s">
        <v>2119</v>
      </c>
      <c r="Q637" s="24" t="s">
        <v>116</v>
      </c>
      <c r="R637" s="66" t="s">
        <v>1744</v>
      </c>
      <c r="S637" s="29" t="s">
        <v>1760</v>
      </c>
      <c r="T637" s="49" t="s">
        <v>2321</v>
      </c>
      <c r="U637" s="107" t="s">
        <v>2322</v>
      </c>
      <c r="V637" s="31"/>
      <c r="W637" s="66" t="s">
        <v>1747</v>
      </c>
      <c r="X637" s="66"/>
      <c r="Y637" s="16">
        <v>1</v>
      </c>
      <c r="Z637" s="31"/>
      <c r="AA637" s="31"/>
      <c r="AB637" s="18">
        <v>2017</v>
      </c>
      <c r="AC637" s="16" t="s">
        <v>51</v>
      </c>
      <c r="AD637" s="30"/>
      <c r="AE637" s="29"/>
      <c r="AF637" s="29"/>
      <c r="AG637" s="29"/>
    </row>
    <row r="638" spans="1:33" x14ac:dyDescent="0.4">
      <c r="A638" s="108" t="s">
        <v>1735</v>
      </c>
      <c r="B638" s="49">
        <v>6</v>
      </c>
      <c r="C638" s="18">
        <v>636</v>
      </c>
      <c r="D638" s="17"/>
      <c r="E638" s="49">
        <v>2358537</v>
      </c>
      <c r="F638" s="29"/>
      <c r="G638" s="109" t="s">
        <v>1786</v>
      </c>
      <c r="H638" s="114" t="s">
        <v>2317</v>
      </c>
      <c r="I638" s="114" t="s">
        <v>2317</v>
      </c>
      <c r="J638" s="113" t="s">
        <v>2318</v>
      </c>
      <c r="K638" s="113" t="s">
        <v>2319</v>
      </c>
      <c r="L638" s="113" t="s">
        <v>2327</v>
      </c>
      <c r="M638" s="29" t="s">
        <v>2118</v>
      </c>
      <c r="N638" s="29" t="s">
        <v>2073</v>
      </c>
      <c r="O638" s="109"/>
      <c r="P638" s="29" t="s">
        <v>2119</v>
      </c>
      <c r="Q638" s="24" t="s">
        <v>116</v>
      </c>
      <c r="R638" s="66" t="s">
        <v>1744</v>
      </c>
      <c r="S638" s="29" t="s">
        <v>1760</v>
      </c>
      <c r="T638" s="49" t="s">
        <v>2321</v>
      </c>
      <c r="U638" s="107" t="s">
        <v>2322</v>
      </c>
      <c r="V638" s="31"/>
      <c r="W638" s="66" t="s">
        <v>1747</v>
      </c>
      <c r="X638" s="66"/>
      <c r="Y638" s="16">
        <v>1</v>
      </c>
      <c r="Z638" s="31"/>
      <c r="AA638" s="31"/>
      <c r="AB638" s="18">
        <v>2017</v>
      </c>
      <c r="AC638" s="16" t="s">
        <v>51</v>
      </c>
      <c r="AD638" s="30"/>
      <c r="AE638" s="29"/>
      <c r="AF638" s="29"/>
      <c r="AG638" s="29"/>
    </row>
    <row r="639" spans="1:33" x14ac:dyDescent="0.4">
      <c r="A639" s="108" t="s">
        <v>1735</v>
      </c>
      <c r="B639" s="49">
        <v>7</v>
      </c>
      <c r="C639" s="18">
        <v>637</v>
      </c>
      <c r="D639" s="17"/>
      <c r="E639" s="49">
        <v>2358537</v>
      </c>
      <c r="F639" s="29"/>
      <c r="G639" s="109" t="s">
        <v>1786</v>
      </c>
      <c r="H639" s="114" t="s">
        <v>2317</v>
      </c>
      <c r="I639" s="114" t="s">
        <v>2317</v>
      </c>
      <c r="J639" s="113" t="s">
        <v>2318</v>
      </c>
      <c r="K639" s="113" t="s">
        <v>2319</v>
      </c>
      <c r="L639" s="113" t="s">
        <v>2328</v>
      </c>
      <c r="M639" s="29" t="s">
        <v>2118</v>
      </c>
      <c r="N639" s="29" t="s">
        <v>2073</v>
      </c>
      <c r="O639" s="109"/>
      <c r="P639" s="29" t="s">
        <v>2119</v>
      </c>
      <c r="Q639" s="24" t="s">
        <v>116</v>
      </c>
      <c r="R639" s="66" t="s">
        <v>1744</v>
      </c>
      <c r="S639" s="29" t="s">
        <v>1760</v>
      </c>
      <c r="T639" s="49" t="s">
        <v>2321</v>
      </c>
      <c r="U639" s="107" t="s">
        <v>2322</v>
      </c>
      <c r="V639" s="31"/>
      <c r="W639" s="66" t="s">
        <v>1747</v>
      </c>
      <c r="X639" s="66"/>
      <c r="Y639" s="16">
        <v>1</v>
      </c>
      <c r="Z639" s="31"/>
      <c r="AA639" s="31"/>
      <c r="AB639" s="18">
        <v>2017</v>
      </c>
      <c r="AC639" s="16" t="s">
        <v>51</v>
      </c>
      <c r="AD639" s="30"/>
      <c r="AE639" s="29"/>
      <c r="AF639" s="29"/>
      <c r="AG639" s="29"/>
    </row>
    <row r="640" spans="1:33" x14ac:dyDescent="0.4">
      <c r="A640" s="108" t="s">
        <v>1735</v>
      </c>
      <c r="B640" s="49">
        <v>8</v>
      </c>
      <c r="C640" s="18">
        <v>638</v>
      </c>
      <c r="D640" s="17"/>
      <c r="E640" s="49">
        <v>792544</v>
      </c>
      <c r="F640" s="29"/>
      <c r="G640" s="109" t="s">
        <v>1786</v>
      </c>
      <c r="H640" s="114" t="s">
        <v>2317</v>
      </c>
      <c r="I640" s="114" t="s">
        <v>2317</v>
      </c>
      <c r="J640" s="113" t="s">
        <v>2318</v>
      </c>
      <c r="K640" s="113" t="s">
        <v>2319</v>
      </c>
      <c r="L640" s="113" t="s">
        <v>2329</v>
      </c>
      <c r="M640" s="29" t="s">
        <v>2118</v>
      </c>
      <c r="N640" s="29" t="s">
        <v>2073</v>
      </c>
      <c r="O640" s="109"/>
      <c r="P640" s="29" t="s">
        <v>2119</v>
      </c>
      <c r="Q640" s="24" t="s">
        <v>116</v>
      </c>
      <c r="R640" s="66" t="s">
        <v>1744</v>
      </c>
      <c r="S640" s="29" t="s">
        <v>1760</v>
      </c>
      <c r="T640" s="49" t="s">
        <v>2321</v>
      </c>
      <c r="U640" s="107" t="s">
        <v>2322</v>
      </c>
      <c r="V640" s="31"/>
      <c r="W640" s="66" t="s">
        <v>1747</v>
      </c>
      <c r="X640" s="66"/>
      <c r="Y640" s="16">
        <v>1</v>
      </c>
      <c r="Z640" s="31"/>
      <c r="AA640" s="31"/>
      <c r="AB640" s="18">
        <v>2017</v>
      </c>
      <c r="AC640" s="16" t="s">
        <v>51</v>
      </c>
      <c r="AD640" s="30"/>
      <c r="AE640" s="29"/>
      <c r="AF640" s="29"/>
      <c r="AG640" s="29"/>
    </row>
    <row r="641" spans="1:33" x14ac:dyDescent="0.4">
      <c r="A641" s="108" t="s">
        <v>1735</v>
      </c>
      <c r="B641" s="49">
        <v>1</v>
      </c>
      <c r="C641" s="18">
        <v>639</v>
      </c>
      <c r="D641" s="17"/>
      <c r="E641" s="49">
        <v>792544</v>
      </c>
      <c r="F641" s="29"/>
      <c r="G641" s="109" t="s">
        <v>1786</v>
      </c>
      <c r="H641" s="114" t="s">
        <v>2330</v>
      </c>
      <c r="I641" s="114" t="s">
        <v>2330</v>
      </c>
      <c r="J641" s="113" t="s">
        <v>2331</v>
      </c>
      <c r="K641" s="113" t="s">
        <v>2332</v>
      </c>
      <c r="L641" s="113" t="s">
        <v>2333</v>
      </c>
      <c r="M641" s="29" t="s">
        <v>2118</v>
      </c>
      <c r="N641" s="29" t="s">
        <v>2073</v>
      </c>
      <c r="O641" s="109"/>
      <c r="P641" s="29" t="s">
        <v>2119</v>
      </c>
      <c r="Q641" s="24" t="s">
        <v>116</v>
      </c>
      <c r="R641" s="66" t="s">
        <v>1744</v>
      </c>
      <c r="S641" s="29" t="s">
        <v>1760</v>
      </c>
      <c r="T641" s="49" t="s">
        <v>2334</v>
      </c>
      <c r="U641" s="107" t="s">
        <v>2335</v>
      </c>
      <c r="V641" s="31"/>
      <c r="W641" s="66" t="s">
        <v>1747</v>
      </c>
      <c r="X641" s="66"/>
      <c r="Y641" s="16">
        <v>1</v>
      </c>
      <c r="Z641" s="31"/>
      <c r="AA641" s="31"/>
      <c r="AB641" s="18">
        <v>2018</v>
      </c>
      <c r="AC641" s="16" t="s">
        <v>51</v>
      </c>
      <c r="AD641" s="30"/>
      <c r="AE641" s="29"/>
      <c r="AF641" s="29"/>
      <c r="AG641" s="29"/>
    </row>
    <row r="642" spans="1:33" x14ac:dyDescent="0.4">
      <c r="A642" s="108" t="s">
        <v>1735</v>
      </c>
      <c r="B642" s="49">
        <v>2</v>
      </c>
      <c r="C642" s="18">
        <v>640</v>
      </c>
      <c r="D642" s="17"/>
      <c r="E642" s="49">
        <v>792544</v>
      </c>
      <c r="F642" s="29"/>
      <c r="G642" s="109" t="s">
        <v>1786</v>
      </c>
      <c r="H642" s="114" t="s">
        <v>2330</v>
      </c>
      <c r="I642" s="114" t="s">
        <v>2330</v>
      </c>
      <c r="J642" s="113" t="s">
        <v>2331</v>
      </c>
      <c r="K642" s="113" t="s">
        <v>2332</v>
      </c>
      <c r="L642" s="113" t="s">
        <v>2336</v>
      </c>
      <c r="M642" s="29" t="s">
        <v>2118</v>
      </c>
      <c r="N642" s="29" t="s">
        <v>2073</v>
      </c>
      <c r="O642" s="109"/>
      <c r="P642" s="29" t="s">
        <v>2119</v>
      </c>
      <c r="Q642" s="24" t="s">
        <v>116</v>
      </c>
      <c r="R642" s="66" t="s">
        <v>1744</v>
      </c>
      <c r="S642" s="29" t="s">
        <v>1760</v>
      </c>
      <c r="T642" s="49" t="s">
        <v>2334</v>
      </c>
      <c r="U642" s="107" t="s">
        <v>2335</v>
      </c>
      <c r="V642" s="31"/>
      <c r="W642" s="66" t="s">
        <v>1747</v>
      </c>
      <c r="X642" s="66"/>
      <c r="Y642" s="16">
        <v>1</v>
      </c>
      <c r="Z642" s="31"/>
      <c r="AA642" s="31"/>
      <c r="AB642" s="18">
        <v>2018</v>
      </c>
      <c r="AC642" s="16" t="s">
        <v>51</v>
      </c>
      <c r="AD642" s="30"/>
      <c r="AE642" s="29"/>
      <c r="AF642" s="29"/>
      <c r="AG642" s="29"/>
    </row>
    <row r="643" spans="1:33" x14ac:dyDescent="0.4">
      <c r="A643" s="108" t="s">
        <v>1735</v>
      </c>
      <c r="B643" s="49">
        <v>3</v>
      </c>
      <c r="C643" s="18">
        <v>641</v>
      </c>
      <c r="D643" s="17"/>
      <c r="E643" s="49">
        <v>792544</v>
      </c>
      <c r="F643" s="29"/>
      <c r="G643" s="109" t="s">
        <v>1786</v>
      </c>
      <c r="H643" s="114" t="s">
        <v>2330</v>
      </c>
      <c r="I643" s="114" t="s">
        <v>2330</v>
      </c>
      <c r="J643" s="113" t="s">
        <v>2331</v>
      </c>
      <c r="K643" s="113" t="s">
        <v>2332</v>
      </c>
      <c r="L643" s="113" t="s">
        <v>2337</v>
      </c>
      <c r="M643" s="29" t="s">
        <v>2118</v>
      </c>
      <c r="N643" s="29" t="s">
        <v>2073</v>
      </c>
      <c r="O643" s="109"/>
      <c r="P643" s="29" t="s">
        <v>2119</v>
      </c>
      <c r="Q643" s="24" t="s">
        <v>116</v>
      </c>
      <c r="R643" s="66" t="s">
        <v>1744</v>
      </c>
      <c r="S643" s="29" t="s">
        <v>1760</v>
      </c>
      <c r="T643" s="49" t="s">
        <v>2334</v>
      </c>
      <c r="U643" s="107" t="s">
        <v>2335</v>
      </c>
      <c r="V643" s="31"/>
      <c r="W643" s="66" t="s">
        <v>1747</v>
      </c>
      <c r="X643" s="66"/>
      <c r="Y643" s="16">
        <v>1</v>
      </c>
      <c r="Z643" s="31"/>
      <c r="AA643" s="31"/>
      <c r="AB643" s="18">
        <v>2018</v>
      </c>
      <c r="AC643" s="16" t="s">
        <v>51</v>
      </c>
      <c r="AD643" s="30"/>
      <c r="AE643" s="29"/>
      <c r="AF643" s="29"/>
      <c r="AG643" s="29"/>
    </row>
    <row r="644" spans="1:33" x14ac:dyDescent="0.4">
      <c r="A644" s="108" t="s">
        <v>1735</v>
      </c>
      <c r="B644" s="49">
        <v>4</v>
      </c>
      <c r="C644" s="18">
        <v>642</v>
      </c>
      <c r="D644" s="17"/>
      <c r="E644" s="49">
        <v>792544</v>
      </c>
      <c r="F644" s="29"/>
      <c r="G644" s="109" t="s">
        <v>1786</v>
      </c>
      <c r="H644" s="114" t="s">
        <v>2330</v>
      </c>
      <c r="I644" s="114" t="s">
        <v>2330</v>
      </c>
      <c r="J644" s="113" t="s">
        <v>2331</v>
      </c>
      <c r="K644" s="113" t="s">
        <v>2332</v>
      </c>
      <c r="L644" s="113" t="s">
        <v>2338</v>
      </c>
      <c r="M644" s="29" t="s">
        <v>2118</v>
      </c>
      <c r="N644" s="29" t="s">
        <v>2073</v>
      </c>
      <c r="O644" s="109"/>
      <c r="P644" s="29" t="s">
        <v>2119</v>
      </c>
      <c r="Q644" s="24" t="s">
        <v>116</v>
      </c>
      <c r="R644" s="66" t="s">
        <v>1744</v>
      </c>
      <c r="S644" s="29" t="s">
        <v>1760</v>
      </c>
      <c r="T644" s="49" t="s">
        <v>2334</v>
      </c>
      <c r="U644" s="107" t="s">
        <v>2335</v>
      </c>
      <c r="V644" s="31"/>
      <c r="W644" s="66" t="s">
        <v>1747</v>
      </c>
      <c r="X644" s="66"/>
      <c r="Y644" s="16">
        <v>1</v>
      </c>
      <c r="Z644" s="31"/>
      <c r="AA644" s="31"/>
      <c r="AB644" s="18">
        <v>2018</v>
      </c>
      <c r="AC644" s="16" t="s">
        <v>51</v>
      </c>
      <c r="AD644" s="30"/>
      <c r="AE644" s="29"/>
      <c r="AF644" s="29"/>
      <c r="AG644" s="29"/>
    </row>
    <row r="645" spans="1:33" x14ac:dyDescent="0.4">
      <c r="A645" s="108" t="s">
        <v>1735</v>
      </c>
      <c r="B645" s="49">
        <v>5</v>
      </c>
      <c r="C645" s="18">
        <v>643</v>
      </c>
      <c r="D645" s="17"/>
      <c r="E645" s="49">
        <v>792544</v>
      </c>
      <c r="F645" s="29"/>
      <c r="G645" s="109" t="s">
        <v>1786</v>
      </c>
      <c r="H645" s="114" t="s">
        <v>2330</v>
      </c>
      <c r="I645" s="114" t="s">
        <v>2330</v>
      </c>
      <c r="J645" s="113" t="s">
        <v>2331</v>
      </c>
      <c r="K645" s="113" t="s">
        <v>2332</v>
      </c>
      <c r="L645" s="113" t="s">
        <v>2339</v>
      </c>
      <c r="M645" s="29" t="s">
        <v>2118</v>
      </c>
      <c r="N645" s="29" t="s">
        <v>2073</v>
      </c>
      <c r="O645" s="109"/>
      <c r="P645" s="29" t="s">
        <v>2119</v>
      </c>
      <c r="Q645" s="24" t="s">
        <v>116</v>
      </c>
      <c r="R645" s="66" t="s">
        <v>1744</v>
      </c>
      <c r="S645" s="29" t="s">
        <v>1760</v>
      </c>
      <c r="T645" s="49" t="s">
        <v>2334</v>
      </c>
      <c r="U645" s="107" t="s">
        <v>2335</v>
      </c>
      <c r="V645" s="31"/>
      <c r="W645" s="66" t="s">
        <v>1747</v>
      </c>
      <c r="X645" s="66"/>
      <c r="Y645" s="16">
        <v>1</v>
      </c>
      <c r="Z645" s="31"/>
      <c r="AA645" s="31"/>
      <c r="AB645" s="18">
        <v>2018</v>
      </c>
      <c r="AC645" s="16" t="s">
        <v>51</v>
      </c>
      <c r="AD645" s="30"/>
      <c r="AE645" s="29"/>
      <c r="AF645" s="29"/>
      <c r="AG645" s="29"/>
    </row>
    <row r="646" spans="1:33" x14ac:dyDescent="0.4">
      <c r="A646" s="108" t="s">
        <v>1735</v>
      </c>
      <c r="B646" s="49">
        <v>6</v>
      </c>
      <c r="C646" s="18">
        <v>644</v>
      </c>
      <c r="D646" s="139"/>
      <c r="E646" s="49">
        <v>792544</v>
      </c>
      <c r="F646" s="29"/>
      <c r="G646" s="109" t="s">
        <v>1786</v>
      </c>
      <c r="H646" s="114" t="s">
        <v>2330</v>
      </c>
      <c r="I646" s="114" t="s">
        <v>2330</v>
      </c>
      <c r="J646" s="113" t="s">
        <v>2331</v>
      </c>
      <c r="K646" s="113" t="s">
        <v>2332</v>
      </c>
      <c r="L646" s="113" t="s">
        <v>2340</v>
      </c>
      <c r="M646" s="29" t="s">
        <v>2118</v>
      </c>
      <c r="N646" s="29" t="s">
        <v>2073</v>
      </c>
      <c r="O646" s="109"/>
      <c r="P646" s="29" t="s">
        <v>2119</v>
      </c>
      <c r="Q646" s="24" t="s">
        <v>116</v>
      </c>
      <c r="R646" s="66" t="s">
        <v>1744</v>
      </c>
      <c r="S646" s="29" t="s">
        <v>1760</v>
      </c>
      <c r="T646" s="49" t="s">
        <v>2334</v>
      </c>
      <c r="U646" s="107" t="s">
        <v>2335</v>
      </c>
      <c r="V646" s="31"/>
      <c r="W646" s="66" t="s">
        <v>1747</v>
      </c>
      <c r="X646" s="66"/>
      <c r="Y646" s="16">
        <v>1</v>
      </c>
      <c r="Z646" s="31"/>
      <c r="AA646" s="31"/>
      <c r="AB646" s="18">
        <v>2018</v>
      </c>
      <c r="AC646" s="16" t="s">
        <v>51</v>
      </c>
      <c r="AD646" s="30"/>
      <c r="AE646" s="29"/>
      <c r="AF646" s="29"/>
      <c r="AG646" s="29"/>
    </row>
    <row r="647" spans="1:33" ht="25.5" customHeight="1" x14ac:dyDescent="0.4">
      <c r="A647" s="108" t="s">
        <v>1735</v>
      </c>
      <c r="B647" s="49">
        <v>1</v>
      </c>
      <c r="C647" s="18">
        <v>645</v>
      </c>
      <c r="D647" s="17"/>
      <c r="E647" s="140">
        <v>830639</v>
      </c>
      <c r="F647" s="141"/>
      <c r="G647" s="142" t="s">
        <v>36</v>
      </c>
      <c r="H647" s="114" t="s">
        <v>2341</v>
      </c>
      <c r="I647" s="114" t="s">
        <v>2341</v>
      </c>
      <c r="J647" s="66" t="s">
        <v>2342</v>
      </c>
      <c r="K647" s="66" t="s">
        <v>2343</v>
      </c>
      <c r="L647" s="29" t="s">
        <v>2344</v>
      </c>
      <c r="M647" s="29" t="s">
        <v>2118</v>
      </c>
      <c r="N647" s="29" t="s">
        <v>2073</v>
      </c>
      <c r="O647" s="109"/>
      <c r="P647" s="29" t="s">
        <v>2119</v>
      </c>
      <c r="Q647" s="66" t="s">
        <v>17</v>
      </c>
      <c r="R647" s="66" t="s">
        <v>1744</v>
      </c>
      <c r="S647" s="29" t="s">
        <v>1760</v>
      </c>
      <c r="T647" s="49" t="s">
        <v>2345</v>
      </c>
      <c r="U647" s="107" t="s">
        <v>2346</v>
      </c>
      <c r="V647" s="31"/>
      <c r="W647" s="66" t="s">
        <v>1747</v>
      </c>
      <c r="X647" s="66"/>
      <c r="Y647" s="16">
        <v>1</v>
      </c>
      <c r="Z647" s="31"/>
      <c r="AA647" s="31"/>
      <c r="AB647" s="18">
        <v>2018</v>
      </c>
      <c r="AC647" s="16" t="s">
        <v>51</v>
      </c>
      <c r="AD647" s="30" t="s">
        <v>2347</v>
      </c>
      <c r="AE647" s="113"/>
      <c r="AF647" s="113"/>
      <c r="AG647" s="113"/>
    </row>
    <row r="648" spans="1:33" ht="39" x14ac:dyDescent="0.4">
      <c r="A648" s="108" t="s">
        <v>1735</v>
      </c>
      <c r="B648" s="49">
        <v>2</v>
      </c>
      <c r="C648" s="18">
        <v>646</v>
      </c>
      <c r="D648" s="17"/>
      <c r="E648" s="140">
        <v>830639</v>
      </c>
      <c r="F648" s="141"/>
      <c r="G648" s="142" t="s">
        <v>36</v>
      </c>
      <c r="H648" s="114" t="s">
        <v>2341</v>
      </c>
      <c r="I648" s="114" t="s">
        <v>2341</v>
      </c>
      <c r="J648" s="66" t="s">
        <v>2342</v>
      </c>
      <c r="K648" s="66" t="s">
        <v>2343</v>
      </c>
      <c r="L648" s="29" t="s">
        <v>2348</v>
      </c>
      <c r="M648" s="29" t="s">
        <v>2118</v>
      </c>
      <c r="N648" s="29" t="s">
        <v>2073</v>
      </c>
      <c r="O648" s="109"/>
      <c r="P648" s="29" t="s">
        <v>2119</v>
      </c>
      <c r="Q648" s="66" t="s">
        <v>17</v>
      </c>
      <c r="R648" s="66" t="s">
        <v>1744</v>
      </c>
      <c r="S648" s="29" t="s">
        <v>1760</v>
      </c>
      <c r="T648" s="49" t="s">
        <v>2345</v>
      </c>
      <c r="U648" s="107" t="s">
        <v>2346</v>
      </c>
      <c r="V648" s="31"/>
      <c r="W648" s="66" t="s">
        <v>1747</v>
      </c>
      <c r="X648" s="66"/>
      <c r="Y648" s="16">
        <v>1</v>
      </c>
      <c r="Z648" s="31"/>
      <c r="AA648" s="31"/>
      <c r="AB648" s="18">
        <v>2018</v>
      </c>
      <c r="AC648" s="16" t="s">
        <v>51</v>
      </c>
      <c r="AD648" s="30" t="s">
        <v>2347</v>
      </c>
      <c r="AE648" s="113"/>
      <c r="AF648" s="113"/>
      <c r="AG648" s="113"/>
    </row>
    <row r="649" spans="1:33" ht="39" x14ac:dyDescent="0.4">
      <c r="A649" s="108" t="s">
        <v>1735</v>
      </c>
      <c r="B649" s="49">
        <v>3</v>
      </c>
      <c r="C649" s="18">
        <v>647</v>
      </c>
      <c r="D649" s="17"/>
      <c r="E649" s="140">
        <v>830639</v>
      </c>
      <c r="F649" s="141"/>
      <c r="G649" s="142" t="s">
        <v>36</v>
      </c>
      <c r="H649" s="114" t="s">
        <v>2341</v>
      </c>
      <c r="I649" s="114" t="s">
        <v>2341</v>
      </c>
      <c r="J649" s="66" t="s">
        <v>2342</v>
      </c>
      <c r="K649" s="66" t="s">
        <v>2343</v>
      </c>
      <c r="L649" s="29" t="s">
        <v>2349</v>
      </c>
      <c r="M649" s="29" t="s">
        <v>2118</v>
      </c>
      <c r="N649" s="29" t="s">
        <v>2073</v>
      </c>
      <c r="O649" s="109"/>
      <c r="P649" s="29" t="s">
        <v>2119</v>
      </c>
      <c r="Q649" s="66" t="s">
        <v>17</v>
      </c>
      <c r="R649" s="66" t="s">
        <v>1744</v>
      </c>
      <c r="S649" s="29" t="s">
        <v>1760</v>
      </c>
      <c r="T649" s="49" t="s">
        <v>2345</v>
      </c>
      <c r="U649" s="107" t="s">
        <v>2346</v>
      </c>
      <c r="V649" s="31"/>
      <c r="W649" s="66" t="s">
        <v>1747</v>
      </c>
      <c r="X649" s="66"/>
      <c r="Y649" s="16">
        <v>1</v>
      </c>
      <c r="Z649" s="31"/>
      <c r="AA649" s="31"/>
      <c r="AB649" s="18">
        <v>2018</v>
      </c>
      <c r="AC649" s="16" t="s">
        <v>51</v>
      </c>
      <c r="AD649" s="30" t="s">
        <v>2347</v>
      </c>
      <c r="AE649" s="113"/>
      <c r="AF649" s="113"/>
      <c r="AG649" s="113"/>
    </row>
    <row r="650" spans="1:33" ht="39" x14ac:dyDescent="0.4">
      <c r="A650" s="108" t="s">
        <v>1735</v>
      </c>
      <c r="B650" s="49">
        <v>4</v>
      </c>
      <c r="C650" s="17">
        <v>648</v>
      </c>
      <c r="D650" s="18" t="s">
        <v>2350</v>
      </c>
      <c r="E650" s="140">
        <v>830639</v>
      </c>
      <c r="F650" s="141"/>
      <c r="G650" s="142" t="s">
        <v>36</v>
      </c>
      <c r="H650" s="114" t="s">
        <v>2341</v>
      </c>
      <c r="I650" s="114" t="s">
        <v>2341</v>
      </c>
      <c r="J650" s="66" t="s">
        <v>2342</v>
      </c>
      <c r="K650" s="66" t="s">
        <v>2343</v>
      </c>
      <c r="L650" s="29" t="s">
        <v>2351</v>
      </c>
      <c r="M650" s="29" t="s">
        <v>2118</v>
      </c>
      <c r="N650" s="29" t="s">
        <v>2073</v>
      </c>
      <c r="O650" s="109"/>
      <c r="P650" s="29" t="s">
        <v>2119</v>
      </c>
      <c r="Q650" s="24" t="s">
        <v>17</v>
      </c>
      <c r="R650" s="66" t="s">
        <v>1744</v>
      </c>
      <c r="S650" s="29" t="s">
        <v>1760</v>
      </c>
      <c r="T650" s="49" t="s">
        <v>2345</v>
      </c>
      <c r="U650" s="107" t="s">
        <v>2346</v>
      </c>
      <c r="V650" s="31"/>
      <c r="W650" s="66" t="s">
        <v>1747</v>
      </c>
      <c r="X650" s="66"/>
      <c r="Y650" s="16">
        <v>1</v>
      </c>
      <c r="Z650" s="31"/>
      <c r="AA650" s="31"/>
      <c r="AB650" s="18">
        <v>2018</v>
      </c>
      <c r="AC650" s="16" t="s">
        <v>51</v>
      </c>
      <c r="AD650" s="30" t="s">
        <v>2347</v>
      </c>
      <c r="AE650" s="113"/>
      <c r="AF650" s="113"/>
      <c r="AG650" s="113"/>
    </row>
    <row r="651" spans="1:33" ht="39" x14ac:dyDescent="0.4">
      <c r="A651" s="108" t="s">
        <v>1735</v>
      </c>
      <c r="B651" s="49">
        <v>5</v>
      </c>
      <c r="C651" s="17">
        <v>649</v>
      </c>
      <c r="D651" s="18" t="s">
        <v>2352</v>
      </c>
      <c r="E651" s="140">
        <v>830639</v>
      </c>
      <c r="F651" s="141"/>
      <c r="G651" s="142" t="s">
        <v>36</v>
      </c>
      <c r="H651" s="114" t="s">
        <v>2341</v>
      </c>
      <c r="I651" s="114" t="s">
        <v>2341</v>
      </c>
      <c r="J651" s="66" t="s">
        <v>2342</v>
      </c>
      <c r="K651" s="66" t="s">
        <v>2343</v>
      </c>
      <c r="L651" s="29" t="s">
        <v>2353</v>
      </c>
      <c r="M651" s="29" t="s">
        <v>2118</v>
      </c>
      <c r="N651" s="29" t="s">
        <v>2073</v>
      </c>
      <c r="O651" s="109"/>
      <c r="P651" s="29" t="s">
        <v>2119</v>
      </c>
      <c r="Q651" s="24" t="s">
        <v>17</v>
      </c>
      <c r="R651" s="66" t="s">
        <v>1744</v>
      </c>
      <c r="S651" s="29" t="s">
        <v>1760</v>
      </c>
      <c r="T651" s="49" t="s">
        <v>2345</v>
      </c>
      <c r="U651" s="107" t="s">
        <v>2346</v>
      </c>
      <c r="V651" s="31"/>
      <c r="W651" s="66" t="s">
        <v>1747</v>
      </c>
      <c r="X651" s="66"/>
      <c r="Y651" s="16">
        <v>1</v>
      </c>
      <c r="Z651" s="31"/>
      <c r="AA651" s="31"/>
      <c r="AB651" s="18">
        <v>2018</v>
      </c>
      <c r="AC651" s="16" t="s">
        <v>51</v>
      </c>
      <c r="AD651" s="30" t="s">
        <v>2347</v>
      </c>
      <c r="AE651" s="113"/>
      <c r="AF651" s="113"/>
      <c r="AG651" s="113"/>
    </row>
    <row r="652" spans="1:33" ht="39" x14ac:dyDescent="0.4">
      <c r="A652" s="108" t="s">
        <v>1735</v>
      </c>
      <c r="B652" s="49">
        <v>6</v>
      </c>
      <c r="C652" s="17">
        <v>650</v>
      </c>
      <c r="D652" s="18" t="s">
        <v>2354</v>
      </c>
      <c r="E652" s="140">
        <v>830639</v>
      </c>
      <c r="F652" s="141"/>
      <c r="G652" s="142" t="s">
        <v>36</v>
      </c>
      <c r="H652" s="114" t="s">
        <v>2341</v>
      </c>
      <c r="I652" s="114" t="s">
        <v>2341</v>
      </c>
      <c r="J652" s="66" t="s">
        <v>2342</v>
      </c>
      <c r="K652" s="66" t="s">
        <v>2343</v>
      </c>
      <c r="L652" s="29" t="s">
        <v>2355</v>
      </c>
      <c r="M652" s="29" t="s">
        <v>2118</v>
      </c>
      <c r="N652" s="29" t="s">
        <v>2073</v>
      </c>
      <c r="O652" s="109"/>
      <c r="P652" s="29" t="s">
        <v>2119</v>
      </c>
      <c r="Q652" s="24" t="s">
        <v>17</v>
      </c>
      <c r="R652" s="66" t="s">
        <v>1744</v>
      </c>
      <c r="S652" s="29" t="s">
        <v>1760</v>
      </c>
      <c r="T652" s="49" t="s">
        <v>2345</v>
      </c>
      <c r="U652" s="107" t="s">
        <v>2346</v>
      </c>
      <c r="V652" s="31"/>
      <c r="W652" s="66" t="s">
        <v>1747</v>
      </c>
      <c r="X652" s="66"/>
      <c r="Y652" s="16">
        <v>1</v>
      </c>
      <c r="Z652" s="31"/>
      <c r="AA652" s="31"/>
      <c r="AB652" s="18">
        <v>2018</v>
      </c>
      <c r="AC652" s="16" t="s">
        <v>51</v>
      </c>
      <c r="AD652" s="30" t="s">
        <v>2347</v>
      </c>
      <c r="AE652" s="113"/>
      <c r="AF652" s="113"/>
      <c r="AG652" s="113"/>
    </row>
    <row r="653" spans="1:33" ht="39" x14ac:dyDescent="0.4">
      <c r="A653" s="108" t="s">
        <v>1735</v>
      </c>
      <c r="B653" s="49">
        <v>7</v>
      </c>
      <c r="C653" s="17">
        <v>651</v>
      </c>
      <c r="D653" s="18" t="s">
        <v>2356</v>
      </c>
      <c r="E653" s="140">
        <v>830639</v>
      </c>
      <c r="F653" s="141"/>
      <c r="G653" s="142" t="s">
        <v>36</v>
      </c>
      <c r="H653" s="114" t="s">
        <v>2341</v>
      </c>
      <c r="I653" s="114" t="s">
        <v>2341</v>
      </c>
      <c r="J653" s="66" t="s">
        <v>2342</v>
      </c>
      <c r="K653" s="66" t="s">
        <v>2343</v>
      </c>
      <c r="L653" s="29" t="s">
        <v>2357</v>
      </c>
      <c r="M653" s="29" t="s">
        <v>2118</v>
      </c>
      <c r="N653" s="29" t="s">
        <v>2073</v>
      </c>
      <c r="O653" s="109"/>
      <c r="P653" s="29" t="s">
        <v>2119</v>
      </c>
      <c r="Q653" s="24" t="s">
        <v>17</v>
      </c>
      <c r="R653" s="66" t="s">
        <v>1744</v>
      </c>
      <c r="S653" s="29" t="s">
        <v>1760</v>
      </c>
      <c r="T653" s="49" t="s">
        <v>2345</v>
      </c>
      <c r="U653" s="107" t="s">
        <v>2346</v>
      </c>
      <c r="V653" s="31"/>
      <c r="W653" s="66" t="s">
        <v>1747</v>
      </c>
      <c r="X653" s="66"/>
      <c r="Y653" s="16">
        <v>1</v>
      </c>
      <c r="Z653" s="31"/>
      <c r="AA653" s="31"/>
      <c r="AB653" s="18">
        <v>2018</v>
      </c>
      <c r="AC653" s="16" t="s">
        <v>51</v>
      </c>
      <c r="AD653" s="30" t="s">
        <v>2347</v>
      </c>
      <c r="AE653" s="113"/>
      <c r="AF653" s="113"/>
      <c r="AG653" s="113"/>
    </row>
    <row r="654" spans="1:33" ht="39" x14ac:dyDescent="0.4">
      <c r="A654" s="108" t="s">
        <v>1735</v>
      </c>
      <c r="B654" s="49">
        <v>8</v>
      </c>
      <c r="C654" s="18">
        <v>652</v>
      </c>
      <c r="D654" s="139"/>
      <c r="E654" s="143">
        <v>830639</v>
      </c>
      <c r="F654" s="141"/>
      <c r="G654" s="142" t="s">
        <v>36</v>
      </c>
      <c r="H654" s="114" t="s">
        <v>2341</v>
      </c>
      <c r="I654" s="114" t="s">
        <v>2341</v>
      </c>
      <c r="J654" s="66" t="s">
        <v>2342</v>
      </c>
      <c r="K654" s="66" t="s">
        <v>2343</v>
      </c>
      <c r="L654" s="29" t="s">
        <v>2358</v>
      </c>
      <c r="M654" s="29" t="s">
        <v>2118</v>
      </c>
      <c r="N654" s="29" t="s">
        <v>2073</v>
      </c>
      <c r="O654" s="109"/>
      <c r="P654" s="29" t="s">
        <v>2119</v>
      </c>
      <c r="Q654" s="24" t="s">
        <v>116</v>
      </c>
      <c r="R654" s="66" t="s">
        <v>1744</v>
      </c>
      <c r="S654" s="29" t="s">
        <v>1760</v>
      </c>
      <c r="T654" s="49" t="s">
        <v>2345</v>
      </c>
      <c r="U654" s="107" t="s">
        <v>2346</v>
      </c>
      <c r="V654" s="31"/>
      <c r="W654" s="66" t="s">
        <v>1747</v>
      </c>
      <c r="X654" s="66"/>
      <c r="Y654" s="16">
        <v>1</v>
      </c>
      <c r="Z654" s="31"/>
      <c r="AA654" s="31"/>
      <c r="AB654" s="18">
        <v>2018</v>
      </c>
      <c r="AC654" s="16" t="s">
        <v>51</v>
      </c>
      <c r="AD654" s="30" t="s">
        <v>2347</v>
      </c>
      <c r="AE654" s="113"/>
      <c r="AF654" s="113"/>
      <c r="AG654" s="113"/>
    </row>
    <row r="655" spans="1:33" ht="39" x14ac:dyDescent="0.4">
      <c r="A655" s="108" t="s">
        <v>1735</v>
      </c>
      <c r="B655" s="49">
        <v>9</v>
      </c>
      <c r="C655" s="17">
        <v>653</v>
      </c>
      <c r="D655" s="18" t="s">
        <v>2359</v>
      </c>
      <c r="E655" s="140">
        <v>830639</v>
      </c>
      <c r="F655" s="141"/>
      <c r="G655" s="142" t="s">
        <v>36</v>
      </c>
      <c r="H655" s="114" t="s">
        <v>2341</v>
      </c>
      <c r="I655" s="114" t="s">
        <v>2341</v>
      </c>
      <c r="J655" s="66" t="s">
        <v>2342</v>
      </c>
      <c r="K655" s="66" t="s">
        <v>2343</v>
      </c>
      <c r="L655" s="29" t="s">
        <v>2360</v>
      </c>
      <c r="M655" s="29" t="s">
        <v>2118</v>
      </c>
      <c r="N655" s="29" t="s">
        <v>2073</v>
      </c>
      <c r="O655" s="109"/>
      <c r="P655" s="29" t="s">
        <v>2119</v>
      </c>
      <c r="Q655" s="24" t="s">
        <v>17</v>
      </c>
      <c r="R655" s="66" t="s">
        <v>1744</v>
      </c>
      <c r="S655" s="29" t="s">
        <v>1760</v>
      </c>
      <c r="T655" s="49" t="s">
        <v>2345</v>
      </c>
      <c r="U655" s="107" t="s">
        <v>2346</v>
      </c>
      <c r="V655" s="31"/>
      <c r="W655" s="66" t="s">
        <v>1747</v>
      </c>
      <c r="X655" s="66"/>
      <c r="Y655" s="16">
        <v>1</v>
      </c>
      <c r="Z655" s="31"/>
      <c r="AA655" s="31"/>
      <c r="AB655" s="18">
        <v>2018</v>
      </c>
      <c r="AC655" s="16" t="s">
        <v>51</v>
      </c>
      <c r="AD655" s="30" t="s">
        <v>2347</v>
      </c>
      <c r="AE655" s="113"/>
      <c r="AF655" s="113"/>
      <c r="AG655" s="113"/>
    </row>
    <row r="656" spans="1:33" ht="39" x14ac:dyDescent="0.4">
      <c r="A656" s="108" t="s">
        <v>1735</v>
      </c>
      <c r="B656" s="49">
        <v>10</v>
      </c>
      <c r="C656" s="18">
        <v>654</v>
      </c>
      <c r="D656" s="139"/>
      <c r="E656" s="143">
        <v>830639</v>
      </c>
      <c r="F656" s="141"/>
      <c r="G656" s="142" t="s">
        <v>36</v>
      </c>
      <c r="H656" s="114" t="s">
        <v>2341</v>
      </c>
      <c r="I656" s="114" t="s">
        <v>2341</v>
      </c>
      <c r="J656" s="66" t="s">
        <v>2342</v>
      </c>
      <c r="K656" s="66" t="s">
        <v>2343</v>
      </c>
      <c r="L656" s="29" t="s">
        <v>2361</v>
      </c>
      <c r="M656" s="29" t="s">
        <v>2118</v>
      </c>
      <c r="N656" s="29" t="s">
        <v>2073</v>
      </c>
      <c r="O656" s="109"/>
      <c r="P656" s="29" t="s">
        <v>2119</v>
      </c>
      <c r="Q656" s="24" t="s">
        <v>116</v>
      </c>
      <c r="R656" s="66" t="s">
        <v>1744</v>
      </c>
      <c r="S656" s="29" t="s">
        <v>1760</v>
      </c>
      <c r="T656" s="49" t="s">
        <v>2345</v>
      </c>
      <c r="U656" s="107" t="s">
        <v>2346</v>
      </c>
      <c r="V656" s="31"/>
      <c r="W656" s="66" t="s">
        <v>1747</v>
      </c>
      <c r="X656" s="66"/>
      <c r="Y656" s="16">
        <v>1</v>
      </c>
      <c r="Z656" s="31"/>
      <c r="AA656" s="31"/>
      <c r="AB656" s="18">
        <v>2018</v>
      </c>
      <c r="AC656" s="16" t="s">
        <v>51</v>
      </c>
      <c r="AD656" s="30" t="s">
        <v>2347</v>
      </c>
      <c r="AE656" s="113"/>
      <c r="AF656" s="113"/>
      <c r="AG656" s="113"/>
    </row>
    <row r="657" spans="1:33" ht="39" x14ac:dyDescent="0.4">
      <c r="A657" s="108" t="s">
        <v>1735</v>
      </c>
      <c r="B657" s="49">
        <v>11</v>
      </c>
      <c r="C657" s="17">
        <v>655</v>
      </c>
      <c r="D657" s="18" t="s">
        <v>2362</v>
      </c>
      <c r="E657" s="143">
        <v>830639</v>
      </c>
      <c r="F657" s="141"/>
      <c r="G657" s="142" t="s">
        <v>36</v>
      </c>
      <c r="H657" s="114" t="s">
        <v>2341</v>
      </c>
      <c r="I657" s="114" t="s">
        <v>2341</v>
      </c>
      <c r="J657" s="66" t="s">
        <v>2342</v>
      </c>
      <c r="K657" s="66" t="s">
        <v>2343</v>
      </c>
      <c r="L657" s="29" t="s">
        <v>2363</v>
      </c>
      <c r="M657" s="29" t="s">
        <v>2118</v>
      </c>
      <c r="N657" s="29" t="s">
        <v>2073</v>
      </c>
      <c r="O657" s="109"/>
      <c r="P657" s="29" t="s">
        <v>2119</v>
      </c>
      <c r="Q657" s="24" t="s">
        <v>17</v>
      </c>
      <c r="R657" s="66" t="s">
        <v>1744</v>
      </c>
      <c r="S657" s="29" t="s">
        <v>1760</v>
      </c>
      <c r="T657" s="49" t="s">
        <v>2345</v>
      </c>
      <c r="U657" s="107" t="s">
        <v>2346</v>
      </c>
      <c r="V657" s="31"/>
      <c r="W657" s="66" t="s">
        <v>1747</v>
      </c>
      <c r="X657" s="66"/>
      <c r="Y657" s="16">
        <v>1</v>
      </c>
      <c r="Z657" s="31"/>
      <c r="AA657" s="31"/>
      <c r="AB657" s="18">
        <v>2018</v>
      </c>
      <c r="AC657" s="16" t="s">
        <v>51</v>
      </c>
      <c r="AD657" s="30" t="s">
        <v>2347</v>
      </c>
      <c r="AE657" s="113"/>
      <c r="AF657" s="113"/>
      <c r="AG657" s="113"/>
    </row>
    <row r="658" spans="1:33" x14ac:dyDescent="0.4">
      <c r="A658" s="108" t="s">
        <v>1735</v>
      </c>
      <c r="B658" s="49">
        <v>1</v>
      </c>
      <c r="C658" s="17">
        <v>656</v>
      </c>
      <c r="D658" s="18" t="s">
        <v>2364</v>
      </c>
      <c r="E658" s="140">
        <v>833064</v>
      </c>
      <c r="F658" s="141"/>
      <c r="G658" s="142" t="s">
        <v>872</v>
      </c>
      <c r="H658" s="114" t="s">
        <v>2365</v>
      </c>
      <c r="I658" s="114" t="s">
        <v>2365</v>
      </c>
      <c r="J658" s="66" t="s">
        <v>2366</v>
      </c>
      <c r="K658" s="66" t="s">
        <v>2367</v>
      </c>
      <c r="L658" s="29" t="s">
        <v>2368</v>
      </c>
      <c r="M658" s="29" t="s">
        <v>2118</v>
      </c>
      <c r="N658" s="29" t="s">
        <v>2073</v>
      </c>
      <c r="O658" s="109"/>
      <c r="P658" s="29" t="s">
        <v>2119</v>
      </c>
      <c r="Q658" s="24" t="s">
        <v>17</v>
      </c>
      <c r="R658" s="66" t="s">
        <v>1744</v>
      </c>
      <c r="S658" s="29" t="s">
        <v>1760</v>
      </c>
      <c r="T658" s="49" t="s">
        <v>2369</v>
      </c>
      <c r="U658" s="107" t="s">
        <v>2370</v>
      </c>
      <c r="V658" s="31"/>
      <c r="W658" s="66" t="s">
        <v>1747</v>
      </c>
      <c r="X658" s="66"/>
      <c r="Y658" s="16">
        <v>1</v>
      </c>
      <c r="Z658" s="31"/>
      <c r="AA658" s="31"/>
      <c r="AB658" s="18">
        <v>2018</v>
      </c>
      <c r="AC658" s="16" t="s">
        <v>51</v>
      </c>
      <c r="AD658" s="30"/>
      <c r="AE658" s="113"/>
      <c r="AF658" s="113"/>
      <c r="AG658" s="113"/>
    </row>
    <row r="659" spans="1:33" x14ac:dyDescent="0.4">
      <c r="A659" s="108" t="s">
        <v>1735</v>
      </c>
      <c r="B659" s="49">
        <v>2</v>
      </c>
      <c r="C659" s="17">
        <v>657</v>
      </c>
      <c r="D659" s="18" t="s">
        <v>2371</v>
      </c>
      <c r="E659" s="140">
        <v>833064</v>
      </c>
      <c r="F659" s="141"/>
      <c r="G659" s="142" t="s">
        <v>872</v>
      </c>
      <c r="H659" s="114" t="s">
        <v>2365</v>
      </c>
      <c r="I659" s="114" t="s">
        <v>2365</v>
      </c>
      <c r="J659" s="66" t="s">
        <v>2366</v>
      </c>
      <c r="K659" s="66" t="s">
        <v>2367</v>
      </c>
      <c r="L659" s="29" t="s">
        <v>2372</v>
      </c>
      <c r="M659" s="29" t="s">
        <v>2118</v>
      </c>
      <c r="N659" s="29" t="s">
        <v>2073</v>
      </c>
      <c r="O659" s="109"/>
      <c r="P659" s="29" t="s">
        <v>2119</v>
      </c>
      <c r="Q659" s="24" t="s">
        <v>17</v>
      </c>
      <c r="R659" s="66" t="s">
        <v>1744</v>
      </c>
      <c r="S659" s="29" t="s">
        <v>1760</v>
      </c>
      <c r="T659" s="49" t="s">
        <v>2369</v>
      </c>
      <c r="U659" s="107" t="s">
        <v>2370</v>
      </c>
      <c r="V659" s="31"/>
      <c r="W659" s="66" t="s">
        <v>1747</v>
      </c>
      <c r="X659" s="66"/>
      <c r="Y659" s="16">
        <v>1</v>
      </c>
      <c r="Z659" s="31"/>
      <c r="AA659" s="31"/>
      <c r="AB659" s="18">
        <v>2018</v>
      </c>
      <c r="AC659" s="16" t="s">
        <v>51</v>
      </c>
      <c r="AD659" s="30"/>
      <c r="AE659" s="113"/>
      <c r="AF659" s="113"/>
      <c r="AG659" s="113"/>
    </row>
    <row r="660" spans="1:33" x14ac:dyDescent="0.4">
      <c r="A660" s="108" t="s">
        <v>1735</v>
      </c>
      <c r="B660" s="49">
        <v>3</v>
      </c>
      <c r="C660" s="18">
        <v>658</v>
      </c>
      <c r="D660" s="139"/>
      <c r="E660" s="143">
        <v>833064</v>
      </c>
      <c r="F660" s="141"/>
      <c r="G660" s="142" t="s">
        <v>872</v>
      </c>
      <c r="H660" s="114" t="s">
        <v>2365</v>
      </c>
      <c r="I660" s="114" t="s">
        <v>2365</v>
      </c>
      <c r="J660" s="66" t="s">
        <v>2366</v>
      </c>
      <c r="K660" s="66" t="s">
        <v>2367</v>
      </c>
      <c r="L660" s="29" t="s">
        <v>2373</v>
      </c>
      <c r="M660" s="29" t="s">
        <v>2118</v>
      </c>
      <c r="N660" s="29" t="s">
        <v>2073</v>
      </c>
      <c r="O660" s="109"/>
      <c r="P660" s="29" t="s">
        <v>2119</v>
      </c>
      <c r="Q660" s="66" t="s">
        <v>17</v>
      </c>
      <c r="R660" s="66" t="s">
        <v>1744</v>
      </c>
      <c r="S660" s="29" t="s">
        <v>1760</v>
      </c>
      <c r="T660" s="49" t="s">
        <v>2369</v>
      </c>
      <c r="U660" s="107" t="s">
        <v>2370</v>
      </c>
      <c r="V660" s="31"/>
      <c r="W660" s="66" t="s">
        <v>1747</v>
      </c>
      <c r="X660" s="66"/>
      <c r="Y660" s="16">
        <v>1</v>
      </c>
      <c r="Z660" s="31"/>
      <c r="AA660" s="31"/>
      <c r="AB660" s="18">
        <v>2018</v>
      </c>
      <c r="AC660" s="16" t="s">
        <v>51</v>
      </c>
      <c r="AD660" s="30"/>
      <c r="AE660" s="113"/>
      <c r="AF660" s="113"/>
      <c r="AG660" s="113"/>
    </row>
    <row r="661" spans="1:33" x14ac:dyDescent="0.4">
      <c r="A661" s="108" t="s">
        <v>1735</v>
      </c>
      <c r="B661" s="49">
        <v>4</v>
      </c>
      <c r="C661" s="17">
        <v>659</v>
      </c>
      <c r="D661" s="18" t="s">
        <v>2374</v>
      </c>
      <c r="E661" s="140">
        <v>833064</v>
      </c>
      <c r="F661" s="141"/>
      <c r="G661" s="142" t="s">
        <v>872</v>
      </c>
      <c r="H661" s="114" t="s">
        <v>2365</v>
      </c>
      <c r="I661" s="114" t="s">
        <v>2365</v>
      </c>
      <c r="J661" s="66" t="s">
        <v>2366</v>
      </c>
      <c r="K661" s="66" t="s">
        <v>2367</v>
      </c>
      <c r="L661" s="29" t="s">
        <v>2375</v>
      </c>
      <c r="M661" s="29" t="s">
        <v>2118</v>
      </c>
      <c r="N661" s="29" t="s">
        <v>2073</v>
      </c>
      <c r="O661" s="109"/>
      <c r="P661" s="29" t="s">
        <v>2119</v>
      </c>
      <c r="Q661" s="24" t="s">
        <v>17</v>
      </c>
      <c r="R661" s="66" t="s">
        <v>1744</v>
      </c>
      <c r="S661" s="29" t="s">
        <v>1760</v>
      </c>
      <c r="T661" s="49" t="s">
        <v>2369</v>
      </c>
      <c r="U661" s="107" t="s">
        <v>2370</v>
      </c>
      <c r="V661" s="31"/>
      <c r="W661" s="66" t="s">
        <v>1747</v>
      </c>
      <c r="X661" s="66"/>
      <c r="Y661" s="16">
        <v>1</v>
      </c>
      <c r="Z661" s="31"/>
      <c r="AA661" s="31"/>
      <c r="AB661" s="18">
        <v>2018</v>
      </c>
      <c r="AC661" s="16" t="s">
        <v>51</v>
      </c>
      <c r="AD661" s="30"/>
      <c r="AE661" s="113"/>
      <c r="AF661" s="113"/>
      <c r="AG661" s="113"/>
    </row>
    <row r="662" spans="1:33" x14ac:dyDescent="0.4">
      <c r="A662" s="108" t="s">
        <v>1735</v>
      </c>
      <c r="B662" s="49">
        <v>5</v>
      </c>
      <c r="C662" s="18">
        <v>660</v>
      </c>
      <c r="D662" s="17"/>
      <c r="E662" s="140">
        <v>833064</v>
      </c>
      <c r="F662" s="141"/>
      <c r="G662" s="142" t="s">
        <v>872</v>
      </c>
      <c r="H662" s="114" t="s">
        <v>2365</v>
      </c>
      <c r="I662" s="114" t="s">
        <v>2365</v>
      </c>
      <c r="J662" s="66" t="s">
        <v>2366</v>
      </c>
      <c r="K662" s="66" t="s">
        <v>2367</v>
      </c>
      <c r="L662" s="29" t="s">
        <v>2376</v>
      </c>
      <c r="M662" s="29" t="s">
        <v>2118</v>
      </c>
      <c r="N662" s="29" t="s">
        <v>2073</v>
      </c>
      <c r="O662" s="109"/>
      <c r="P662" s="29" t="s">
        <v>2119</v>
      </c>
      <c r="Q662" s="24" t="s">
        <v>116</v>
      </c>
      <c r="R662" s="66" t="s">
        <v>1744</v>
      </c>
      <c r="S662" s="29" t="s">
        <v>1760</v>
      </c>
      <c r="T662" s="49" t="s">
        <v>2369</v>
      </c>
      <c r="U662" s="107" t="s">
        <v>2370</v>
      </c>
      <c r="V662" s="31"/>
      <c r="W662" s="66" t="s">
        <v>1747</v>
      </c>
      <c r="X662" s="66"/>
      <c r="Y662" s="16">
        <v>1</v>
      </c>
      <c r="Z662" s="31"/>
      <c r="AA662" s="31"/>
      <c r="AB662" s="18">
        <v>2018</v>
      </c>
      <c r="AC662" s="16" t="s">
        <v>51</v>
      </c>
      <c r="AD662" s="30"/>
      <c r="AE662" s="113"/>
      <c r="AF662" s="113"/>
      <c r="AG662" s="113"/>
    </row>
    <row r="663" spans="1:33" x14ac:dyDescent="0.4">
      <c r="A663" s="108" t="s">
        <v>1735</v>
      </c>
      <c r="B663" s="49">
        <v>6</v>
      </c>
      <c r="C663" s="18">
        <v>661</v>
      </c>
      <c r="D663" s="17"/>
      <c r="E663" s="140">
        <v>833064</v>
      </c>
      <c r="F663" s="141"/>
      <c r="G663" s="142" t="s">
        <v>872</v>
      </c>
      <c r="H663" s="114" t="s">
        <v>2365</v>
      </c>
      <c r="I663" s="114" t="s">
        <v>2365</v>
      </c>
      <c r="J663" s="66" t="s">
        <v>2366</v>
      </c>
      <c r="K663" s="66" t="s">
        <v>2367</v>
      </c>
      <c r="L663" s="29" t="s">
        <v>2377</v>
      </c>
      <c r="M663" s="29" t="s">
        <v>2118</v>
      </c>
      <c r="N663" s="29" t="s">
        <v>2073</v>
      </c>
      <c r="O663" s="109"/>
      <c r="P663" s="29" t="s">
        <v>2119</v>
      </c>
      <c r="Q663" s="24" t="s">
        <v>116</v>
      </c>
      <c r="R663" s="66" t="s">
        <v>1744</v>
      </c>
      <c r="S663" s="29" t="s">
        <v>1760</v>
      </c>
      <c r="T663" s="49" t="s">
        <v>2369</v>
      </c>
      <c r="U663" s="107" t="s">
        <v>2370</v>
      </c>
      <c r="V663" s="31"/>
      <c r="W663" s="66" t="s">
        <v>1747</v>
      </c>
      <c r="X663" s="66"/>
      <c r="Y663" s="16">
        <v>1</v>
      </c>
      <c r="Z663" s="31"/>
      <c r="AA663" s="31"/>
      <c r="AB663" s="18">
        <v>2018</v>
      </c>
      <c r="AC663" s="16" t="s">
        <v>51</v>
      </c>
      <c r="AD663" s="30"/>
      <c r="AE663" s="113"/>
      <c r="AF663" s="113"/>
      <c r="AG663" s="113"/>
    </row>
    <row r="664" spans="1:33" x14ac:dyDescent="0.4">
      <c r="A664" s="108" t="s">
        <v>1735</v>
      </c>
      <c r="B664" s="49">
        <v>7</v>
      </c>
      <c r="C664" s="18">
        <v>662</v>
      </c>
      <c r="D664" s="17"/>
      <c r="E664" s="140">
        <v>833064</v>
      </c>
      <c r="F664" s="141"/>
      <c r="G664" s="142" t="s">
        <v>872</v>
      </c>
      <c r="H664" s="114" t="s">
        <v>2365</v>
      </c>
      <c r="I664" s="114" t="s">
        <v>2365</v>
      </c>
      <c r="J664" s="66" t="s">
        <v>2366</v>
      </c>
      <c r="K664" s="66" t="s">
        <v>2367</v>
      </c>
      <c r="L664" s="29" t="s">
        <v>2378</v>
      </c>
      <c r="M664" s="29" t="s">
        <v>2118</v>
      </c>
      <c r="N664" s="29" t="s">
        <v>2073</v>
      </c>
      <c r="O664" s="109"/>
      <c r="P664" s="29" t="s">
        <v>2119</v>
      </c>
      <c r="Q664" s="24" t="s">
        <v>116</v>
      </c>
      <c r="R664" s="66" t="s">
        <v>1744</v>
      </c>
      <c r="S664" s="29" t="s">
        <v>1760</v>
      </c>
      <c r="T664" s="49" t="s">
        <v>2369</v>
      </c>
      <c r="U664" s="107" t="s">
        <v>2370</v>
      </c>
      <c r="V664" s="31"/>
      <c r="W664" s="66" t="s">
        <v>1747</v>
      </c>
      <c r="X664" s="66"/>
      <c r="Y664" s="16">
        <v>1</v>
      </c>
      <c r="Z664" s="31"/>
      <c r="AA664" s="31"/>
      <c r="AB664" s="18">
        <v>2018</v>
      </c>
      <c r="AC664" s="16" t="s">
        <v>51</v>
      </c>
      <c r="AD664" s="30"/>
      <c r="AE664" s="113"/>
      <c r="AF664" s="113"/>
      <c r="AG664" s="113"/>
    </row>
    <row r="665" spans="1:33" x14ac:dyDescent="0.4">
      <c r="A665" s="108" t="s">
        <v>1735</v>
      </c>
      <c r="B665" s="49">
        <v>8</v>
      </c>
      <c r="C665" s="18">
        <v>663</v>
      </c>
      <c r="D665" s="17"/>
      <c r="E665" s="140">
        <v>833064</v>
      </c>
      <c r="F665" s="141"/>
      <c r="G665" s="142" t="s">
        <v>872</v>
      </c>
      <c r="H665" s="114" t="s">
        <v>2365</v>
      </c>
      <c r="I665" s="114" t="s">
        <v>2365</v>
      </c>
      <c r="J665" s="66" t="s">
        <v>2366</v>
      </c>
      <c r="K665" s="66" t="s">
        <v>2367</v>
      </c>
      <c r="L665" s="29" t="s">
        <v>2379</v>
      </c>
      <c r="M665" s="29" t="s">
        <v>2118</v>
      </c>
      <c r="N665" s="29" t="s">
        <v>2073</v>
      </c>
      <c r="O665" s="109"/>
      <c r="P665" s="29" t="s">
        <v>2119</v>
      </c>
      <c r="Q665" s="24" t="s">
        <v>116</v>
      </c>
      <c r="R665" s="66" t="s">
        <v>1744</v>
      </c>
      <c r="S665" s="29" t="s">
        <v>1760</v>
      </c>
      <c r="T665" s="49" t="s">
        <v>2369</v>
      </c>
      <c r="U665" s="107" t="s">
        <v>2370</v>
      </c>
      <c r="V665" s="31"/>
      <c r="W665" s="66" t="s">
        <v>1747</v>
      </c>
      <c r="X665" s="66"/>
      <c r="Y665" s="16">
        <v>1</v>
      </c>
      <c r="Z665" s="31"/>
      <c r="AA665" s="31"/>
      <c r="AB665" s="18">
        <v>2018</v>
      </c>
      <c r="AC665" s="16" t="s">
        <v>51</v>
      </c>
      <c r="AD665" s="30"/>
      <c r="AE665" s="113"/>
      <c r="AF665" s="113"/>
      <c r="AG665" s="113"/>
    </row>
    <row r="666" spans="1:33" x14ac:dyDescent="0.4">
      <c r="A666" s="108" t="s">
        <v>1735</v>
      </c>
      <c r="B666" s="49">
        <v>9</v>
      </c>
      <c r="C666" s="18">
        <v>664</v>
      </c>
      <c r="D666" s="17"/>
      <c r="E666" s="140">
        <v>833064</v>
      </c>
      <c r="F666" s="141"/>
      <c r="G666" s="142" t="s">
        <v>872</v>
      </c>
      <c r="H666" s="114" t="s">
        <v>2365</v>
      </c>
      <c r="I666" s="114" t="s">
        <v>2365</v>
      </c>
      <c r="J666" s="66" t="s">
        <v>2366</v>
      </c>
      <c r="K666" s="66" t="s">
        <v>2367</v>
      </c>
      <c r="L666" s="29" t="s">
        <v>2380</v>
      </c>
      <c r="M666" s="29" t="s">
        <v>2118</v>
      </c>
      <c r="N666" s="29" t="s">
        <v>2073</v>
      </c>
      <c r="O666" s="109"/>
      <c r="P666" s="29" t="s">
        <v>2119</v>
      </c>
      <c r="Q666" s="24" t="s">
        <v>116</v>
      </c>
      <c r="R666" s="66" t="s">
        <v>1744</v>
      </c>
      <c r="S666" s="29" t="s">
        <v>1760</v>
      </c>
      <c r="T666" s="49" t="s">
        <v>2369</v>
      </c>
      <c r="U666" s="107" t="s">
        <v>2370</v>
      </c>
      <c r="V666" s="31"/>
      <c r="W666" s="66" t="s">
        <v>1747</v>
      </c>
      <c r="X666" s="66"/>
      <c r="Y666" s="16">
        <v>1</v>
      </c>
      <c r="Z666" s="31"/>
      <c r="AA666" s="31"/>
      <c r="AB666" s="18">
        <v>2018</v>
      </c>
      <c r="AC666" s="16" t="s">
        <v>51</v>
      </c>
      <c r="AD666" s="30"/>
      <c r="AE666" s="113"/>
      <c r="AF666" s="113"/>
      <c r="AG666" s="113"/>
    </row>
    <row r="667" spans="1:33" x14ac:dyDescent="0.4">
      <c r="A667" s="108" t="s">
        <v>1735</v>
      </c>
      <c r="B667" s="49">
        <v>1</v>
      </c>
      <c r="C667" s="18">
        <v>665</v>
      </c>
      <c r="D667" s="17"/>
      <c r="E667" s="140">
        <v>792543</v>
      </c>
      <c r="F667" s="141"/>
      <c r="G667" s="142" t="s">
        <v>716</v>
      </c>
      <c r="H667" s="114" t="s">
        <v>2381</v>
      </c>
      <c r="I667" s="114" t="s">
        <v>2381</v>
      </c>
      <c r="J667" s="66" t="s">
        <v>2382</v>
      </c>
      <c r="K667" s="66" t="s">
        <v>2383</v>
      </c>
      <c r="L667" s="29" t="s">
        <v>2384</v>
      </c>
      <c r="M667" s="29" t="s">
        <v>2118</v>
      </c>
      <c r="N667" s="29" t="s">
        <v>2073</v>
      </c>
      <c r="O667" s="109"/>
      <c r="P667" s="29" t="s">
        <v>2119</v>
      </c>
      <c r="Q667" s="24" t="s">
        <v>116</v>
      </c>
      <c r="R667" s="66" t="s">
        <v>1744</v>
      </c>
      <c r="S667" s="29" t="s">
        <v>1760</v>
      </c>
      <c r="T667" s="49" t="s">
        <v>2385</v>
      </c>
      <c r="U667" s="107" t="s">
        <v>2386</v>
      </c>
      <c r="V667" s="31"/>
      <c r="W667" s="66" t="s">
        <v>1747</v>
      </c>
      <c r="X667" s="66"/>
      <c r="Y667" s="16">
        <v>1</v>
      </c>
      <c r="Z667" s="31"/>
      <c r="AA667" s="31"/>
      <c r="AB667" s="18">
        <v>2018</v>
      </c>
      <c r="AC667" s="16" t="s">
        <v>51</v>
      </c>
      <c r="AD667" s="30"/>
      <c r="AE667" s="113"/>
      <c r="AF667" s="113"/>
      <c r="AG667" s="113"/>
    </row>
    <row r="668" spans="1:33" x14ac:dyDescent="0.4">
      <c r="A668" s="108" t="s">
        <v>1735</v>
      </c>
      <c r="B668" s="49">
        <v>2</v>
      </c>
      <c r="C668" s="18">
        <v>666</v>
      </c>
      <c r="D668" s="17"/>
      <c r="E668" s="140">
        <v>792543</v>
      </c>
      <c r="F668" s="141"/>
      <c r="G668" s="142" t="s">
        <v>716</v>
      </c>
      <c r="H668" s="114" t="s">
        <v>2381</v>
      </c>
      <c r="I668" s="114" t="s">
        <v>2381</v>
      </c>
      <c r="J668" s="66" t="s">
        <v>2382</v>
      </c>
      <c r="K668" s="66" t="s">
        <v>2383</v>
      </c>
      <c r="L668" s="29" t="s">
        <v>2387</v>
      </c>
      <c r="M668" s="29" t="s">
        <v>2118</v>
      </c>
      <c r="N668" s="29" t="s">
        <v>2073</v>
      </c>
      <c r="O668" s="109"/>
      <c r="P668" s="29" t="s">
        <v>2119</v>
      </c>
      <c r="Q668" s="24" t="s">
        <v>116</v>
      </c>
      <c r="R668" s="66" t="s">
        <v>1744</v>
      </c>
      <c r="S668" s="29" t="s">
        <v>1760</v>
      </c>
      <c r="T668" s="49" t="s">
        <v>2385</v>
      </c>
      <c r="U668" s="107" t="s">
        <v>2386</v>
      </c>
      <c r="V668" s="31"/>
      <c r="W668" s="66" t="s">
        <v>1747</v>
      </c>
      <c r="X668" s="66"/>
      <c r="Y668" s="16">
        <v>1</v>
      </c>
      <c r="Z668" s="31"/>
      <c r="AA668" s="31"/>
      <c r="AB668" s="18">
        <v>2018</v>
      </c>
      <c r="AC668" s="16" t="s">
        <v>51</v>
      </c>
      <c r="AD668" s="30"/>
      <c r="AE668" s="113"/>
      <c r="AF668" s="113"/>
      <c r="AG668" s="113"/>
    </row>
    <row r="669" spans="1:33" x14ac:dyDescent="0.4">
      <c r="A669" s="108" t="s">
        <v>1735</v>
      </c>
      <c r="B669" s="49">
        <v>3</v>
      </c>
      <c r="C669" s="18">
        <v>667</v>
      </c>
      <c r="D669" s="17"/>
      <c r="E669" s="140">
        <v>792543</v>
      </c>
      <c r="F669" s="141"/>
      <c r="G669" s="142" t="s">
        <v>716</v>
      </c>
      <c r="H669" s="114" t="s">
        <v>2381</v>
      </c>
      <c r="I669" s="114" t="s">
        <v>2381</v>
      </c>
      <c r="J669" s="66" t="s">
        <v>2382</v>
      </c>
      <c r="K669" s="66" t="s">
        <v>2383</v>
      </c>
      <c r="L669" s="29" t="s">
        <v>2388</v>
      </c>
      <c r="M669" s="29" t="s">
        <v>2118</v>
      </c>
      <c r="N669" s="29" t="s">
        <v>2073</v>
      </c>
      <c r="O669" s="109"/>
      <c r="P669" s="29" t="s">
        <v>2119</v>
      </c>
      <c r="Q669" s="24" t="s">
        <v>116</v>
      </c>
      <c r="R669" s="66" t="s">
        <v>1744</v>
      </c>
      <c r="S669" s="29" t="s">
        <v>1760</v>
      </c>
      <c r="T669" s="49" t="s">
        <v>2385</v>
      </c>
      <c r="U669" s="107" t="s">
        <v>2386</v>
      </c>
      <c r="V669" s="31"/>
      <c r="W669" s="66" t="s">
        <v>1747</v>
      </c>
      <c r="X669" s="66"/>
      <c r="Y669" s="16">
        <v>1</v>
      </c>
      <c r="Z669" s="31"/>
      <c r="AA669" s="31"/>
      <c r="AB669" s="18">
        <v>2018</v>
      </c>
      <c r="AC669" s="16" t="s">
        <v>51</v>
      </c>
      <c r="AD669" s="30"/>
      <c r="AE669" s="113"/>
      <c r="AF669" s="113"/>
      <c r="AG669" s="113"/>
    </row>
    <row r="670" spans="1:33" x14ac:dyDescent="0.4">
      <c r="A670" s="108" t="s">
        <v>1735</v>
      </c>
      <c r="B670" s="49">
        <v>4</v>
      </c>
      <c r="C670" s="18">
        <v>668</v>
      </c>
      <c r="D670" s="17"/>
      <c r="E670" s="140">
        <v>792543</v>
      </c>
      <c r="F670" s="141"/>
      <c r="G670" s="142" t="s">
        <v>716</v>
      </c>
      <c r="H670" s="114" t="s">
        <v>2381</v>
      </c>
      <c r="I670" s="114" t="s">
        <v>2381</v>
      </c>
      <c r="J670" s="66" t="s">
        <v>2382</v>
      </c>
      <c r="K670" s="66" t="s">
        <v>2383</v>
      </c>
      <c r="L670" s="29" t="s">
        <v>2389</v>
      </c>
      <c r="M670" s="29" t="s">
        <v>2118</v>
      </c>
      <c r="N670" s="29" t="s">
        <v>2073</v>
      </c>
      <c r="O670" s="109"/>
      <c r="P670" s="29" t="s">
        <v>2119</v>
      </c>
      <c r="Q670" s="24" t="s">
        <v>116</v>
      </c>
      <c r="R670" s="66" t="s">
        <v>1744</v>
      </c>
      <c r="S670" s="29" t="s">
        <v>1760</v>
      </c>
      <c r="T670" s="49" t="s">
        <v>2385</v>
      </c>
      <c r="U670" s="107" t="s">
        <v>2386</v>
      </c>
      <c r="V670" s="31"/>
      <c r="W670" s="66" t="s">
        <v>1747</v>
      </c>
      <c r="X670" s="66"/>
      <c r="Y670" s="16">
        <v>1</v>
      </c>
      <c r="Z670" s="31"/>
      <c r="AA670" s="31"/>
      <c r="AB670" s="18">
        <v>2018</v>
      </c>
      <c r="AC670" s="16" t="s">
        <v>51</v>
      </c>
      <c r="AD670" s="30"/>
      <c r="AE670" s="113"/>
      <c r="AF670" s="113"/>
      <c r="AG670" s="113"/>
    </row>
    <row r="671" spans="1:33" x14ac:dyDescent="0.4">
      <c r="A671" s="108" t="s">
        <v>1735</v>
      </c>
      <c r="B671" s="49">
        <v>5</v>
      </c>
      <c r="C671" s="18">
        <v>669</v>
      </c>
      <c r="D671" s="17"/>
      <c r="E671" s="140">
        <v>792543</v>
      </c>
      <c r="F671" s="141"/>
      <c r="G671" s="142" t="s">
        <v>716</v>
      </c>
      <c r="H671" s="114" t="s">
        <v>2381</v>
      </c>
      <c r="I671" s="114" t="s">
        <v>2381</v>
      </c>
      <c r="J671" s="66" t="s">
        <v>2382</v>
      </c>
      <c r="K671" s="66" t="s">
        <v>2383</v>
      </c>
      <c r="L671" s="29" t="s">
        <v>2390</v>
      </c>
      <c r="M671" s="29" t="s">
        <v>2118</v>
      </c>
      <c r="N671" s="29" t="s">
        <v>2073</v>
      </c>
      <c r="O671" s="109"/>
      <c r="P671" s="29" t="s">
        <v>2119</v>
      </c>
      <c r="Q671" s="24" t="s">
        <v>116</v>
      </c>
      <c r="R671" s="66" t="s">
        <v>1744</v>
      </c>
      <c r="S671" s="29" t="s">
        <v>1760</v>
      </c>
      <c r="T671" s="49" t="s">
        <v>2385</v>
      </c>
      <c r="U671" s="107" t="s">
        <v>2386</v>
      </c>
      <c r="V671" s="31"/>
      <c r="W671" s="66" t="s">
        <v>1747</v>
      </c>
      <c r="X671" s="66"/>
      <c r="Y671" s="16">
        <v>1</v>
      </c>
      <c r="Z671" s="31"/>
      <c r="AA671" s="31"/>
      <c r="AB671" s="18">
        <v>2018</v>
      </c>
      <c r="AC671" s="16" t="s">
        <v>51</v>
      </c>
      <c r="AD671" s="30"/>
      <c r="AE671" s="113"/>
      <c r="AF671" s="113"/>
      <c r="AG671" s="113"/>
    </row>
    <row r="672" spans="1:33" x14ac:dyDescent="0.4">
      <c r="A672" s="108" t="s">
        <v>1735</v>
      </c>
      <c r="B672" s="49">
        <v>6</v>
      </c>
      <c r="C672" s="18">
        <v>670</v>
      </c>
      <c r="D672" s="17"/>
      <c r="E672" s="140">
        <v>792543</v>
      </c>
      <c r="F672" s="141"/>
      <c r="G672" s="142" t="s">
        <v>716</v>
      </c>
      <c r="H672" s="114" t="s">
        <v>2381</v>
      </c>
      <c r="I672" s="114" t="s">
        <v>2381</v>
      </c>
      <c r="J672" s="66" t="s">
        <v>2382</v>
      </c>
      <c r="K672" s="66" t="s">
        <v>2383</v>
      </c>
      <c r="L672" s="29" t="s">
        <v>2391</v>
      </c>
      <c r="M672" s="29" t="s">
        <v>2118</v>
      </c>
      <c r="N672" s="29" t="s">
        <v>2073</v>
      </c>
      <c r="O672" s="109"/>
      <c r="P672" s="29" t="s">
        <v>2119</v>
      </c>
      <c r="Q672" s="24" t="s">
        <v>116</v>
      </c>
      <c r="R672" s="66" t="s">
        <v>1744</v>
      </c>
      <c r="S672" s="29" t="s">
        <v>1760</v>
      </c>
      <c r="T672" s="49" t="s">
        <v>2385</v>
      </c>
      <c r="U672" s="107" t="s">
        <v>2386</v>
      </c>
      <c r="V672" s="31"/>
      <c r="W672" s="66" t="s">
        <v>1747</v>
      </c>
      <c r="X672" s="66"/>
      <c r="Y672" s="16">
        <v>1</v>
      </c>
      <c r="Z672" s="31"/>
      <c r="AA672" s="31"/>
      <c r="AB672" s="18">
        <v>2018</v>
      </c>
      <c r="AC672" s="16" t="s">
        <v>51</v>
      </c>
      <c r="AD672" s="30"/>
      <c r="AE672" s="113"/>
      <c r="AF672" s="113"/>
      <c r="AG672" s="113"/>
    </row>
    <row r="673" spans="1:33" x14ac:dyDescent="0.4">
      <c r="A673" s="108" t="s">
        <v>1735</v>
      </c>
      <c r="B673" s="49">
        <v>7</v>
      </c>
      <c r="C673" s="18">
        <v>671</v>
      </c>
      <c r="D673" s="17"/>
      <c r="E673" s="140">
        <v>792543</v>
      </c>
      <c r="F673" s="141"/>
      <c r="G673" s="142" t="s">
        <v>716</v>
      </c>
      <c r="H673" s="114" t="s">
        <v>2381</v>
      </c>
      <c r="I673" s="114" t="s">
        <v>2381</v>
      </c>
      <c r="J673" s="66" t="s">
        <v>2382</v>
      </c>
      <c r="K673" s="66" t="s">
        <v>2383</v>
      </c>
      <c r="L673" s="29" t="s">
        <v>2392</v>
      </c>
      <c r="M673" s="29" t="s">
        <v>2118</v>
      </c>
      <c r="N673" s="29" t="s">
        <v>2073</v>
      </c>
      <c r="O673" s="109"/>
      <c r="P673" s="29" t="s">
        <v>2119</v>
      </c>
      <c r="Q673" s="24" t="s">
        <v>116</v>
      </c>
      <c r="R673" s="66" t="s">
        <v>1744</v>
      </c>
      <c r="S673" s="29" t="s">
        <v>1760</v>
      </c>
      <c r="T673" s="49" t="s">
        <v>2385</v>
      </c>
      <c r="U673" s="107" t="s">
        <v>2386</v>
      </c>
      <c r="V673" s="31"/>
      <c r="W673" s="66" t="s">
        <v>1747</v>
      </c>
      <c r="X673" s="66"/>
      <c r="Y673" s="16">
        <v>1</v>
      </c>
      <c r="Z673" s="31"/>
      <c r="AA673" s="31"/>
      <c r="AB673" s="18">
        <v>2018</v>
      </c>
      <c r="AC673" s="16" t="s">
        <v>51</v>
      </c>
      <c r="AD673" s="30"/>
      <c r="AE673" s="113"/>
      <c r="AF673" s="113"/>
      <c r="AG673" s="113"/>
    </row>
    <row r="674" spans="1:33" x14ac:dyDescent="0.4">
      <c r="A674" s="108" t="s">
        <v>1735</v>
      </c>
      <c r="B674" s="49">
        <v>8</v>
      </c>
      <c r="C674" s="18">
        <v>672</v>
      </c>
      <c r="D674" s="139"/>
      <c r="E674" s="143">
        <v>792543</v>
      </c>
      <c r="F674" s="141"/>
      <c r="G674" s="142" t="s">
        <v>716</v>
      </c>
      <c r="H674" s="114" t="s">
        <v>2381</v>
      </c>
      <c r="I674" s="114" t="s">
        <v>2381</v>
      </c>
      <c r="J674" s="66" t="s">
        <v>2382</v>
      </c>
      <c r="K674" s="66" t="s">
        <v>2383</v>
      </c>
      <c r="L674" s="29" t="s">
        <v>2393</v>
      </c>
      <c r="M674" s="29" t="s">
        <v>2118</v>
      </c>
      <c r="N674" s="29" t="s">
        <v>2073</v>
      </c>
      <c r="O674" s="109"/>
      <c r="P674" s="29" t="s">
        <v>2119</v>
      </c>
      <c r="Q674" s="24" t="s">
        <v>116</v>
      </c>
      <c r="R674" s="66" t="s">
        <v>1744</v>
      </c>
      <c r="S674" s="29" t="s">
        <v>1760</v>
      </c>
      <c r="T674" s="49" t="s">
        <v>2385</v>
      </c>
      <c r="U674" s="107" t="s">
        <v>2386</v>
      </c>
      <c r="V674" s="31"/>
      <c r="W674" s="66" t="s">
        <v>1747</v>
      </c>
      <c r="X674" s="66"/>
      <c r="Y674" s="16">
        <v>1</v>
      </c>
      <c r="Z674" s="31"/>
      <c r="AA674" s="31"/>
      <c r="AB674" s="18">
        <v>2018</v>
      </c>
      <c r="AC674" s="16" t="s">
        <v>131</v>
      </c>
      <c r="AD674" s="30"/>
      <c r="AE674" s="113"/>
      <c r="AF674" s="113"/>
      <c r="AG674" s="113"/>
    </row>
    <row r="675" spans="1:33" x14ac:dyDescent="0.4">
      <c r="A675" s="108" t="s">
        <v>1735</v>
      </c>
      <c r="B675" s="49">
        <v>9</v>
      </c>
      <c r="C675" s="18">
        <v>673</v>
      </c>
      <c r="D675" s="17"/>
      <c r="E675" s="143">
        <v>792543</v>
      </c>
      <c r="F675" s="141"/>
      <c r="G675" s="142" t="s">
        <v>716</v>
      </c>
      <c r="H675" s="114" t="s">
        <v>2381</v>
      </c>
      <c r="I675" s="114" t="s">
        <v>2381</v>
      </c>
      <c r="J675" s="66" t="s">
        <v>2382</v>
      </c>
      <c r="K675" s="66" t="s">
        <v>2383</v>
      </c>
      <c r="L675" s="29" t="s">
        <v>2394</v>
      </c>
      <c r="M675" s="29" t="s">
        <v>2118</v>
      </c>
      <c r="N675" s="29" t="s">
        <v>2073</v>
      </c>
      <c r="O675" s="109"/>
      <c r="P675" s="29" t="s">
        <v>2119</v>
      </c>
      <c r="Q675" s="24" t="s">
        <v>116</v>
      </c>
      <c r="R675" s="66" t="s">
        <v>1744</v>
      </c>
      <c r="S675" s="29" t="s">
        <v>1760</v>
      </c>
      <c r="T675" s="49" t="s">
        <v>2385</v>
      </c>
      <c r="U675" s="107" t="s">
        <v>2386</v>
      </c>
      <c r="V675" s="31"/>
      <c r="W675" s="66" t="s">
        <v>1747</v>
      </c>
      <c r="X675" s="66"/>
      <c r="Y675" s="16">
        <v>1</v>
      </c>
      <c r="Z675" s="31"/>
      <c r="AA675" s="31"/>
      <c r="AB675" s="18">
        <v>2018</v>
      </c>
      <c r="AC675" s="16" t="s">
        <v>131</v>
      </c>
      <c r="AD675" s="30"/>
      <c r="AE675" s="113"/>
      <c r="AF675" s="113"/>
      <c r="AG675" s="113"/>
    </row>
    <row r="676" spans="1:33" x14ac:dyDescent="0.4">
      <c r="A676" s="108" t="s">
        <v>1735</v>
      </c>
      <c r="B676" s="49">
        <v>1</v>
      </c>
      <c r="C676" s="18">
        <v>674</v>
      </c>
      <c r="D676" s="17"/>
      <c r="E676" s="49">
        <v>833065</v>
      </c>
      <c r="F676" s="29"/>
      <c r="G676" s="142" t="s">
        <v>988</v>
      </c>
      <c r="H676" s="114" t="s">
        <v>2395</v>
      </c>
      <c r="I676" s="114" t="s">
        <v>2395</v>
      </c>
      <c r="J676" s="66" t="s">
        <v>2396</v>
      </c>
      <c r="K676" s="66" t="s">
        <v>2397</v>
      </c>
      <c r="L676" s="29" t="s">
        <v>2398</v>
      </c>
      <c r="M676" s="29" t="s">
        <v>2118</v>
      </c>
      <c r="N676" s="29" t="s">
        <v>2073</v>
      </c>
      <c r="O676" s="109"/>
      <c r="P676" s="29" t="s">
        <v>2119</v>
      </c>
      <c r="Q676" s="24" t="s">
        <v>116</v>
      </c>
      <c r="R676" s="66" t="s">
        <v>1744</v>
      </c>
      <c r="S676" s="29" t="s">
        <v>1760</v>
      </c>
      <c r="T676" s="49" t="s">
        <v>2399</v>
      </c>
      <c r="U676" s="107" t="s">
        <v>2400</v>
      </c>
      <c r="V676" s="31"/>
      <c r="W676" s="66" t="s">
        <v>1747</v>
      </c>
      <c r="X676" s="66"/>
      <c r="Y676" s="16">
        <v>1</v>
      </c>
      <c r="Z676" s="31"/>
      <c r="AA676" s="31"/>
      <c r="AB676" s="18">
        <v>2018</v>
      </c>
      <c r="AC676" s="16" t="s">
        <v>51</v>
      </c>
      <c r="AD676" s="30"/>
      <c r="AE676" s="29"/>
      <c r="AF676" s="29"/>
      <c r="AG676" s="29"/>
    </row>
    <row r="677" spans="1:33" x14ac:dyDescent="0.4">
      <c r="A677" s="108" t="s">
        <v>1735</v>
      </c>
      <c r="B677" s="49">
        <v>2</v>
      </c>
      <c r="C677" s="18">
        <v>675</v>
      </c>
      <c r="D677" s="17"/>
      <c r="E677" s="49">
        <v>833065</v>
      </c>
      <c r="F677" s="29"/>
      <c r="G677" s="142" t="s">
        <v>988</v>
      </c>
      <c r="H677" s="114" t="s">
        <v>2395</v>
      </c>
      <c r="I677" s="114" t="s">
        <v>2395</v>
      </c>
      <c r="J677" s="66" t="s">
        <v>2396</v>
      </c>
      <c r="K677" s="66" t="s">
        <v>2397</v>
      </c>
      <c r="L677" s="29" t="s">
        <v>2401</v>
      </c>
      <c r="M677" s="29" t="s">
        <v>2118</v>
      </c>
      <c r="N677" s="29" t="s">
        <v>2073</v>
      </c>
      <c r="O677" s="109"/>
      <c r="P677" s="29" t="s">
        <v>2119</v>
      </c>
      <c r="Q677" s="24" t="s">
        <v>116</v>
      </c>
      <c r="R677" s="66" t="s">
        <v>1744</v>
      </c>
      <c r="S677" s="29" t="s">
        <v>1760</v>
      </c>
      <c r="T677" s="49" t="s">
        <v>2399</v>
      </c>
      <c r="U677" s="107" t="s">
        <v>2400</v>
      </c>
      <c r="V677" s="31"/>
      <c r="W677" s="66" t="s">
        <v>1747</v>
      </c>
      <c r="X677" s="66"/>
      <c r="Y677" s="16">
        <v>1</v>
      </c>
      <c r="Z677" s="31"/>
      <c r="AA677" s="31"/>
      <c r="AB677" s="18">
        <v>2018</v>
      </c>
      <c r="AC677" s="16" t="s">
        <v>51</v>
      </c>
      <c r="AD677" s="30"/>
      <c r="AE677" s="29"/>
      <c r="AF677" s="29"/>
      <c r="AG677" s="29"/>
    </row>
    <row r="678" spans="1:33" x14ac:dyDescent="0.4">
      <c r="A678" s="108" t="s">
        <v>1735</v>
      </c>
      <c r="B678" s="49">
        <v>3</v>
      </c>
      <c r="C678" s="18">
        <v>676</v>
      </c>
      <c r="D678" s="17"/>
      <c r="E678" s="49">
        <v>833065</v>
      </c>
      <c r="F678" s="29"/>
      <c r="G678" s="142" t="s">
        <v>988</v>
      </c>
      <c r="H678" s="114" t="s">
        <v>2395</v>
      </c>
      <c r="I678" s="114" t="s">
        <v>2395</v>
      </c>
      <c r="J678" s="66" t="s">
        <v>2396</v>
      </c>
      <c r="K678" s="66" t="s">
        <v>2397</v>
      </c>
      <c r="L678" s="29" t="s">
        <v>2402</v>
      </c>
      <c r="M678" s="29" t="s">
        <v>2118</v>
      </c>
      <c r="N678" s="29" t="s">
        <v>2073</v>
      </c>
      <c r="O678" s="109"/>
      <c r="P678" s="29" t="s">
        <v>2119</v>
      </c>
      <c r="Q678" s="24" t="s">
        <v>116</v>
      </c>
      <c r="R678" s="66" t="s">
        <v>1744</v>
      </c>
      <c r="S678" s="29" t="s">
        <v>1760</v>
      </c>
      <c r="T678" s="49" t="s">
        <v>2399</v>
      </c>
      <c r="U678" s="107" t="s">
        <v>2400</v>
      </c>
      <c r="V678" s="31"/>
      <c r="W678" s="66" t="s">
        <v>1747</v>
      </c>
      <c r="X678" s="66"/>
      <c r="Y678" s="16">
        <v>1</v>
      </c>
      <c r="Z678" s="31"/>
      <c r="AA678" s="31"/>
      <c r="AB678" s="18">
        <v>2018</v>
      </c>
      <c r="AC678" s="16" t="s">
        <v>51</v>
      </c>
      <c r="AD678" s="30"/>
      <c r="AE678" s="29"/>
      <c r="AF678" s="29"/>
      <c r="AG678" s="29"/>
    </row>
    <row r="679" spans="1:33" x14ac:dyDescent="0.4">
      <c r="A679" s="108" t="s">
        <v>1735</v>
      </c>
      <c r="B679" s="49">
        <v>4</v>
      </c>
      <c r="C679" s="18">
        <v>677</v>
      </c>
      <c r="D679" s="17"/>
      <c r="E679" s="49">
        <v>833065</v>
      </c>
      <c r="F679" s="29"/>
      <c r="G679" s="142" t="s">
        <v>988</v>
      </c>
      <c r="H679" s="114" t="s">
        <v>2395</v>
      </c>
      <c r="I679" s="114" t="s">
        <v>2395</v>
      </c>
      <c r="J679" s="66" t="s">
        <v>2396</v>
      </c>
      <c r="K679" s="66" t="s">
        <v>2397</v>
      </c>
      <c r="L679" s="29" t="s">
        <v>2403</v>
      </c>
      <c r="M679" s="29" t="s">
        <v>2118</v>
      </c>
      <c r="N679" s="29" t="s">
        <v>2073</v>
      </c>
      <c r="O679" s="109"/>
      <c r="P679" s="29" t="s">
        <v>2119</v>
      </c>
      <c r="Q679" s="24" t="s">
        <v>116</v>
      </c>
      <c r="R679" s="66" t="s">
        <v>1744</v>
      </c>
      <c r="S679" s="29" t="s">
        <v>1760</v>
      </c>
      <c r="T679" s="49" t="s">
        <v>2399</v>
      </c>
      <c r="U679" s="107" t="s">
        <v>2400</v>
      </c>
      <c r="V679" s="31"/>
      <c r="W679" s="66" t="s">
        <v>1747</v>
      </c>
      <c r="X679" s="66"/>
      <c r="Y679" s="16">
        <v>1</v>
      </c>
      <c r="Z679" s="31"/>
      <c r="AA679" s="31"/>
      <c r="AB679" s="18">
        <v>2018</v>
      </c>
      <c r="AC679" s="16" t="s">
        <v>51</v>
      </c>
      <c r="AD679" s="30"/>
      <c r="AE679" s="29"/>
      <c r="AF679" s="29"/>
      <c r="AG679" s="29"/>
    </row>
    <row r="680" spans="1:33" x14ac:dyDescent="0.4">
      <c r="A680" s="108" t="s">
        <v>1735</v>
      </c>
      <c r="B680" s="49">
        <v>5</v>
      </c>
      <c r="C680" s="18">
        <v>678</v>
      </c>
      <c r="D680" s="17"/>
      <c r="E680" s="49">
        <v>833065</v>
      </c>
      <c r="F680" s="29"/>
      <c r="G680" s="142" t="s">
        <v>988</v>
      </c>
      <c r="H680" s="114" t="s">
        <v>2395</v>
      </c>
      <c r="I680" s="114" t="s">
        <v>2395</v>
      </c>
      <c r="J680" s="66" t="s">
        <v>2396</v>
      </c>
      <c r="K680" s="66" t="s">
        <v>2397</v>
      </c>
      <c r="L680" s="29" t="s">
        <v>2404</v>
      </c>
      <c r="M680" s="29" t="s">
        <v>2118</v>
      </c>
      <c r="N680" s="29" t="s">
        <v>2073</v>
      </c>
      <c r="O680" s="109"/>
      <c r="P680" s="29" t="s">
        <v>2119</v>
      </c>
      <c r="Q680" s="24" t="s">
        <v>116</v>
      </c>
      <c r="R680" s="66" t="s">
        <v>1744</v>
      </c>
      <c r="S680" s="29" t="s">
        <v>1760</v>
      </c>
      <c r="T680" s="49" t="s">
        <v>2399</v>
      </c>
      <c r="U680" s="107" t="s">
        <v>2400</v>
      </c>
      <c r="V680" s="31"/>
      <c r="W680" s="66" t="s">
        <v>1747</v>
      </c>
      <c r="X680" s="66"/>
      <c r="Y680" s="16">
        <v>1</v>
      </c>
      <c r="Z680" s="31"/>
      <c r="AA680" s="31"/>
      <c r="AB680" s="18">
        <v>2018</v>
      </c>
      <c r="AC680" s="16" t="s">
        <v>51</v>
      </c>
      <c r="AD680" s="30"/>
      <c r="AE680" s="29"/>
      <c r="AF680" s="29"/>
      <c r="AG680" s="29"/>
    </row>
    <row r="681" spans="1:33" x14ac:dyDescent="0.4">
      <c r="A681" s="108" t="s">
        <v>1735</v>
      </c>
      <c r="B681" s="49">
        <v>6</v>
      </c>
      <c r="C681" s="18">
        <v>679</v>
      </c>
      <c r="D681" s="17"/>
      <c r="E681" s="49">
        <v>833065</v>
      </c>
      <c r="F681" s="29"/>
      <c r="G681" s="142" t="s">
        <v>988</v>
      </c>
      <c r="H681" s="114" t="s">
        <v>2395</v>
      </c>
      <c r="I681" s="114" t="s">
        <v>2395</v>
      </c>
      <c r="J681" s="66" t="s">
        <v>2396</v>
      </c>
      <c r="K681" s="66" t="s">
        <v>2397</v>
      </c>
      <c r="L681" s="29" t="s">
        <v>2405</v>
      </c>
      <c r="M681" s="29" t="s">
        <v>2118</v>
      </c>
      <c r="N681" s="29" t="s">
        <v>2073</v>
      </c>
      <c r="O681" s="109"/>
      <c r="P681" s="29" t="s">
        <v>2119</v>
      </c>
      <c r="Q681" s="24" t="s">
        <v>116</v>
      </c>
      <c r="R681" s="66" t="s">
        <v>1744</v>
      </c>
      <c r="S681" s="29" t="s">
        <v>1760</v>
      </c>
      <c r="T681" s="49" t="s">
        <v>2399</v>
      </c>
      <c r="U681" s="107" t="s">
        <v>2400</v>
      </c>
      <c r="V681" s="31"/>
      <c r="W681" s="66" t="s">
        <v>1747</v>
      </c>
      <c r="X681" s="66"/>
      <c r="Y681" s="16">
        <v>1</v>
      </c>
      <c r="Z681" s="31"/>
      <c r="AA681" s="31"/>
      <c r="AB681" s="18">
        <v>2018</v>
      </c>
      <c r="AC681" s="16" t="s">
        <v>51</v>
      </c>
      <c r="AD681" s="30"/>
      <c r="AE681" s="29"/>
      <c r="AF681" s="29"/>
      <c r="AG681" s="29"/>
    </row>
    <row r="682" spans="1:33" x14ac:dyDescent="0.4">
      <c r="A682" s="108" t="s">
        <v>1735</v>
      </c>
      <c r="B682" s="49">
        <v>7</v>
      </c>
      <c r="C682" s="18">
        <v>680</v>
      </c>
      <c r="D682" s="17"/>
      <c r="E682" s="49">
        <v>833065</v>
      </c>
      <c r="F682" s="29"/>
      <c r="G682" s="142" t="s">
        <v>988</v>
      </c>
      <c r="H682" s="114" t="s">
        <v>2395</v>
      </c>
      <c r="I682" s="114" t="s">
        <v>2395</v>
      </c>
      <c r="J682" s="66" t="s">
        <v>2396</v>
      </c>
      <c r="K682" s="66" t="s">
        <v>2397</v>
      </c>
      <c r="L682" s="29" t="s">
        <v>2406</v>
      </c>
      <c r="M682" s="29" t="s">
        <v>2118</v>
      </c>
      <c r="N682" s="29" t="s">
        <v>2073</v>
      </c>
      <c r="O682" s="109"/>
      <c r="P682" s="29" t="s">
        <v>2119</v>
      </c>
      <c r="Q682" s="24" t="s">
        <v>116</v>
      </c>
      <c r="R682" s="66" t="s">
        <v>1744</v>
      </c>
      <c r="S682" s="29" t="s">
        <v>1760</v>
      </c>
      <c r="T682" s="49" t="s">
        <v>2399</v>
      </c>
      <c r="U682" s="107" t="s">
        <v>2400</v>
      </c>
      <c r="V682" s="31"/>
      <c r="W682" s="66" t="s">
        <v>1747</v>
      </c>
      <c r="X682" s="66"/>
      <c r="Y682" s="16">
        <v>1</v>
      </c>
      <c r="Z682" s="31"/>
      <c r="AA682" s="31"/>
      <c r="AB682" s="18">
        <v>2018</v>
      </c>
      <c r="AC682" s="16" t="s">
        <v>51</v>
      </c>
      <c r="AD682" s="30"/>
      <c r="AE682" s="29"/>
      <c r="AF682" s="29"/>
      <c r="AG682" s="29"/>
    </row>
    <row r="683" spans="1:33" x14ac:dyDescent="0.4">
      <c r="A683" s="108" t="s">
        <v>1735</v>
      </c>
      <c r="B683" s="49">
        <v>8</v>
      </c>
      <c r="C683" s="18">
        <v>681</v>
      </c>
      <c r="D683" s="17"/>
      <c r="E683" s="49">
        <v>833065</v>
      </c>
      <c r="F683" s="29"/>
      <c r="G683" s="142" t="s">
        <v>988</v>
      </c>
      <c r="H683" s="114" t="s">
        <v>2395</v>
      </c>
      <c r="I683" s="114" t="s">
        <v>2395</v>
      </c>
      <c r="J683" s="66" t="s">
        <v>2396</v>
      </c>
      <c r="K683" s="66" t="s">
        <v>2397</v>
      </c>
      <c r="L683" s="29" t="s">
        <v>2407</v>
      </c>
      <c r="M683" s="29" t="s">
        <v>2118</v>
      </c>
      <c r="N683" s="29" t="s">
        <v>2073</v>
      </c>
      <c r="O683" s="109"/>
      <c r="P683" s="29" t="s">
        <v>2119</v>
      </c>
      <c r="Q683" s="24" t="s">
        <v>116</v>
      </c>
      <c r="R683" s="66" t="s">
        <v>1744</v>
      </c>
      <c r="S683" s="29" t="s">
        <v>1760</v>
      </c>
      <c r="T683" s="49" t="s">
        <v>2399</v>
      </c>
      <c r="U683" s="107" t="s">
        <v>2400</v>
      </c>
      <c r="V683" s="31"/>
      <c r="W683" s="66" t="s">
        <v>1747</v>
      </c>
      <c r="X683" s="66"/>
      <c r="Y683" s="16">
        <v>1</v>
      </c>
      <c r="Z683" s="31"/>
      <c r="AA683" s="31"/>
      <c r="AB683" s="18">
        <v>2018</v>
      </c>
      <c r="AC683" s="16" t="s">
        <v>131</v>
      </c>
      <c r="AD683" s="30"/>
      <c r="AE683" s="29"/>
      <c r="AF683" s="29"/>
      <c r="AG683" s="29"/>
    </row>
    <row r="684" spans="1:33" x14ac:dyDescent="0.4">
      <c r="A684" s="108" t="s">
        <v>1735</v>
      </c>
      <c r="B684" s="49">
        <v>9</v>
      </c>
      <c r="C684" s="18">
        <v>682</v>
      </c>
      <c r="D684" s="17"/>
      <c r="E684" s="49">
        <v>833065</v>
      </c>
      <c r="F684" s="29"/>
      <c r="G684" s="142" t="s">
        <v>988</v>
      </c>
      <c r="H684" s="114" t="s">
        <v>2395</v>
      </c>
      <c r="I684" s="114" t="s">
        <v>2395</v>
      </c>
      <c r="J684" s="66" t="s">
        <v>2396</v>
      </c>
      <c r="K684" s="66" t="s">
        <v>2397</v>
      </c>
      <c r="L684" s="29" t="s">
        <v>2408</v>
      </c>
      <c r="M684" s="29" t="s">
        <v>2118</v>
      </c>
      <c r="N684" s="29" t="s">
        <v>2073</v>
      </c>
      <c r="O684" s="109"/>
      <c r="P684" s="29" t="s">
        <v>2119</v>
      </c>
      <c r="Q684" s="24" t="s">
        <v>116</v>
      </c>
      <c r="R684" s="66" t="s">
        <v>1744</v>
      </c>
      <c r="S684" s="29" t="s">
        <v>1760</v>
      </c>
      <c r="T684" s="49" t="s">
        <v>2399</v>
      </c>
      <c r="U684" s="107" t="s">
        <v>2400</v>
      </c>
      <c r="V684" s="31"/>
      <c r="W684" s="66" t="s">
        <v>1747</v>
      </c>
      <c r="X684" s="66"/>
      <c r="Y684" s="16">
        <v>1</v>
      </c>
      <c r="Z684" s="31"/>
      <c r="AA684" s="31"/>
      <c r="AB684" s="18">
        <v>2018</v>
      </c>
      <c r="AC684" s="16" t="s">
        <v>131</v>
      </c>
      <c r="AD684" s="30"/>
      <c r="AE684" s="29"/>
      <c r="AF684" s="29"/>
      <c r="AG684" s="29"/>
    </row>
    <row r="685" spans="1:33" x14ac:dyDescent="0.4">
      <c r="A685" s="108" t="s">
        <v>1735</v>
      </c>
      <c r="B685" s="49">
        <v>1</v>
      </c>
      <c r="C685" s="18">
        <v>683</v>
      </c>
      <c r="D685" s="17"/>
      <c r="E685" s="140">
        <v>792527</v>
      </c>
      <c r="F685" s="141"/>
      <c r="G685" s="142" t="s">
        <v>1786</v>
      </c>
      <c r="H685" s="114" t="s">
        <v>2409</v>
      </c>
      <c r="I685" s="114" t="s">
        <v>2409</v>
      </c>
      <c r="J685" s="66" t="s">
        <v>2410</v>
      </c>
      <c r="K685" s="66" t="s">
        <v>2411</v>
      </c>
      <c r="L685" s="29" t="s">
        <v>2412</v>
      </c>
      <c r="M685" s="29" t="s">
        <v>2118</v>
      </c>
      <c r="N685" s="29" t="s">
        <v>2073</v>
      </c>
      <c r="O685" s="109"/>
      <c r="P685" s="29" t="s">
        <v>2119</v>
      </c>
      <c r="Q685" s="24" t="s">
        <v>116</v>
      </c>
      <c r="R685" s="66" t="s">
        <v>1744</v>
      </c>
      <c r="S685" s="29" t="s">
        <v>1760</v>
      </c>
      <c r="T685" s="49" t="s">
        <v>2413</v>
      </c>
      <c r="U685" s="107" t="s">
        <v>2414</v>
      </c>
      <c r="V685" s="31"/>
      <c r="W685" s="66" t="s">
        <v>1747</v>
      </c>
      <c r="X685" s="66"/>
      <c r="Y685" s="16">
        <v>1</v>
      </c>
      <c r="Z685" s="31"/>
      <c r="AA685" s="31"/>
      <c r="AB685" s="18">
        <v>2018</v>
      </c>
      <c r="AC685" s="16" t="s">
        <v>51</v>
      </c>
      <c r="AD685" s="30"/>
      <c r="AE685" s="113"/>
      <c r="AF685" s="113"/>
      <c r="AG685" s="113"/>
    </row>
    <row r="686" spans="1:33" x14ac:dyDescent="0.4">
      <c r="A686" s="108" t="s">
        <v>1735</v>
      </c>
      <c r="B686" s="49">
        <v>2</v>
      </c>
      <c r="C686" s="18">
        <v>684</v>
      </c>
      <c r="D686" s="17"/>
      <c r="E686" s="140">
        <v>792527</v>
      </c>
      <c r="F686" s="141"/>
      <c r="G686" s="142" t="s">
        <v>1786</v>
      </c>
      <c r="H686" s="114" t="s">
        <v>2409</v>
      </c>
      <c r="I686" s="114" t="s">
        <v>2409</v>
      </c>
      <c r="J686" s="66" t="s">
        <v>2410</v>
      </c>
      <c r="K686" s="66" t="s">
        <v>2411</v>
      </c>
      <c r="L686" s="29" t="s">
        <v>2415</v>
      </c>
      <c r="M686" s="29" t="s">
        <v>2118</v>
      </c>
      <c r="N686" s="29" t="s">
        <v>2073</v>
      </c>
      <c r="O686" s="109"/>
      <c r="P686" s="29" t="s">
        <v>2119</v>
      </c>
      <c r="Q686" s="24" t="s">
        <v>116</v>
      </c>
      <c r="R686" s="66" t="s">
        <v>1744</v>
      </c>
      <c r="S686" s="29" t="s">
        <v>1760</v>
      </c>
      <c r="T686" s="49" t="s">
        <v>2413</v>
      </c>
      <c r="U686" s="107" t="s">
        <v>2414</v>
      </c>
      <c r="V686" s="31"/>
      <c r="W686" s="66" t="s">
        <v>1747</v>
      </c>
      <c r="X686" s="66"/>
      <c r="Y686" s="16">
        <v>1</v>
      </c>
      <c r="Z686" s="31"/>
      <c r="AA686" s="31"/>
      <c r="AB686" s="18">
        <v>2018</v>
      </c>
      <c r="AC686" s="16" t="s">
        <v>51</v>
      </c>
      <c r="AD686" s="30"/>
      <c r="AE686" s="113"/>
      <c r="AF686" s="113"/>
      <c r="AG686" s="113"/>
    </row>
    <row r="687" spans="1:33" x14ac:dyDescent="0.4">
      <c r="A687" s="108" t="s">
        <v>1735</v>
      </c>
      <c r="B687" s="49">
        <v>3</v>
      </c>
      <c r="C687" s="18">
        <v>685</v>
      </c>
      <c r="D687" s="17"/>
      <c r="E687" s="140">
        <v>792527</v>
      </c>
      <c r="F687" s="141"/>
      <c r="G687" s="142" t="s">
        <v>1786</v>
      </c>
      <c r="H687" s="114" t="s">
        <v>2409</v>
      </c>
      <c r="I687" s="114" t="s">
        <v>2409</v>
      </c>
      <c r="J687" s="66" t="s">
        <v>2410</v>
      </c>
      <c r="K687" s="66" t="s">
        <v>2411</v>
      </c>
      <c r="L687" s="29" t="s">
        <v>2416</v>
      </c>
      <c r="M687" s="29" t="s">
        <v>2118</v>
      </c>
      <c r="N687" s="29" t="s">
        <v>2073</v>
      </c>
      <c r="O687" s="109"/>
      <c r="P687" s="29" t="s">
        <v>2119</v>
      </c>
      <c r="Q687" s="24" t="s">
        <v>116</v>
      </c>
      <c r="R687" s="66" t="s">
        <v>1744</v>
      </c>
      <c r="S687" s="29" t="s">
        <v>1760</v>
      </c>
      <c r="T687" s="49" t="s">
        <v>2413</v>
      </c>
      <c r="U687" s="107" t="s">
        <v>2414</v>
      </c>
      <c r="V687" s="31"/>
      <c r="W687" s="66" t="s">
        <v>1747</v>
      </c>
      <c r="X687" s="66"/>
      <c r="Y687" s="16">
        <v>1</v>
      </c>
      <c r="Z687" s="31"/>
      <c r="AA687" s="31"/>
      <c r="AB687" s="18">
        <v>2018</v>
      </c>
      <c r="AC687" s="16" t="s">
        <v>51</v>
      </c>
      <c r="AD687" s="30"/>
      <c r="AE687" s="113"/>
      <c r="AF687" s="113"/>
      <c r="AG687" s="113"/>
    </row>
    <row r="688" spans="1:33" x14ac:dyDescent="0.4">
      <c r="A688" s="108" t="s">
        <v>1735</v>
      </c>
      <c r="B688" s="49">
        <v>4</v>
      </c>
      <c r="C688" s="18">
        <v>686</v>
      </c>
      <c r="D688" s="17"/>
      <c r="E688" s="140">
        <v>792527</v>
      </c>
      <c r="F688" s="141"/>
      <c r="G688" s="142" t="s">
        <v>1786</v>
      </c>
      <c r="H688" s="114" t="s">
        <v>2409</v>
      </c>
      <c r="I688" s="114" t="s">
        <v>2409</v>
      </c>
      <c r="J688" s="66" t="s">
        <v>2410</v>
      </c>
      <c r="K688" s="66" t="s">
        <v>2411</v>
      </c>
      <c r="L688" s="29" t="s">
        <v>2417</v>
      </c>
      <c r="M688" s="29" t="s">
        <v>2118</v>
      </c>
      <c r="N688" s="29" t="s">
        <v>2073</v>
      </c>
      <c r="O688" s="109"/>
      <c r="P688" s="29" t="s">
        <v>2119</v>
      </c>
      <c r="Q688" s="24" t="s">
        <v>116</v>
      </c>
      <c r="R688" s="66" t="s">
        <v>1744</v>
      </c>
      <c r="S688" s="29" t="s">
        <v>1760</v>
      </c>
      <c r="T688" s="49" t="s">
        <v>2413</v>
      </c>
      <c r="U688" s="107" t="s">
        <v>2414</v>
      </c>
      <c r="V688" s="31"/>
      <c r="W688" s="66" t="s">
        <v>1747</v>
      </c>
      <c r="X688" s="66"/>
      <c r="Y688" s="16">
        <v>1</v>
      </c>
      <c r="Z688" s="31"/>
      <c r="AA688" s="31"/>
      <c r="AB688" s="18">
        <v>2018</v>
      </c>
      <c r="AC688" s="16" t="s">
        <v>51</v>
      </c>
      <c r="AD688" s="30"/>
      <c r="AE688" s="113"/>
      <c r="AF688" s="113"/>
      <c r="AG688" s="113"/>
    </row>
    <row r="689" spans="1:33" x14ac:dyDescent="0.4">
      <c r="A689" s="108" t="s">
        <v>1735</v>
      </c>
      <c r="B689" s="49">
        <v>5</v>
      </c>
      <c r="C689" s="18">
        <v>687</v>
      </c>
      <c r="D689" s="17"/>
      <c r="E689" s="140">
        <v>792527</v>
      </c>
      <c r="F689" s="141"/>
      <c r="G689" s="142" t="s">
        <v>1786</v>
      </c>
      <c r="H689" s="114" t="s">
        <v>2409</v>
      </c>
      <c r="I689" s="114" t="s">
        <v>2409</v>
      </c>
      <c r="J689" s="66" t="s">
        <v>2410</v>
      </c>
      <c r="K689" s="66" t="s">
        <v>2411</v>
      </c>
      <c r="L689" s="29" t="s">
        <v>2418</v>
      </c>
      <c r="M689" s="29" t="s">
        <v>2118</v>
      </c>
      <c r="N689" s="29" t="s">
        <v>2073</v>
      </c>
      <c r="O689" s="109"/>
      <c r="P689" s="29" t="s">
        <v>2119</v>
      </c>
      <c r="Q689" s="24" t="s">
        <v>116</v>
      </c>
      <c r="R689" s="66" t="s">
        <v>1744</v>
      </c>
      <c r="S689" s="29" t="s">
        <v>1760</v>
      </c>
      <c r="T689" s="49" t="s">
        <v>2413</v>
      </c>
      <c r="U689" s="107" t="s">
        <v>2414</v>
      </c>
      <c r="V689" s="31"/>
      <c r="W689" s="66" t="s">
        <v>1747</v>
      </c>
      <c r="X689" s="66"/>
      <c r="Y689" s="16">
        <v>1</v>
      </c>
      <c r="Z689" s="31"/>
      <c r="AA689" s="31"/>
      <c r="AB689" s="18">
        <v>2018</v>
      </c>
      <c r="AC689" s="16" t="s">
        <v>51</v>
      </c>
      <c r="AD689" s="30"/>
      <c r="AE689" s="113"/>
      <c r="AF689" s="113"/>
      <c r="AG689" s="113"/>
    </row>
    <row r="690" spans="1:33" x14ac:dyDescent="0.4">
      <c r="A690" s="108" t="s">
        <v>1735</v>
      </c>
      <c r="B690" s="49">
        <v>6</v>
      </c>
      <c r="C690" s="18">
        <v>688</v>
      </c>
      <c r="D690" s="102"/>
      <c r="E690" s="140">
        <v>792527</v>
      </c>
      <c r="F690" s="141"/>
      <c r="G690" s="142" t="s">
        <v>1786</v>
      </c>
      <c r="H690" s="114" t="s">
        <v>2409</v>
      </c>
      <c r="I690" s="114" t="s">
        <v>2409</v>
      </c>
      <c r="J690" s="66" t="s">
        <v>2410</v>
      </c>
      <c r="K690" s="66" t="s">
        <v>2411</v>
      </c>
      <c r="L690" s="29" t="s">
        <v>2419</v>
      </c>
      <c r="M690" s="29" t="s">
        <v>2118</v>
      </c>
      <c r="N690" s="29" t="s">
        <v>2073</v>
      </c>
      <c r="O690" s="109"/>
      <c r="P690" s="29" t="s">
        <v>2119</v>
      </c>
      <c r="Q690" s="24" t="s">
        <v>116</v>
      </c>
      <c r="R690" s="66" t="s">
        <v>1744</v>
      </c>
      <c r="S690" s="29" t="s">
        <v>1760</v>
      </c>
      <c r="T690" s="49" t="s">
        <v>2413</v>
      </c>
      <c r="U690" s="107" t="s">
        <v>2414</v>
      </c>
      <c r="V690" s="31"/>
      <c r="W690" s="66" t="s">
        <v>1747</v>
      </c>
      <c r="X690" s="66"/>
      <c r="Y690" s="16">
        <v>1</v>
      </c>
      <c r="Z690" s="31"/>
      <c r="AA690" s="31"/>
      <c r="AB690" s="18">
        <v>2018</v>
      </c>
      <c r="AC690" s="16" t="s">
        <v>51</v>
      </c>
      <c r="AD690" s="30"/>
      <c r="AE690" s="113"/>
      <c r="AF690" s="113"/>
      <c r="AG690" s="113"/>
    </row>
    <row r="691" spans="1:33" x14ac:dyDescent="0.4">
      <c r="A691" s="108" t="s">
        <v>1735</v>
      </c>
      <c r="B691" s="49">
        <v>1</v>
      </c>
      <c r="C691" s="17">
        <v>689</v>
      </c>
      <c r="D691" s="18" t="s">
        <v>2420</v>
      </c>
      <c r="E691" s="49">
        <v>792541</v>
      </c>
      <c r="F691" s="29"/>
      <c r="G691" s="142" t="s">
        <v>999</v>
      </c>
      <c r="H691" s="114" t="s">
        <v>2421</v>
      </c>
      <c r="I691" s="114" t="s">
        <v>2421</v>
      </c>
      <c r="J691" s="66" t="s">
        <v>2422</v>
      </c>
      <c r="K691" s="66" t="s">
        <v>2423</v>
      </c>
      <c r="L691" s="29" t="s">
        <v>2424</v>
      </c>
      <c r="M691" s="29" t="s">
        <v>2118</v>
      </c>
      <c r="N691" s="29" t="s">
        <v>2073</v>
      </c>
      <c r="O691" s="109"/>
      <c r="P691" s="29" t="s">
        <v>2119</v>
      </c>
      <c r="Q691" s="24" t="s">
        <v>17</v>
      </c>
      <c r="R691" s="66" t="s">
        <v>1744</v>
      </c>
      <c r="S691" s="29" t="s">
        <v>1760</v>
      </c>
      <c r="T691" s="49" t="s">
        <v>2425</v>
      </c>
      <c r="U691" s="107" t="s">
        <v>2426</v>
      </c>
      <c r="V691" s="31"/>
      <c r="W691" s="66" t="s">
        <v>1747</v>
      </c>
      <c r="X691" s="66"/>
      <c r="Y691" s="16">
        <v>1</v>
      </c>
      <c r="Z691" s="31"/>
      <c r="AA691" s="31"/>
      <c r="AB691" s="18">
        <v>2018</v>
      </c>
      <c r="AC691" s="16" t="s">
        <v>51</v>
      </c>
      <c r="AD691" s="30"/>
      <c r="AE691" s="29"/>
      <c r="AF691" s="29"/>
      <c r="AG691" s="29"/>
    </row>
    <row r="692" spans="1:33" x14ac:dyDescent="0.4">
      <c r="A692" s="108" t="s">
        <v>1735</v>
      </c>
      <c r="B692" s="49">
        <v>2</v>
      </c>
      <c r="C692" s="17">
        <v>690</v>
      </c>
      <c r="D692" s="18" t="s">
        <v>2427</v>
      </c>
      <c r="E692" s="49">
        <v>792541</v>
      </c>
      <c r="F692" s="29"/>
      <c r="G692" s="142" t="s">
        <v>999</v>
      </c>
      <c r="H692" s="114" t="s">
        <v>2421</v>
      </c>
      <c r="I692" s="114" t="s">
        <v>2421</v>
      </c>
      <c r="J692" s="66" t="s">
        <v>2422</v>
      </c>
      <c r="K692" s="66" t="s">
        <v>2423</v>
      </c>
      <c r="L692" s="29" t="s">
        <v>2428</v>
      </c>
      <c r="M692" s="29" t="s">
        <v>2118</v>
      </c>
      <c r="N692" s="29" t="s">
        <v>2073</v>
      </c>
      <c r="O692" s="109"/>
      <c r="P692" s="29" t="s">
        <v>2119</v>
      </c>
      <c r="Q692" s="24" t="s">
        <v>17</v>
      </c>
      <c r="R692" s="66" t="s">
        <v>1744</v>
      </c>
      <c r="S692" s="29" t="s">
        <v>1760</v>
      </c>
      <c r="T692" s="49" t="s">
        <v>2425</v>
      </c>
      <c r="U692" s="107" t="s">
        <v>2426</v>
      </c>
      <c r="V692" s="31"/>
      <c r="W692" s="66" t="s">
        <v>1747</v>
      </c>
      <c r="X692" s="66"/>
      <c r="Y692" s="16">
        <v>1</v>
      </c>
      <c r="Z692" s="31"/>
      <c r="AA692" s="31"/>
      <c r="AB692" s="18">
        <v>2018</v>
      </c>
      <c r="AC692" s="16" t="s">
        <v>51</v>
      </c>
      <c r="AD692" s="30"/>
      <c r="AE692" s="29"/>
      <c r="AF692" s="29"/>
      <c r="AG692" s="29"/>
    </row>
    <row r="693" spans="1:33" x14ac:dyDescent="0.4">
      <c r="A693" s="108" t="s">
        <v>1735</v>
      </c>
      <c r="B693" s="49">
        <v>3</v>
      </c>
      <c r="C693" s="17">
        <v>691</v>
      </c>
      <c r="D693" s="18" t="s">
        <v>2429</v>
      </c>
      <c r="E693" s="49">
        <v>792541</v>
      </c>
      <c r="F693" s="29"/>
      <c r="G693" s="142" t="s">
        <v>999</v>
      </c>
      <c r="H693" s="114" t="s">
        <v>2421</v>
      </c>
      <c r="I693" s="114" t="s">
        <v>2421</v>
      </c>
      <c r="J693" s="66" t="s">
        <v>2422</v>
      </c>
      <c r="K693" s="66" t="s">
        <v>2423</v>
      </c>
      <c r="L693" s="29" t="s">
        <v>2430</v>
      </c>
      <c r="M693" s="29" t="s">
        <v>2118</v>
      </c>
      <c r="N693" s="29" t="s">
        <v>2073</v>
      </c>
      <c r="O693" s="109"/>
      <c r="P693" s="29" t="s">
        <v>2119</v>
      </c>
      <c r="Q693" s="24" t="s">
        <v>17</v>
      </c>
      <c r="R693" s="66" t="s">
        <v>1744</v>
      </c>
      <c r="S693" s="29" t="s">
        <v>1760</v>
      </c>
      <c r="T693" s="49" t="s">
        <v>2425</v>
      </c>
      <c r="U693" s="107" t="s">
        <v>2426</v>
      </c>
      <c r="V693" s="31"/>
      <c r="W693" s="66" t="s">
        <v>1747</v>
      </c>
      <c r="X693" s="66"/>
      <c r="Y693" s="16">
        <v>1</v>
      </c>
      <c r="Z693" s="31"/>
      <c r="AA693" s="31"/>
      <c r="AB693" s="18">
        <v>2018</v>
      </c>
      <c r="AC693" s="16" t="s">
        <v>51</v>
      </c>
      <c r="AD693" s="30"/>
      <c r="AE693" s="29"/>
      <c r="AF693" s="29"/>
      <c r="AG693" s="29"/>
    </row>
    <row r="694" spans="1:33" x14ac:dyDescent="0.4">
      <c r="A694" s="108" t="s">
        <v>1735</v>
      </c>
      <c r="B694" s="49">
        <v>4</v>
      </c>
      <c r="C694" s="17">
        <v>692</v>
      </c>
      <c r="D694" s="18" t="s">
        <v>2431</v>
      </c>
      <c r="E694" s="49">
        <v>792541</v>
      </c>
      <c r="F694" s="29"/>
      <c r="G694" s="142" t="s">
        <v>999</v>
      </c>
      <c r="H694" s="114" t="s">
        <v>2421</v>
      </c>
      <c r="I694" s="114" t="s">
        <v>2421</v>
      </c>
      <c r="J694" s="66" t="s">
        <v>2422</v>
      </c>
      <c r="K694" s="66" t="s">
        <v>2423</v>
      </c>
      <c r="L694" s="29" t="s">
        <v>2432</v>
      </c>
      <c r="M694" s="29" t="s">
        <v>2118</v>
      </c>
      <c r="N694" s="29" t="s">
        <v>2073</v>
      </c>
      <c r="O694" s="109"/>
      <c r="P694" s="29" t="s">
        <v>2119</v>
      </c>
      <c r="Q694" s="24" t="s">
        <v>17</v>
      </c>
      <c r="R694" s="66" t="s">
        <v>1744</v>
      </c>
      <c r="S694" s="29" t="s">
        <v>1760</v>
      </c>
      <c r="T694" s="49" t="s">
        <v>2425</v>
      </c>
      <c r="U694" s="107" t="s">
        <v>2426</v>
      </c>
      <c r="V694" s="31"/>
      <c r="W694" s="66" t="s">
        <v>1747</v>
      </c>
      <c r="X694" s="66"/>
      <c r="Y694" s="16">
        <v>1</v>
      </c>
      <c r="Z694" s="31"/>
      <c r="AA694" s="31"/>
      <c r="AB694" s="18">
        <v>2018</v>
      </c>
      <c r="AC694" s="16" t="s">
        <v>51</v>
      </c>
      <c r="AD694" s="30"/>
      <c r="AE694" s="29"/>
      <c r="AF694" s="29"/>
      <c r="AG694" s="29"/>
    </row>
    <row r="695" spans="1:33" x14ac:dyDescent="0.4">
      <c r="A695" s="108" t="s">
        <v>1735</v>
      </c>
      <c r="B695" s="49">
        <v>5</v>
      </c>
      <c r="C695" s="18">
        <v>693</v>
      </c>
      <c r="D695" s="116"/>
      <c r="E695" s="49">
        <v>792541</v>
      </c>
      <c r="F695" s="29"/>
      <c r="G695" s="142" t="s">
        <v>999</v>
      </c>
      <c r="H695" s="114" t="s">
        <v>2421</v>
      </c>
      <c r="I695" s="114" t="s">
        <v>2421</v>
      </c>
      <c r="J695" s="66" t="s">
        <v>2422</v>
      </c>
      <c r="K695" s="66" t="s">
        <v>2423</v>
      </c>
      <c r="L695" s="29" t="s">
        <v>2433</v>
      </c>
      <c r="M695" s="29" t="s">
        <v>2118</v>
      </c>
      <c r="N695" s="29" t="s">
        <v>2073</v>
      </c>
      <c r="O695" s="109"/>
      <c r="P695" s="29" t="s">
        <v>2119</v>
      </c>
      <c r="Q695" s="66" t="s">
        <v>17</v>
      </c>
      <c r="R695" s="66" t="s">
        <v>1744</v>
      </c>
      <c r="S695" s="29" t="s">
        <v>1760</v>
      </c>
      <c r="T695" s="49" t="s">
        <v>2425</v>
      </c>
      <c r="U695" s="107" t="s">
        <v>2426</v>
      </c>
      <c r="V695" s="31"/>
      <c r="W695" s="66" t="s">
        <v>1747</v>
      </c>
      <c r="X695" s="66"/>
      <c r="Y695" s="16">
        <v>1</v>
      </c>
      <c r="Z695" s="31"/>
      <c r="AA695" s="31"/>
      <c r="AB695" s="18">
        <v>2018</v>
      </c>
      <c r="AC695" s="16" t="s">
        <v>51</v>
      </c>
      <c r="AD695" s="30"/>
      <c r="AE695" s="29"/>
      <c r="AF695" s="29"/>
      <c r="AG695" s="29"/>
    </row>
    <row r="696" spans="1:33" x14ac:dyDescent="0.4">
      <c r="A696" s="108" t="s">
        <v>1735</v>
      </c>
      <c r="B696" s="49">
        <v>6</v>
      </c>
      <c r="C696" s="17">
        <v>694</v>
      </c>
      <c r="D696" s="18" t="s">
        <v>2434</v>
      </c>
      <c r="E696" s="49">
        <v>792541</v>
      </c>
      <c r="F696" s="29"/>
      <c r="G696" s="142" t="s">
        <v>999</v>
      </c>
      <c r="H696" s="114" t="s">
        <v>2421</v>
      </c>
      <c r="I696" s="114" t="s">
        <v>2421</v>
      </c>
      <c r="J696" s="66" t="s">
        <v>2422</v>
      </c>
      <c r="K696" s="66" t="s">
        <v>2423</v>
      </c>
      <c r="L696" s="29" t="s">
        <v>2435</v>
      </c>
      <c r="M696" s="29" t="s">
        <v>2118</v>
      </c>
      <c r="N696" s="29" t="s">
        <v>2073</v>
      </c>
      <c r="O696" s="109"/>
      <c r="P696" s="29" t="s">
        <v>2119</v>
      </c>
      <c r="Q696" s="24" t="s">
        <v>17</v>
      </c>
      <c r="R696" s="66" t="s">
        <v>1744</v>
      </c>
      <c r="S696" s="29" t="s">
        <v>1760</v>
      </c>
      <c r="T696" s="49" t="s">
        <v>2425</v>
      </c>
      <c r="U696" s="107" t="s">
        <v>2426</v>
      </c>
      <c r="V696" s="31"/>
      <c r="W696" s="66" t="s">
        <v>1747</v>
      </c>
      <c r="X696" s="66"/>
      <c r="Y696" s="16">
        <v>1</v>
      </c>
      <c r="Z696" s="31"/>
      <c r="AA696" s="31"/>
      <c r="AB696" s="18">
        <v>2018</v>
      </c>
      <c r="AC696" s="16" t="s">
        <v>51</v>
      </c>
      <c r="AD696" s="30"/>
      <c r="AE696" s="29"/>
      <c r="AF696" s="29"/>
      <c r="AG696" s="29"/>
    </row>
    <row r="697" spans="1:33" x14ac:dyDescent="0.4">
      <c r="A697" s="108" t="s">
        <v>1735</v>
      </c>
      <c r="B697" s="49">
        <v>7</v>
      </c>
      <c r="C697" s="17">
        <v>695</v>
      </c>
      <c r="D697" s="18" t="s">
        <v>2436</v>
      </c>
      <c r="E697" s="49">
        <v>792541</v>
      </c>
      <c r="F697" s="29"/>
      <c r="G697" s="142" t="s">
        <v>999</v>
      </c>
      <c r="H697" s="114" t="s">
        <v>2421</v>
      </c>
      <c r="I697" s="114" t="s">
        <v>2421</v>
      </c>
      <c r="J697" s="66" t="s">
        <v>2422</v>
      </c>
      <c r="K697" s="66" t="s">
        <v>2423</v>
      </c>
      <c r="L697" s="29" t="s">
        <v>2437</v>
      </c>
      <c r="M697" s="29" t="s">
        <v>2118</v>
      </c>
      <c r="N697" s="29" t="s">
        <v>2073</v>
      </c>
      <c r="O697" s="109"/>
      <c r="P697" s="29" t="s">
        <v>2119</v>
      </c>
      <c r="Q697" s="24" t="s">
        <v>17</v>
      </c>
      <c r="R697" s="66" t="s">
        <v>1744</v>
      </c>
      <c r="S697" s="29" t="s">
        <v>1760</v>
      </c>
      <c r="T697" s="49" t="s">
        <v>2425</v>
      </c>
      <c r="U697" s="107" t="s">
        <v>2426</v>
      </c>
      <c r="V697" s="31"/>
      <c r="W697" s="66" t="s">
        <v>1747</v>
      </c>
      <c r="X697" s="66"/>
      <c r="Y697" s="16">
        <v>1</v>
      </c>
      <c r="Z697" s="31"/>
      <c r="AA697" s="31"/>
      <c r="AB697" s="18">
        <v>2018</v>
      </c>
      <c r="AC697" s="16" t="s">
        <v>51</v>
      </c>
      <c r="AD697" s="30"/>
      <c r="AE697" s="29"/>
      <c r="AF697" s="29"/>
      <c r="AG697" s="29"/>
    </row>
    <row r="698" spans="1:33" x14ac:dyDescent="0.4">
      <c r="A698" s="108" t="s">
        <v>1735</v>
      </c>
      <c r="B698" s="49">
        <v>8</v>
      </c>
      <c r="C698" s="17">
        <v>696</v>
      </c>
      <c r="D698" s="18" t="s">
        <v>2438</v>
      </c>
      <c r="E698" s="49">
        <v>792541</v>
      </c>
      <c r="F698" s="29"/>
      <c r="G698" s="142" t="s">
        <v>999</v>
      </c>
      <c r="H698" s="114" t="s">
        <v>2421</v>
      </c>
      <c r="I698" s="114" t="s">
        <v>2421</v>
      </c>
      <c r="J698" s="66" t="s">
        <v>2422</v>
      </c>
      <c r="K698" s="66" t="s">
        <v>2423</v>
      </c>
      <c r="L698" s="29" t="s">
        <v>2439</v>
      </c>
      <c r="M698" s="29" t="s">
        <v>2118</v>
      </c>
      <c r="N698" s="29" t="s">
        <v>2073</v>
      </c>
      <c r="O698" s="109"/>
      <c r="P698" s="29" t="s">
        <v>2119</v>
      </c>
      <c r="Q698" s="24" t="s">
        <v>17</v>
      </c>
      <c r="R698" s="66" t="s">
        <v>1744</v>
      </c>
      <c r="S698" s="29" t="s">
        <v>1760</v>
      </c>
      <c r="T698" s="49" t="s">
        <v>2425</v>
      </c>
      <c r="U698" s="107" t="s">
        <v>2426</v>
      </c>
      <c r="V698" s="31"/>
      <c r="W698" s="66" t="s">
        <v>1747</v>
      </c>
      <c r="X698" s="66"/>
      <c r="Y698" s="16">
        <v>1</v>
      </c>
      <c r="Z698" s="31"/>
      <c r="AA698" s="31"/>
      <c r="AB698" s="18">
        <v>2018</v>
      </c>
      <c r="AC698" s="16" t="s">
        <v>51</v>
      </c>
      <c r="AD698" s="30"/>
      <c r="AE698" s="29"/>
      <c r="AF698" s="29"/>
      <c r="AG698" s="29"/>
    </row>
    <row r="699" spans="1:33" x14ac:dyDescent="0.4">
      <c r="A699" s="108" t="s">
        <v>1735</v>
      </c>
      <c r="B699" s="49">
        <v>9</v>
      </c>
      <c r="C699" s="17">
        <v>697</v>
      </c>
      <c r="D699" s="18" t="s">
        <v>2440</v>
      </c>
      <c r="E699" s="49">
        <v>792541</v>
      </c>
      <c r="F699" s="29"/>
      <c r="G699" s="142" t="s">
        <v>999</v>
      </c>
      <c r="H699" s="114" t="s">
        <v>2421</v>
      </c>
      <c r="I699" s="114" t="s">
        <v>2421</v>
      </c>
      <c r="J699" s="66" t="s">
        <v>2422</v>
      </c>
      <c r="K699" s="66" t="s">
        <v>2423</v>
      </c>
      <c r="L699" s="29" t="s">
        <v>2441</v>
      </c>
      <c r="M699" s="29" t="s">
        <v>2118</v>
      </c>
      <c r="N699" s="29" t="s">
        <v>2073</v>
      </c>
      <c r="O699" s="109"/>
      <c r="P699" s="29" t="s">
        <v>2119</v>
      </c>
      <c r="Q699" s="24" t="s">
        <v>17</v>
      </c>
      <c r="R699" s="66" t="s">
        <v>1744</v>
      </c>
      <c r="S699" s="29" t="s">
        <v>1760</v>
      </c>
      <c r="T699" s="49" t="s">
        <v>2425</v>
      </c>
      <c r="U699" s="107" t="s">
        <v>2426</v>
      </c>
      <c r="V699" s="31"/>
      <c r="W699" s="66" t="s">
        <v>1747</v>
      </c>
      <c r="X699" s="66"/>
      <c r="Y699" s="16">
        <v>1</v>
      </c>
      <c r="Z699" s="31"/>
      <c r="AA699" s="31"/>
      <c r="AB699" s="18">
        <v>2018</v>
      </c>
      <c r="AC699" s="16" t="s">
        <v>51</v>
      </c>
      <c r="AD699" s="30"/>
      <c r="AE699" s="29"/>
      <c r="AF699" s="29"/>
      <c r="AG699" s="29"/>
    </row>
    <row r="700" spans="1:33" x14ac:dyDescent="0.4">
      <c r="A700" s="108" t="s">
        <v>1735</v>
      </c>
      <c r="B700" s="49">
        <v>1</v>
      </c>
      <c r="C700" s="18">
        <v>698</v>
      </c>
      <c r="D700" s="77"/>
      <c r="E700" s="49">
        <v>792534</v>
      </c>
      <c r="F700" s="29"/>
      <c r="G700" s="142" t="s">
        <v>36</v>
      </c>
      <c r="H700" s="114" t="s">
        <v>2442</v>
      </c>
      <c r="I700" s="114" t="s">
        <v>2442</v>
      </c>
      <c r="J700" s="66" t="s">
        <v>2443</v>
      </c>
      <c r="K700" s="66" t="s">
        <v>2444</v>
      </c>
      <c r="L700" s="29" t="s">
        <v>2445</v>
      </c>
      <c r="M700" s="29" t="s">
        <v>2118</v>
      </c>
      <c r="N700" s="29" t="s">
        <v>2073</v>
      </c>
      <c r="O700" s="109"/>
      <c r="P700" s="29" t="s">
        <v>2119</v>
      </c>
      <c r="Q700" s="24" t="s">
        <v>116</v>
      </c>
      <c r="R700" s="66" t="s">
        <v>1744</v>
      </c>
      <c r="S700" s="29" t="s">
        <v>1760</v>
      </c>
      <c r="T700" s="49" t="s">
        <v>2446</v>
      </c>
      <c r="U700" s="107" t="s">
        <v>2447</v>
      </c>
      <c r="V700" s="31"/>
      <c r="W700" s="66" t="s">
        <v>1747</v>
      </c>
      <c r="X700" s="66"/>
      <c r="Y700" s="16">
        <v>1</v>
      </c>
      <c r="Z700" s="31"/>
      <c r="AA700" s="31"/>
      <c r="AB700" s="18">
        <v>2018</v>
      </c>
      <c r="AC700" s="16" t="s">
        <v>51</v>
      </c>
      <c r="AD700" s="30"/>
      <c r="AE700" s="29"/>
      <c r="AF700" s="29"/>
      <c r="AG700" s="29"/>
    </row>
    <row r="701" spans="1:33" x14ac:dyDescent="0.4">
      <c r="A701" s="108" t="s">
        <v>1735</v>
      </c>
      <c r="B701" s="49">
        <v>2</v>
      </c>
      <c r="C701" s="18">
        <v>699</v>
      </c>
      <c r="D701" s="17"/>
      <c r="E701" s="49">
        <v>792534</v>
      </c>
      <c r="F701" s="29"/>
      <c r="G701" s="142" t="s">
        <v>36</v>
      </c>
      <c r="H701" s="114" t="s">
        <v>2442</v>
      </c>
      <c r="I701" s="114" t="s">
        <v>2442</v>
      </c>
      <c r="J701" s="66" t="s">
        <v>2443</v>
      </c>
      <c r="K701" s="66" t="s">
        <v>2444</v>
      </c>
      <c r="L701" s="29" t="s">
        <v>2448</v>
      </c>
      <c r="M701" s="29" t="s">
        <v>2118</v>
      </c>
      <c r="N701" s="29" t="s">
        <v>2073</v>
      </c>
      <c r="O701" s="109"/>
      <c r="P701" s="29" t="s">
        <v>2119</v>
      </c>
      <c r="Q701" s="24" t="s">
        <v>116</v>
      </c>
      <c r="R701" s="66" t="s">
        <v>1744</v>
      </c>
      <c r="S701" s="29" t="s">
        <v>1760</v>
      </c>
      <c r="T701" s="49" t="s">
        <v>2446</v>
      </c>
      <c r="U701" s="107" t="s">
        <v>2447</v>
      </c>
      <c r="V701" s="31"/>
      <c r="W701" s="66" t="s">
        <v>1747</v>
      </c>
      <c r="X701" s="66"/>
      <c r="Y701" s="16">
        <v>1</v>
      </c>
      <c r="Z701" s="31"/>
      <c r="AA701" s="31"/>
      <c r="AB701" s="18">
        <v>2018</v>
      </c>
      <c r="AC701" s="16" t="s">
        <v>51</v>
      </c>
      <c r="AD701" s="30"/>
      <c r="AE701" s="29"/>
      <c r="AF701" s="29"/>
      <c r="AG701" s="29"/>
    </row>
    <row r="702" spans="1:33" x14ac:dyDescent="0.4">
      <c r="A702" s="108" t="s">
        <v>1735</v>
      </c>
      <c r="B702" s="49">
        <v>3</v>
      </c>
      <c r="C702" s="18">
        <v>700</v>
      </c>
      <c r="D702" s="17"/>
      <c r="E702" s="49">
        <v>792534</v>
      </c>
      <c r="F702" s="29"/>
      <c r="G702" s="142" t="s">
        <v>36</v>
      </c>
      <c r="H702" s="114" t="s">
        <v>2442</v>
      </c>
      <c r="I702" s="114" t="s">
        <v>2442</v>
      </c>
      <c r="J702" s="66" t="s">
        <v>2443</v>
      </c>
      <c r="K702" s="66" t="s">
        <v>2444</v>
      </c>
      <c r="L702" s="29" t="s">
        <v>2449</v>
      </c>
      <c r="M702" s="29" t="s">
        <v>2118</v>
      </c>
      <c r="N702" s="29" t="s">
        <v>2073</v>
      </c>
      <c r="O702" s="109"/>
      <c r="P702" s="29" t="s">
        <v>2119</v>
      </c>
      <c r="Q702" s="24" t="s">
        <v>116</v>
      </c>
      <c r="R702" s="66" t="s">
        <v>1744</v>
      </c>
      <c r="S702" s="29" t="s">
        <v>1760</v>
      </c>
      <c r="T702" s="49" t="s">
        <v>2446</v>
      </c>
      <c r="U702" s="107" t="s">
        <v>2447</v>
      </c>
      <c r="V702" s="31"/>
      <c r="W702" s="66" t="s">
        <v>1747</v>
      </c>
      <c r="X702" s="66"/>
      <c r="Y702" s="16">
        <v>1</v>
      </c>
      <c r="Z702" s="31"/>
      <c r="AA702" s="31"/>
      <c r="AB702" s="18">
        <v>2018</v>
      </c>
      <c r="AC702" s="16" t="s">
        <v>51</v>
      </c>
      <c r="AD702" s="30"/>
      <c r="AE702" s="29"/>
      <c r="AF702" s="29"/>
      <c r="AG702" s="29"/>
    </row>
    <row r="703" spans="1:33" x14ac:dyDescent="0.4">
      <c r="A703" s="108" t="s">
        <v>1735</v>
      </c>
      <c r="B703" s="49">
        <v>4</v>
      </c>
      <c r="C703" s="18">
        <v>701</v>
      </c>
      <c r="D703" s="17"/>
      <c r="E703" s="49">
        <v>792534</v>
      </c>
      <c r="F703" s="29"/>
      <c r="G703" s="142" t="s">
        <v>36</v>
      </c>
      <c r="H703" s="114" t="s">
        <v>2442</v>
      </c>
      <c r="I703" s="114" t="s">
        <v>2442</v>
      </c>
      <c r="J703" s="66" t="s">
        <v>2443</v>
      </c>
      <c r="K703" s="66" t="s">
        <v>2444</v>
      </c>
      <c r="L703" s="29" t="s">
        <v>2450</v>
      </c>
      <c r="M703" s="29" t="s">
        <v>2118</v>
      </c>
      <c r="N703" s="29" t="s">
        <v>2073</v>
      </c>
      <c r="O703" s="109"/>
      <c r="P703" s="29" t="s">
        <v>2119</v>
      </c>
      <c r="Q703" s="24" t="s">
        <v>116</v>
      </c>
      <c r="R703" s="66" t="s">
        <v>1744</v>
      </c>
      <c r="S703" s="29" t="s">
        <v>1760</v>
      </c>
      <c r="T703" s="49" t="s">
        <v>2446</v>
      </c>
      <c r="U703" s="107" t="s">
        <v>2447</v>
      </c>
      <c r="V703" s="31"/>
      <c r="W703" s="66" t="s">
        <v>1747</v>
      </c>
      <c r="X703" s="66"/>
      <c r="Y703" s="16">
        <v>1</v>
      </c>
      <c r="Z703" s="31"/>
      <c r="AA703" s="31"/>
      <c r="AB703" s="18">
        <v>2018</v>
      </c>
      <c r="AC703" s="16" t="s">
        <v>51</v>
      </c>
      <c r="AD703" s="30"/>
      <c r="AE703" s="29"/>
      <c r="AF703" s="29"/>
      <c r="AG703" s="29"/>
    </row>
    <row r="704" spans="1:33" x14ac:dyDescent="0.4">
      <c r="A704" s="108" t="s">
        <v>1735</v>
      </c>
      <c r="B704" s="49">
        <v>5</v>
      </c>
      <c r="C704" s="18">
        <v>702</v>
      </c>
      <c r="D704" s="73"/>
      <c r="E704" s="49">
        <v>792534</v>
      </c>
      <c r="F704" s="29"/>
      <c r="G704" s="142" t="s">
        <v>36</v>
      </c>
      <c r="H704" s="114" t="s">
        <v>2442</v>
      </c>
      <c r="I704" s="114" t="s">
        <v>2442</v>
      </c>
      <c r="J704" s="66" t="s">
        <v>2443</v>
      </c>
      <c r="K704" s="66" t="s">
        <v>2444</v>
      </c>
      <c r="L704" s="29" t="s">
        <v>2451</v>
      </c>
      <c r="M704" s="29" t="s">
        <v>2118</v>
      </c>
      <c r="N704" s="29" t="s">
        <v>2073</v>
      </c>
      <c r="O704" s="109"/>
      <c r="P704" s="29" t="s">
        <v>2119</v>
      </c>
      <c r="Q704" s="24" t="s">
        <v>116</v>
      </c>
      <c r="R704" s="66" t="s">
        <v>1744</v>
      </c>
      <c r="S704" s="29" t="s">
        <v>1760</v>
      </c>
      <c r="T704" s="49" t="s">
        <v>2446</v>
      </c>
      <c r="U704" s="107" t="s">
        <v>2447</v>
      </c>
      <c r="V704" s="31"/>
      <c r="W704" s="66" t="s">
        <v>1747</v>
      </c>
      <c r="X704" s="66"/>
      <c r="Y704" s="16">
        <v>1</v>
      </c>
      <c r="Z704" s="31"/>
      <c r="AA704" s="31"/>
      <c r="AB704" s="18">
        <v>2018</v>
      </c>
      <c r="AC704" s="16" t="s">
        <v>51</v>
      </c>
      <c r="AD704" s="30"/>
      <c r="AE704" s="29"/>
      <c r="AF704" s="29"/>
      <c r="AG704" s="29"/>
    </row>
    <row r="705" spans="1:33" x14ac:dyDescent="0.4">
      <c r="A705" s="108" t="s">
        <v>2452</v>
      </c>
      <c r="B705" s="74">
        <v>1</v>
      </c>
      <c r="C705" s="18">
        <v>703</v>
      </c>
      <c r="D705" s="144"/>
      <c r="E705" s="145"/>
      <c r="F705" s="146"/>
      <c r="G705" s="147" t="s">
        <v>36</v>
      </c>
      <c r="H705" s="148" t="s">
        <v>2453</v>
      </c>
      <c r="I705" s="149" t="s">
        <v>2454</v>
      </c>
      <c r="J705" s="66" t="s">
        <v>2455</v>
      </c>
      <c r="K705" s="66" t="s">
        <v>2456</v>
      </c>
      <c r="L705" s="96" t="s">
        <v>2457</v>
      </c>
      <c r="M705" s="96" t="s">
        <v>41</v>
      </c>
      <c r="N705" s="150" t="s">
        <v>2458</v>
      </c>
      <c r="O705" s="150" t="s">
        <v>2459</v>
      </c>
      <c r="P705" s="96" t="s">
        <v>2460</v>
      </c>
      <c r="Q705" s="24" t="s">
        <v>116</v>
      </c>
      <c r="R705" s="151" t="s">
        <v>2452</v>
      </c>
      <c r="S705" s="29" t="s">
        <v>1760</v>
      </c>
      <c r="T705" s="49" t="s">
        <v>2461</v>
      </c>
      <c r="U705" s="107" t="s">
        <v>2462</v>
      </c>
      <c r="V705" s="31"/>
      <c r="W705" s="44" t="s">
        <v>2463</v>
      </c>
      <c r="X705" s="44"/>
      <c r="Y705" s="22">
        <v>1</v>
      </c>
      <c r="Z705" s="17" t="s">
        <v>49</v>
      </c>
      <c r="AA705" s="17" t="s">
        <v>2464</v>
      </c>
      <c r="AB705" s="18">
        <v>2018</v>
      </c>
      <c r="AC705" s="22" t="s">
        <v>51</v>
      </c>
      <c r="AD705" s="152"/>
      <c r="AE705" s="29"/>
      <c r="AF705" s="29"/>
      <c r="AG705" s="29"/>
    </row>
    <row r="706" spans="1:33" x14ac:dyDescent="0.4">
      <c r="A706" s="153" t="s">
        <v>2452</v>
      </c>
      <c r="B706" s="145">
        <v>2</v>
      </c>
      <c r="C706" s="18">
        <v>704</v>
      </c>
      <c r="D706" s="144"/>
      <c r="E706" s="145"/>
      <c r="F706" s="146"/>
      <c r="G706" s="154" t="s">
        <v>36</v>
      </c>
      <c r="H706" s="148" t="s">
        <v>2453</v>
      </c>
      <c r="I706" s="149" t="s">
        <v>2454</v>
      </c>
      <c r="J706" s="66" t="s">
        <v>2455</v>
      </c>
      <c r="K706" s="66" t="s">
        <v>2456</v>
      </c>
      <c r="L706" s="146" t="s">
        <v>2465</v>
      </c>
      <c r="M706" s="146" t="s">
        <v>41</v>
      </c>
      <c r="N706" s="150" t="s">
        <v>2458</v>
      </c>
      <c r="O706" s="150" t="s">
        <v>2466</v>
      </c>
      <c r="P706" s="146" t="s">
        <v>2460</v>
      </c>
      <c r="Q706" s="24" t="s">
        <v>116</v>
      </c>
      <c r="R706" s="155" t="s">
        <v>2452</v>
      </c>
      <c r="S706" s="29" t="s">
        <v>1760</v>
      </c>
      <c r="T706" s="49" t="s">
        <v>2461</v>
      </c>
      <c r="U706" s="107" t="s">
        <v>2462</v>
      </c>
      <c r="V706" s="31"/>
      <c r="W706" s="44" t="s">
        <v>2463</v>
      </c>
      <c r="X706" s="44"/>
      <c r="Y706" s="22">
        <v>1</v>
      </c>
      <c r="Z706" s="17" t="s">
        <v>49</v>
      </c>
      <c r="AA706" s="17" t="s">
        <v>2464</v>
      </c>
      <c r="AB706" s="18">
        <v>2018</v>
      </c>
      <c r="AC706" s="22" t="s">
        <v>51</v>
      </c>
      <c r="AD706" s="156"/>
      <c r="AE706" s="29"/>
      <c r="AF706" s="29"/>
      <c r="AG706" s="29"/>
    </row>
    <row r="707" spans="1:33" x14ac:dyDescent="0.4">
      <c r="A707" s="153" t="s">
        <v>2452</v>
      </c>
      <c r="B707" s="145">
        <v>3</v>
      </c>
      <c r="C707" s="18">
        <v>705</v>
      </c>
      <c r="D707" s="144"/>
      <c r="E707" s="145"/>
      <c r="F707" s="146"/>
      <c r="G707" s="154" t="s">
        <v>36</v>
      </c>
      <c r="H707" s="148" t="s">
        <v>2453</v>
      </c>
      <c r="I707" s="149" t="s">
        <v>2454</v>
      </c>
      <c r="J707" s="66" t="s">
        <v>2455</v>
      </c>
      <c r="K707" s="66" t="s">
        <v>2456</v>
      </c>
      <c r="L707" s="146" t="s">
        <v>2467</v>
      </c>
      <c r="M707" s="146" t="s">
        <v>41</v>
      </c>
      <c r="N707" s="150" t="s">
        <v>2458</v>
      </c>
      <c r="O707" s="150" t="s">
        <v>2468</v>
      </c>
      <c r="P707" s="146" t="s">
        <v>2460</v>
      </c>
      <c r="Q707" s="24" t="s">
        <v>116</v>
      </c>
      <c r="R707" s="155" t="s">
        <v>2452</v>
      </c>
      <c r="S707" s="29" t="s">
        <v>1760</v>
      </c>
      <c r="T707" s="49" t="s">
        <v>2461</v>
      </c>
      <c r="U707" s="107" t="s">
        <v>2462</v>
      </c>
      <c r="V707" s="31"/>
      <c r="W707" s="44" t="s">
        <v>2463</v>
      </c>
      <c r="X707" s="44"/>
      <c r="Y707" s="22">
        <v>1</v>
      </c>
      <c r="Z707" s="17" t="s">
        <v>49</v>
      </c>
      <c r="AA707" s="17" t="s">
        <v>2464</v>
      </c>
      <c r="AB707" s="18">
        <v>2018</v>
      </c>
      <c r="AC707" s="22" t="s">
        <v>51</v>
      </c>
      <c r="AD707" s="156"/>
      <c r="AE707" s="29"/>
      <c r="AF707" s="29"/>
      <c r="AG707" s="29"/>
    </row>
    <row r="708" spans="1:33" x14ac:dyDescent="0.4">
      <c r="A708" s="153" t="s">
        <v>2452</v>
      </c>
      <c r="B708" s="145">
        <v>4</v>
      </c>
      <c r="C708" s="18">
        <v>706</v>
      </c>
      <c r="D708" s="144"/>
      <c r="E708" s="145"/>
      <c r="F708" s="146"/>
      <c r="G708" s="154" t="s">
        <v>36</v>
      </c>
      <c r="H708" s="148" t="s">
        <v>2453</v>
      </c>
      <c r="I708" s="149" t="s">
        <v>2454</v>
      </c>
      <c r="J708" s="66" t="s">
        <v>2455</v>
      </c>
      <c r="K708" s="66" t="s">
        <v>2456</v>
      </c>
      <c r="L708" s="146" t="s">
        <v>2469</v>
      </c>
      <c r="M708" s="146" t="s">
        <v>41</v>
      </c>
      <c r="N708" s="150" t="s">
        <v>2458</v>
      </c>
      <c r="O708" s="150" t="s">
        <v>2470</v>
      </c>
      <c r="P708" s="146" t="s">
        <v>2460</v>
      </c>
      <c r="Q708" s="24" t="s">
        <v>116</v>
      </c>
      <c r="R708" s="155" t="s">
        <v>2452</v>
      </c>
      <c r="S708" s="29" t="s">
        <v>1760</v>
      </c>
      <c r="T708" s="49" t="s">
        <v>2461</v>
      </c>
      <c r="U708" s="107" t="s">
        <v>2462</v>
      </c>
      <c r="V708" s="31"/>
      <c r="W708" s="44" t="s">
        <v>2463</v>
      </c>
      <c r="X708" s="44"/>
      <c r="Y708" s="22">
        <v>1</v>
      </c>
      <c r="Z708" s="17" t="s">
        <v>49</v>
      </c>
      <c r="AA708" s="17" t="s">
        <v>2464</v>
      </c>
      <c r="AB708" s="18">
        <v>2018</v>
      </c>
      <c r="AC708" s="22" t="s">
        <v>51</v>
      </c>
      <c r="AD708" s="156"/>
      <c r="AE708" s="29"/>
      <c r="AF708" s="29" t="s">
        <v>2471</v>
      </c>
      <c r="AG708" s="29"/>
    </row>
    <row r="709" spans="1:33" x14ac:dyDescent="0.4">
      <c r="A709" s="153" t="s">
        <v>2452</v>
      </c>
      <c r="B709" s="145">
        <v>5</v>
      </c>
      <c r="C709" s="18">
        <v>707</v>
      </c>
      <c r="D709" s="144"/>
      <c r="E709" s="145"/>
      <c r="F709" s="146"/>
      <c r="G709" s="154" t="s">
        <v>36</v>
      </c>
      <c r="H709" s="148" t="s">
        <v>2453</v>
      </c>
      <c r="I709" s="149" t="s">
        <v>2454</v>
      </c>
      <c r="J709" s="66" t="s">
        <v>2455</v>
      </c>
      <c r="K709" s="66" t="s">
        <v>2456</v>
      </c>
      <c r="L709" s="146" t="s">
        <v>2472</v>
      </c>
      <c r="M709" s="146" t="s">
        <v>41</v>
      </c>
      <c r="N709" s="150" t="s">
        <v>2458</v>
      </c>
      <c r="O709" s="150" t="s">
        <v>2473</v>
      </c>
      <c r="P709" s="146" t="s">
        <v>2460</v>
      </c>
      <c r="Q709" s="24" t="s">
        <v>116</v>
      </c>
      <c r="R709" s="155" t="s">
        <v>2452</v>
      </c>
      <c r="S709" s="29" t="s">
        <v>1760</v>
      </c>
      <c r="T709" s="49" t="s">
        <v>2461</v>
      </c>
      <c r="U709" s="107" t="s">
        <v>2462</v>
      </c>
      <c r="V709" s="31"/>
      <c r="W709" s="44" t="s">
        <v>2463</v>
      </c>
      <c r="X709" s="44"/>
      <c r="Y709" s="22">
        <v>1</v>
      </c>
      <c r="Z709" s="17" t="s">
        <v>49</v>
      </c>
      <c r="AA709" s="17" t="s">
        <v>2464</v>
      </c>
      <c r="AB709" s="18">
        <v>2018</v>
      </c>
      <c r="AC709" s="22" t="s">
        <v>51</v>
      </c>
      <c r="AD709" s="156"/>
      <c r="AE709" s="29"/>
      <c r="AF709" s="29"/>
      <c r="AG709" s="29"/>
    </row>
    <row r="710" spans="1:33" x14ac:dyDescent="0.4">
      <c r="A710" s="153" t="s">
        <v>2452</v>
      </c>
      <c r="B710" s="145">
        <v>6</v>
      </c>
      <c r="C710" s="18">
        <v>708</v>
      </c>
      <c r="D710" s="144"/>
      <c r="E710" s="145"/>
      <c r="F710" s="146"/>
      <c r="G710" s="154" t="s">
        <v>36</v>
      </c>
      <c r="H710" s="148" t="s">
        <v>2453</v>
      </c>
      <c r="I710" s="149" t="s">
        <v>2454</v>
      </c>
      <c r="J710" s="66" t="s">
        <v>2455</v>
      </c>
      <c r="K710" s="66" t="s">
        <v>2456</v>
      </c>
      <c r="L710" s="146" t="s">
        <v>2474</v>
      </c>
      <c r="M710" s="146" t="s">
        <v>41</v>
      </c>
      <c r="N710" s="150" t="s">
        <v>2458</v>
      </c>
      <c r="O710" s="150" t="s">
        <v>2475</v>
      </c>
      <c r="P710" s="146" t="s">
        <v>2460</v>
      </c>
      <c r="Q710" s="24" t="s">
        <v>116</v>
      </c>
      <c r="R710" s="155" t="s">
        <v>2452</v>
      </c>
      <c r="S710" s="29" t="s">
        <v>1760</v>
      </c>
      <c r="T710" s="49" t="s">
        <v>2461</v>
      </c>
      <c r="U710" s="107" t="s">
        <v>2462</v>
      </c>
      <c r="V710" s="31"/>
      <c r="W710" s="44" t="s">
        <v>2463</v>
      </c>
      <c r="X710" s="44"/>
      <c r="Y710" s="22">
        <v>1</v>
      </c>
      <c r="Z710" s="17" t="s">
        <v>49</v>
      </c>
      <c r="AA710" s="17" t="s">
        <v>2464</v>
      </c>
      <c r="AB710" s="18">
        <v>2018</v>
      </c>
      <c r="AC710" s="22" t="s">
        <v>51</v>
      </c>
      <c r="AD710" s="156"/>
      <c r="AE710" s="29"/>
      <c r="AF710" s="29"/>
      <c r="AG710" s="29"/>
    </row>
    <row r="711" spans="1:33" x14ac:dyDescent="0.4">
      <c r="A711" s="153" t="s">
        <v>2452</v>
      </c>
      <c r="B711" s="145">
        <v>7</v>
      </c>
      <c r="C711" s="18">
        <v>709</v>
      </c>
      <c r="D711" s="144"/>
      <c r="E711" s="145"/>
      <c r="F711" s="146"/>
      <c r="G711" s="154" t="s">
        <v>36</v>
      </c>
      <c r="H711" s="148" t="s">
        <v>2453</v>
      </c>
      <c r="I711" s="149" t="s">
        <v>2454</v>
      </c>
      <c r="J711" s="66" t="s">
        <v>2455</v>
      </c>
      <c r="K711" s="66" t="s">
        <v>2456</v>
      </c>
      <c r="L711" s="146" t="s">
        <v>2476</v>
      </c>
      <c r="M711" s="146" t="s">
        <v>41</v>
      </c>
      <c r="N711" s="150" t="s">
        <v>2458</v>
      </c>
      <c r="O711" s="150" t="s">
        <v>2477</v>
      </c>
      <c r="P711" s="146" t="s">
        <v>2460</v>
      </c>
      <c r="Q711" s="24" t="s">
        <v>116</v>
      </c>
      <c r="R711" s="155" t="s">
        <v>2452</v>
      </c>
      <c r="S711" s="29" t="s">
        <v>1760</v>
      </c>
      <c r="T711" s="49" t="s">
        <v>2461</v>
      </c>
      <c r="U711" s="107" t="s">
        <v>2462</v>
      </c>
      <c r="V711" s="31"/>
      <c r="W711" s="44" t="s">
        <v>2463</v>
      </c>
      <c r="X711" s="44"/>
      <c r="Y711" s="22">
        <v>1</v>
      </c>
      <c r="Z711" s="17" t="s">
        <v>49</v>
      </c>
      <c r="AA711" s="17" t="s">
        <v>2464</v>
      </c>
      <c r="AB711" s="18">
        <v>2018</v>
      </c>
      <c r="AC711" s="22" t="s">
        <v>51</v>
      </c>
      <c r="AD711" s="156"/>
      <c r="AE711" s="29"/>
      <c r="AF711" s="29"/>
      <c r="AG711" s="29"/>
    </row>
    <row r="712" spans="1:33" x14ac:dyDescent="0.4">
      <c r="A712" s="153" t="s">
        <v>2452</v>
      </c>
      <c r="B712" s="145">
        <v>8</v>
      </c>
      <c r="C712" s="18">
        <v>710</v>
      </c>
      <c r="D712" s="144"/>
      <c r="E712" s="145"/>
      <c r="F712" s="146"/>
      <c r="G712" s="154" t="s">
        <v>36</v>
      </c>
      <c r="H712" s="148" t="s">
        <v>2453</v>
      </c>
      <c r="I712" s="149" t="s">
        <v>2454</v>
      </c>
      <c r="J712" s="66" t="s">
        <v>2455</v>
      </c>
      <c r="K712" s="66" t="s">
        <v>2456</v>
      </c>
      <c r="L712" s="146" t="s">
        <v>2478</v>
      </c>
      <c r="M712" s="146" t="s">
        <v>41</v>
      </c>
      <c r="N712" s="150" t="s">
        <v>2479</v>
      </c>
      <c r="O712" s="150" t="s">
        <v>2480</v>
      </c>
      <c r="P712" s="146" t="s">
        <v>2460</v>
      </c>
      <c r="Q712" s="24" t="s">
        <v>116</v>
      </c>
      <c r="R712" s="155" t="s">
        <v>2452</v>
      </c>
      <c r="S712" s="29" t="s">
        <v>1760</v>
      </c>
      <c r="T712" s="49" t="s">
        <v>2461</v>
      </c>
      <c r="U712" s="107" t="s">
        <v>2462</v>
      </c>
      <c r="V712" s="31"/>
      <c r="W712" s="44" t="s">
        <v>2463</v>
      </c>
      <c r="X712" s="44"/>
      <c r="Y712" s="22">
        <v>1</v>
      </c>
      <c r="Z712" s="17" t="s">
        <v>49</v>
      </c>
      <c r="AA712" s="17" t="s">
        <v>2464</v>
      </c>
      <c r="AB712" s="18">
        <v>2018</v>
      </c>
      <c r="AC712" s="22" t="s">
        <v>51</v>
      </c>
      <c r="AD712" s="156"/>
      <c r="AE712" s="29"/>
      <c r="AF712" s="29"/>
      <c r="AG712" s="29"/>
    </row>
    <row r="713" spans="1:33" x14ac:dyDescent="0.4">
      <c r="A713" s="153" t="s">
        <v>2452</v>
      </c>
      <c r="B713" s="145">
        <v>9</v>
      </c>
      <c r="C713" s="18">
        <v>711</v>
      </c>
      <c r="D713" s="144"/>
      <c r="E713" s="145"/>
      <c r="F713" s="146"/>
      <c r="G713" s="154" t="s">
        <v>36</v>
      </c>
      <c r="H713" s="148" t="s">
        <v>2453</v>
      </c>
      <c r="I713" s="149" t="s">
        <v>2454</v>
      </c>
      <c r="J713" s="66" t="s">
        <v>2455</v>
      </c>
      <c r="K713" s="66" t="s">
        <v>2456</v>
      </c>
      <c r="L713" s="146" t="s">
        <v>2481</v>
      </c>
      <c r="M713" s="146" t="s">
        <v>41</v>
      </c>
      <c r="N713" s="150" t="s">
        <v>2479</v>
      </c>
      <c r="O713" s="150" t="s">
        <v>2482</v>
      </c>
      <c r="P713" s="146" t="s">
        <v>2460</v>
      </c>
      <c r="Q713" s="24" t="s">
        <v>116</v>
      </c>
      <c r="R713" s="155" t="s">
        <v>2452</v>
      </c>
      <c r="S713" s="29" t="s">
        <v>1760</v>
      </c>
      <c r="T713" s="49" t="s">
        <v>2461</v>
      </c>
      <c r="U713" s="107" t="s">
        <v>2462</v>
      </c>
      <c r="V713" s="31"/>
      <c r="W713" s="44" t="s">
        <v>2463</v>
      </c>
      <c r="X713" s="44"/>
      <c r="Y713" s="22">
        <v>1</v>
      </c>
      <c r="Z713" s="17" t="s">
        <v>49</v>
      </c>
      <c r="AA713" s="17" t="s">
        <v>2464</v>
      </c>
      <c r="AB713" s="18">
        <v>2018</v>
      </c>
      <c r="AC713" s="22" t="s">
        <v>51</v>
      </c>
      <c r="AD713" s="156"/>
      <c r="AE713" s="29"/>
      <c r="AF713" s="29"/>
      <c r="AG713" s="29"/>
    </row>
    <row r="714" spans="1:33" x14ac:dyDescent="0.4">
      <c r="A714" s="153" t="s">
        <v>2452</v>
      </c>
      <c r="B714" s="145">
        <v>10</v>
      </c>
      <c r="C714" s="18">
        <v>712</v>
      </c>
      <c r="D714" s="144"/>
      <c r="E714" s="145"/>
      <c r="F714" s="146"/>
      <c r="G714" s="154" t="s">
        <v>36</v>
      </c>
      <c r="H714" s="148" t="s">
        <v>2453</v>
      </c>
      <c r="I714" s="149" t="s">
        <v>2454</v>
      </c>
      <c r="J714" s="66" t="s">
        <v>2455</v>
      </c>
      <c r="K714" s="66" t="s">
        <v>2456</v>
      </c>
      <c r="L714" s="146" t="s">
        <v>2483</v>
      </c>
      <c r="M714" s="146" t="s">
        <v>41</v>
      </c>
      <c r="N714" s="150" t="s">
        <v>2479</v>
      </c>
      <c r="O714" s="150" t="s">
        <v>2484</v>
      </c>
      <c r="P714" s="146" t="s">
        <v>2460</v>
      </c>
      <c r="Q714" s="24" t="s">
        <v>116</v>
      </c>
      <c r="R714" s="155" t="s">
        <v>2452</v>
      </c>
      <c r="S714" s="29" t="s">
        <v>1760</v>
      </c>
      <c r="T714" s="49" t="s">
        <v>2461</v>
      </c>
      <c r="U714" s="107" t="s">
        <v>2462</v>
      </c>
      <c r="V714" s="31"/>
      <c r="W714" s="44" t="s">
        <v>2463</v>
      </c>
      <c r="X714" s="44"/>
      <c r="Y714" s="22">
        <v>1</v>
      </c>
      <c r="Z714" s="17" t="s">
        <v>49</v>
      </c>
      <c r="AA714" s="17" t="s">
        <v>2464</v>
      </c>
      <c r="AB714" s="18">
        <v>2018</v>
      </c>
      <c r="AC714" s="22" t="s">
        <v>51</v>
      </c>
      <c r="AD714" s="156"/>
      <c r="AE714" s="29"/>
      <c r="AF714" s="29"/>
      <c r="AG714" s="29"/>
    </row>
    <row r="715" spans="1:33" x14ac:dyDescent="0.4">
      <c r="A715" s="153" t="s">
        <v>2452</v>
      </c>
      <c r="B715" s="145">
        <v>11</v>
      </c>
      <c r="C715" s="18">
        <v>713</v>
      </c>
      <c r="D715" s="102"/>
      <c r="E715" s="17"/>
      <c r="F715" s="157"/>
      <c r="G715" s="154" t="s">
        <v>36</v>
      </c>
      <c r="H715" s="148" t="s">
        <v>2453</v>
      </c>
      <c r="I715" s="149" t="s">
        <v>2454</v>
      </c>
      <c r="J715" s="66" t="s">
        <v>2455</v>
      </c>
      <c r="K715" s="66" t="s">
        <v>2456</v>
      </c>
      <c r="L715" s="146" t="s">
        <v>2485</v>
      </c>
      <c r="M715" s="146" t="s">
        <v>41</v>
      </c>
      <c r="N715" s="150" t="s">
        <v>2479</v>
      </c>
      <c r="O715" s="150" t="s">
        <v>2486</v>
      </c>
      <c r="P715" s="146" t="s">
        <v>2460</v>
      </c>
      <c r="Q715" s="24" t="s">
        <v>116</v>
      </c>
      <c r="R715" s="155" t="s">
        <v>2452</v>
      </c>
      <c r="S715" s="29" t="s">
        <v>1760</v>
      </c>
      <c r="T715" s="49" t="s">
        <v>2461</v>
      </c>
      <c r="U715" s="107" t="s">
        <v>2462</v>
      </c>
      <c r="V715" s="31"/>
      <c r="W715" s="44" t="s">
        <v>2463</v>
      </c>
      <c r="X715" s="44"/>
      <c r="Y715" s="22">
        <v>1</v>
      </c>
      <c r="Z715" s="17" t="s">
        <v>49</v>
      </c>
      <c r="AA715" s="17" t="s">
        <v>2464</v>
      </c>
      <c r="AB715" s="18">
        <v>2018</v>
      </c>
      <c r="AC715" s="22" t="s">
        <v>51</v>
      </c>
      <c r="AD715" s="156"/>
      <c r="AE715" s="18"/>
      <c r="AF715" s="18"/>
      <c r="AG715" s="18"/>
    </row>
    <row r="716" spans="1:33" x14ac:dyDescent="0.4">
      <c r="A716" s="108" t="s">
        <v>2487</v>
      </c>
      <c r="B716" s="17">
        <v>1</v>
      </c>
      <c r="C716" s="17">
        <v>714</v>
      </c>
      <c r="D716" s="18" t="s">
        <v>2488</v>
      </c>
      <c r="E716" s="102">
        <v>44100</v>
      </c>
      <c r="F716" s="102"/>
      <c r="G716" s="158" t="s">
        <v>716</v>
      </c>
      <c r="H716" s="159" t="s">
        <v>2489</v>
      </c>
      <c r="I716" s="160" t="s">
        <v>2490</v>
      </c>
      <c r="J716" s="31" t="s">
        <v>2491</v>
      </c>
      <c r="K716" s="31" t="s">
        <v>2492</v>
      </c>
      <c r="L716" s="146" t="s">
        <v>2493</v>
      </c>
      <c r="M716" s="146" t="s">
        <v>41</v>
      </c>
      <c r="N716" s="150" t="s">
        <v>2494</v>
      </c>
      <c r="O716" s="150" t="s">
        <v>2495</v>
      </c>
      <c r="P716" s="146" t="s">
        <v>43</v>
      </c>
      <c r="Q716" s="24" t="s">
        <v>17</v>
      </c>
      <c r="R716" s="155" t="s">
        <v>2496</v>
      </c>
      <c r="S716" s="29" t="s">
        <v>45</v>
      </c>
      <c r="T716" s="161" t="s">
        <v>2497</v>
      </c>
      <c r="U716" s="107" t="s">
        <v>2498</v>
      </c>
      <c r="V716" s="31"/>
      <c r="W716" s="44" t="s">
        <v>2463</v>
      </c>
      <c r="X716" s="49">
        <v>1</v>
      </c>
      <c r="Y716" s="17">
        <v>1</v>
      </c>
      <c r="Z716" s="18" t="s">
        <v>49</v>
      </c>
      <c r="AA716" s="18" t="s">
        <v>2499</v>
      </c>
      <c r="AB716" s="18">
        <v>2024</v>
      </c>
      <c r="AC716" s="22" t="s">
        <v>51</v>
      </c>
      <c r="AD716" s="156"/>
      <c r="AE716" s="18"/>
      <c r="AF716" s="162" t="s">
        <v>156</v>
      </c>
      <c r="AG716" s="162" t="s">
        <v>2500</v>
      </c>
    </row>
    <row r="717" spans="1:33" x14ac:dyDescent="0.4">
      <c r="A717" s="108" t="s">
        <v>2487</v>
      </c>
      <c r="B717" s="17">
        <v>1</v>
      </c>
      <c r="C717" s="17">
        <v>715</v>
      </c>
      <c r="D717" s="18" t="s">
        <v>2501</v>
      </c>
      <c r="E717" s="102">
        <v>44100</v>
      </c>
      <c r="F717" s="77"/>
      <c r="G717" s="158" t="s">
        <v>716</v>
      </c>
      <c r="H717" s="159" t="s">
        <v>2489</v>
      </c>
      <c r="I717" s="160" t="s">
        <v>2490</v>
      </c>
      <c r="J717" s="31" t="s">
        <v>2491</v>
      </c>
      <c r="K717" s="31" t="s">
        <v>2492</v>
      </c>
      <c r="L717" s="146" t="s">
        <v>2502</v>
      </c>
      <c r="M717" s="146" t="s">
        <v>41</v>
      </c>
      <c r="N717" s="150" t="s">
        <v>2503</v>
      </c>
      <c r="O717" s="150" t="s">
        <v>2504</v>
      </c>
      <c r="P717" s="146" t="s">
        <v>43</v>
      </c>
      <c r="Q717" s="24" t="s">
        <v>17</v>
      </c>
      <c r="R717" s="155" t="s">
        <v>2496</v>
      </c>
      <c r="S717" s="29" t="s">
        <v>68</v>
      </c>
      <c r="T717" s="161" t="s">
        <v>2497</v>
      </c>
      <c r="U717" s="107" t="s">
        <v>2498</v>
      </c>
      <c r="V717" s="31"/>
      <c r="W717" s="44" t="s">
        <v>2463</v>
      </c>
      <c r="X717" s="49">
        <v>1</v>
      </c>
      <c r="Y717" s="17">
        <v>1</v>
      </c>
      <c r="Z717" s="18" t="s">
        <v>49</v>
      </c>
      <c r="AA717" s="18" t="s">
        <v>2499</v>
      </c>
      <c r="AB717" s="18">
        <v>2024</v>
      </c>
      <c r="AC717" s="22" t="s">
        <v>51</v>
      </c>
      <c r="AD717" s="156"/>
      <c r="AE717" s="18"/>
      <c r="AF717" s="163"/>
      <c r="AG717" s="163"/>
    </row>
    <row r="718" spans="1:33" x14ac:dyDescent="0.4">
      <c r="A718" s="108" t="s">
        <v>2487</v>
      </c>
      <c r="B718" s="17">
        <v>1</v>
      </c>
      <c r="C718" s="17">
        <v>716</v>
      </c>
      <c r="D718" s="18" t="s">
        <v>2505</v>
      </c>
      <c r="E718" s="17">
        <v>48090</v>
      </c>
      <c r="F718" s="18"/>
      <c r="G718" s="158" t="s">
        <v>716</v>
      </c>
      <c r="H718" s="159" t="s">
        <v>2489</v>
      </c>
      <c r="I718" s="160" t="s">
        <v>2490</v>
      </c>
      <c r="J718" s="31" t="s">
        <v>2506</v>
      </c>
      <c r="K718" s="31" t="s">
        <v>2507</v>
      </c>
      <c r="L718" s="146" t="s">
        <v>2508</v>
      </c>
      <c r="M718" s="146" t="s">
        <v>41</v>
      </c>
      <c r="N718" s="150" t="s">
        <v>2509</v>
      </c>
      <c r="O718" s="150" t="s">
        <v>2510</v>
      </c>
      <c r="P718" s="146" t="s">
        <v>43</v>
      </c>
      <c r="Q718" s="24" t="s">
        <v>17</v>
      </c>
      <c r="R718" s="155" t="s">
        <v>2496</v>
      </c>
      <c r="S718" s="29" t="s">
        <v>45</v>
      </c>
      <c r="T718" s="161" t="s">
        <v>2511</v>
      </c>
      <c r="U718" s="107" t="s">
        <v>2512</v>
      </c>
      <c r="V718" s="31"/>
      <c r="W718" s="44" t="s">
        <v>2463</v>
      </c>
      <c r="X718" s="49">
        <v>1</v>
      </c>
      <c r="Y718" s="17">
        <v>1</v>
      </c>
      <c r="Z718" s="18" t="s">
        <v>49</v>
      </c>
      <c r="AA718" s="18" t="s">
        <v>50</v>
      </c>
      <c r="AB718" s="18">
        <v>2025</v>
      </c>
      <c r="AC718" s="22" t="s">
        <v>51</v>
      </c>
      <c r="AD718" s="156"/>
      <c r="AE718" s="18"/>
      <c r="AF718" s="18" t="s">
        <v>52</v>
      </c>
      <c r="AG718" s="18" t="s">
        <v>53</v>
      </c>
    </row>
    <row r="719" spans="1:33" x14ac:dyDescent="0.4">
      <c r="A719" s="108" t="s">
        <v>2487</v>
      </c>
      <c r="B719" s="17">
        <v>1</v>
      </c>
      <c r="C719" s="17">
        <v>716</v>
      </c>
      <c r="D719" s="77"/>
      <c r="E719" s="17">
        <v>48090</v>
      </c>
      <c r="F719" s="31"/>
      <c r="G719" s="158" t="s">
        <v>716</v>
      </c>
      <c r="H719" s="148" t="s">
        <v>2489</v>
      </c>
      <c r="I719" s="160" t="s">
        <v>2513</v>
      </c>
      <c r="J719" s="31" t="s">
        <v>2514</v>
      </c>
      <c r="K719" s="31" t="s">
        <v>2507</v>
      </c>
      <c r="L719" s="146" t="s">
        <v>2515</v>
      </c>
      <c r="M719" s="146" t="s">
        <v>2516</v>
      </c>
      <c r="N719" s="150" t="s">
        <v>2517</v>
      </c>
      <c r="O719" s="150" t="s">
        <v>2518</v>
      </c>
      <c r="P719" s="146" t="s">
        <v>2519</v>
      </c>
      <c r="Q719" s="24" t="s">
        <v>17</v>
      </c>
      <c r="R719" s="155" t="s">
        <v>2496</v>
      </c>
      <c r="S719" s="29" t="s">
        <v>2520</v>
      </c>
      <c r="T719" s="161" t="s">
        <v>2511</v>
      </c>
      <c r="U719" s="107" t="s">
        <v>2512</v>
      </c>
      <c r="V719" s="31"/>
      <c r="W719" s="44" t="s">
        <v>2463</v>
      </c>
      <c r="X719" s="49">
        <v>1</v>
      </c>
      <c r="Y719" s="17">
        <v>1</v>
      </c>
      <c r="Z719" s="18" t="s">
        <v>49</v>
      </c>
      <c r="AA719" s="18" t="s">
        <v>50</v>
      </c>
      <c r="AB719" s="18">
        <v>2025</v>
      </c>
      <c r="AC719" s="22" t="s">
        <v>51</v>
      </c>
      <c r="AD719" s="156"/>
      <c r="AE719" s="31"/>
      <c r="AF719" s="31"/>
      <c r="AG719" s="31"/>
    </row>
    <row r="720" spans="1:33" hidden="1" x14ac:dyDescent="0.4">
      <c r="G720" s="164"/>
      <c r="I720" s="5"/>
      <c r="L720" s="165"/>
    </row>
    <row r="721" spans="4:27" ht="34.5" hidden="1" customHeight="1" x14ac:dyDescent="0.4">
      <c r="G721" s="166" t="s">
        <v>2521</v>
      </c>
      <c r="H721" s="167">
        <f>H722+H723</f>
        <v>716</v>
      </c>
      <c r="I721" s="167" t="s">
        <v>2522</v>
      </c>
      <c r="L721" s="168"/>
      <c r="Y721" s="169" t="s">
        <v>2523</v>
      </c>
      <c r="Z721" s="169" t="s">
        <v>2524</v>
      </c>
      <c r="AA721" s="169" t="s">
        <v>2525</v>
      </c>
    </row>
    <row r="722" spans="4:27" hidden="1" x14ac:dyDescent="0.4">
      <c r="E722" s="169"/>
      <c r="F722" s="169"/>
      <c r="G722" s="170" t="s">
        <v>51</v>
      </c>
      <c r="H722" s="171">
        <f>COUNTIF(AC3:AC718,"FUNCIONANDO")</f>
        <v>672</v>
      </c>
      <c r="I722" s="172"/>
      <c r="L722" s="173"/>
      <c r="M722" s="174"/>
    </row>
    <row r="723" spans="4:27" hidden="1" x14ac:dyDescent="0.4">
      <c r="G723" s="170" t="s">
        <v>2526</v>
      </c>
      <c r="H723" s="171">
        <f>COUNTIF(AC3:AC718,"NO FUNCIONA ")</f>
        <v>44</v>
      </c>
      <c r="I723" s="172"/>
      <c r="L723" s="175"/>
      <c r="M723" s="174"/>
    </row>
    <row r="724" spans="4:27" x14ac:dyDescent="0.4">
      <c r="I724" s="5"/>
      <c r="L724" s="175"/>
      <c r="M724" s="174"/>
    </row>
    <row r="725" spans="4:27" x14ac:dyDescent="0.4">
      <c r="I725" s="5"/>
      <c r="L725" s="175"/>
      <c r="M725" s="174"/>
    </row>
    <row r="726" spans="4:27" x14ac:dyDescent="0.4">
      <c r="I726" s="5"/>
      <c r="L726" s="176"/>
      <c r="M726" s="174"/>
    </row>
    <row r="727" spans="4:27" x14ac:dyDescent="0.4">
      <c r="D727" s="177"/>
      <c r="I727" s="5"/>
      <c r="L727" s="176"/>
      <c r="M727" s="174"/>
    </row>
    <row r="728" spans="4:27" x14ac:dyDescent="0.4">
      <c r="D728"/>
      <c r="H728" s="169" t="s">
        <v>2527</v>
      </c>
      <c r="I728" s="5"/>
      <c r="L728" s="176"/>
      <c r="M728" s="174"/>
    </row>
    <row r="729" spans="4:27" x14ac:dyDescent="0.4">
      <c r="D729"/>
      <c r="H729" s="169" t="s">
        <v>2528</v>
      </c>
      <c r="I729" s="5"/>
      <c r="L729" s="176"/>
      <c r="M729" s="174"/>
    </row>
    <row r="730" spans="4:27" x14ac:dyDescent="0.4">
      <c r="D730"/>
      <c r="I730" s="5"/>
      <c r="L730" s="178"/>
      <c r="M730" s="174"/>
    </row>
    <row r="731" spans="4:27" x14ac:dyDescent="0.4">
      <c r="D731"/>
      <c r="I731" s="5"/>
      <c r="L731" s="179"/>
      <c r="M731" s="174"/>
    </row>
    <row r="732" spans="4:27" x14ac:dyDescent="0.4">
      <c r="D732"/>
      <c r="I732" s="180"/>
      <c r="J732" s="180"/>
      <c r="L732" s="179"/>
      <c r="M732" s="174"/>
    </row>
    <row r="733" spans="4:27" x14ac:dyDescent="0.4">
      <c r="D733"/>
      <c r="I733" s="181"/>
      <c r="J733" s="181"/>
      <c r="L733" s="179"/>
      <c r="M733" s="174"/>
    </row>
    <row r="734" spans="4:27" x14ac:dyDescent="0.4">
      <c r="D734"/>
      <c r="I734" s="181"/>
      <c r="J734" s="181"/>
      <c r="L734" s="179"/>
      <c r="M734" s="174"/>
    </row>
    <row r="735" spans="4:27" x14ac:dyDescent="0.4">
      <c r="D735"/>
      <c r="I735" s="181"/>
      <c r="J735" s="181"/>
      <c r="L735" s="178"/>
      <c r="M735" s="174"/>
    </row>
    <row r="736" spans="4:27" x14ac:dyDescent="0.4">
      <c r="D736"/>
      <c r="I736" s="5"/>
      <c r="L736" s="178"/>
      <c r="M736" s="174"/>
    </row>
    <row r="737" spans="4:13" x14ac:dyDescent="0.4">
      <c r="D737"/>
      <c r="I737" s="5"/>
      <c r="L737" s="178"/>
      <c r="M737" s="174"/>
    </row>
    <row r="738" spans="4:13" x14ac:dyDescent="0.4">
      <c r="D738"/>
      <c r="I738" s="5"/>
      <c r="L738" s="178"/>
      <c r="M738" s="174"/>
    </row>
    <row r="739" spans="4:13" x14ac:dyDescent="0.4">
      <c r="D739"/>
      <c r="I739" s="5"/>
      <c r="L739" s="178"/>
      <c r="M739" s="174"/>
    </row>
    <row r="740" spans="4:13" x14ac:dyDescent="0.4">
      <c r="D740"/>
      <c r="I740" s="5"/>
      <c r="L740" s="179"/>
      <c r="M740" s="174"/>
    </row>
    <row r="741" spans="4:13" x14ac:dyDescent="0.4">
      <c r="D741"/>
      <c r="I741" s="5"/>
      <c r="L741" s="179"/>
      <c r="M741" s="174"/>
    </row>
    <row r="742" spans="4:13" x14ac:dyDescent="0.4">
      <c r="D742"/>
      <c r="I742" s="5"/>
      <c r="L742" s="179"/>
      <c r="M742" s="174"/>
    </row>
    <row r="743" spans="4:13" x14ac:dyDescent="0.4">
      <c r="D743"/>
      <c r="I743" s="5"/>
      <c r="L743" s="179"/>
      <c r="M743" s="174"/>
    </row>
    <row r="744" spans="4:13" x14ac:dyDescent="0.4">
      <c r="D744"/>
      <c r="I744" s="5"/>
      <c r="L744" s="179"/>
      <c r="M744" s="174"/>
    </row>
    <row r="745" spans="4:13" x14ac:dyDescent="0.4">
      <c r="D745"/>
      <c r="I745" s="5"/>
      <c r="L745" s="179"/>
      <c r="M745" s="174"/>
    </row>
    <row r="746" spans="4:13" x14ac:dyDescent="0.4">
      <c r="D746"/>
      <c r="I746" s="5"/>
      <c r="L746" s="179"/>
      <c r="M746" s="174"/>
    </row>
    <row r="747" spans="4:13" x14ac:dyDescent="0.4">
      <c r="D747"/>
      <c r="I747" s="5"/>
      <c r="L747" s="179"/>
      <c r="M747" s="174"/>
    </row>
    <row r="748" spans="4:13" x14ac:dyDescent="0.4">
      <c r="D748"/>
      <c r="I748" s="5"/>
      <c r="L748" s="176"/>
      <c r="M748" s="174"/>
    </row>
    <row r="749" spans="4:13" x14ac:dyDescent="0.4">
      <c r="D749"/>
      <c r="I749" s="5"/>
      <c r="L749" s="182"/>
      <c r="M749" s="174"/>
    </row>
    <row r="750" spans="4:13" x14ac:dyDescent="0.4">
      <c r="D750"/>
      <c r="I750" s="5"/>
      <c r="L750" s="178"/>
      <c r="M750" s="174"/>
    </row>
    <row r="751" spans="4:13" x14ac:dyDescent="0.4">
      <c r="D751"/>
      <c r="I751" s="5"/>
      <c r="L751" s="178"/>
      <c r="M751" s="174"/>
    </row>
    <row r="752" spans="4:13" x14ac:dyDescent="0.4">
      <c r="D752"/>
      <c r="I752" s="5"/>
      <c r="L752" s="178"/>
      <c r="M752" s="174"/>
    </row>
    <row r="753" spans="4:13" x14ac:dyDescent="0.4">
      <c r="D753"/>
      <c r="I753" s="5"/>
      <c r="L753" s="178"/>
      <c r="M753" s="174"/>
    </row>
    <row r="754" spans="4:13" x14ac:dyDescent="0.4">
      <c r="D754"/>
      <c r="I754" s="5"/>
      <c r="L754" s="179"/>
      <c r="M754" s="174"/>
    </row>
    <row r="755" spans="4:13" x14ac:dyDescent="0.4">
      <c r="D755"/>
      <c r="I755" s="5"/>
      <c r="L755" s="179"/>
      <c r="M755" s="174"/>
    </row>
    <row r="756" spans="4:13" x14ac:dyDescent="0.4">
      <c r="D756"/>
      <c r="I756" s="5"/>
      <c r="L756" s="183"/>
      <c r="M756" s="174"/>
    </row>
    <row r="757" spans="4:13" x14ac:dyDescent="0.4">
      <c r="D757"/>
      <c r="I757" s="5"/>
      <c r="L757" s="178"/>
      <c r="M757" s="174"/>
    </row>
    <row r="758" spans="4:13" x14ac:dyDescent="0.4">
      <c r="D758"/>
      <c r="I758" s="5"/>
      <c r="L758" s="178"/>
      <c r="M758" s="174"/>
    </row>
    <row r="759" spans="4:13" x14ac:dyDescent="0.4">
      <c r="D759"/>
      <c r="I759" s="5"/>
      <c r="L759" s="178"/>
      <c r="M759" s="174"/>
    </row>
    <row r="760" spans="4:13" x14ac:dyDescent="0.4">
      <c r="D760"/>
      <c r="I760" s="5"/>
      <c r="L760" s="178"/>
      <c r="M760" s="174"/>
    </row>
    <row r="761" spans="4:13" x14ac:dyDescent="0.4">
      <c r="D761"/>
      <c r="I761" s="5"/>
      <c r="L761" s="178"/>
      <c r="M761" s="174"/>
    </row>
    <row r="762" spans="4:13" x14ac:dyDescent="0.4">
      <c r="D762"/>
      <c r="I762" s="5"/>
      <c r="L762" s="178"/>
      <c r="M762" s="174"/>
    </row>
    <row r="763" spans="4:13" x14ac:dyDescent="0.4">
      <c r="D763"/>
      <c r="I763" s="5"/>
      <c r="L763" s="178"/>
      <c r="M763" s="174"/>
    </row>
    <row r="764" spans="4:13" x14ac:dyDescent="0.4">
      <c r="D764"/>
      <c r="I764" s="5"/>
      <c r="L764" s="179"/>
      <c r="M764" s="174"/>
    </row>
    <row r="765" spans="4:13" x14ac:dyDescent="0.4">
      <c r="D765"/>
      <c r="I765" s="5"/>
      <c r="L765" s="179"/>
      <c r="M765" s="174"/>
    </row>
    <row r="766" spans="4:13" x14ac:dyDescent="0.4">
      <c r="D766"/>
      <c r="I766" s="5"/>
      <c r="L766" s="184"/>
      <c r="M766" s="174"/>
    </row>
    <row r="767" spans="4:13" x14ac:dyDescent="0.4">
      <c r="D767"/>
      <c r="I767" s="5"/>
      <c r="L767" s="184"/>
      <c r="M767" s="174"/>
    </row>
    <row r="768" spans="4:13" x14ac:dyDescent="0.4">
      <c r="D768"/>
      <c r="I768" s="5"/>
      <c r="L768" s="184"/>
      <c r="M768" s="174"/>
    </row>
    <row r="769" spans="4:13" x14ac:dyDescent="0.4">
      <c r="D769"/>
      <c r="I769" s="5"/>
      <c r="L769" s="184"/>
      <c r="M769" s="174"/>
    </row>
    <row r="770" spans="4:13" x14ac:dyDescent="0.4">
      <c r="D770"/>
      <c r="I770" s="5"/>
      <c r="L770" s="184"/>
      <c r="M770" s="174"/>
    </row>
    <row r="771" spans="4:13" x14ac:dyDescent="0.4">
      <c r="D771"/>
      <c r="I771" s="5"/>
      <c r="L771" s="185"/>
      <c r="M771" s="174"/>
    </row>
    <row r="772" spans="4:13" x14ac:dyDescent="0.4">
      <c r="D772"/>
      <c r="I772" s="5"/>
      <c r="L772" s="185"/>
      <c r="M772" s="174"/>
    </row>
    <row r="773" spans="4:13" x14ac:dyDescent="0.4">
      <c r="D773"/>
      <c r="I773" s="5"/>
      <c r="L773" s="185"/>
      <c r="M773" s="174"/>
    </row>
    <row r="774" spans="4:13" x14ac:dyDescent="0.4">
      <c r="D774"/>
      <c r="I774" s="5"/>
      <c r="L774" s="173"/>
      <c r="M774" s="174"/>
    </row>
    <row r="775" spans="4:13" x14ac:dyDescent="0.4">
      <c r="D775"/>
      <c r="I775" s="5"/>
      <c r="L775" s="173"/>
      <c r="M775" s="174"/>
    </row>
    <row r="776" spans="4:13" x14ac:dyDescent="0.4">
      <c r="D776"/>
      <c r="I776" s="5"/>
      <c r="L776" s="173"/>
      <c r="M776" s="174"/>
    </row>
    <row r="777" spans="4:13" x14ac:dyDescent="0.4">
      <c r="D777"/>
      <c r="I777" s="5"/>
      <c r="L777" s="173"/>
      <c r="M777" s="174"/>
    </row>
    <row r="778" spans="4:13" x14ac:dyDescent="0.4">
      <c r="D778"/>
      <c r="I778" s="5"/>
      <c r="L778" s="173"/>
      <c r="M778" s="174"/>
    </row>
    <row r="779" spans="4:13" x14ac:dyDescent="0.4">
      <c r="D779"/>
      <c r="I779" s="5"/>
      <c r="L779" s="186"/>
      <c r="M779" s="174"/>
    </row>
    <row r="780" spans="4:13" x14ac:dyDescent="0.4">
      <c r="D780"/>
      <c r="I780" s="5"/>
      <c r="L780" s="187"/>
      <c r="M780" s="174"/>
    </row>
    <row r="781" spans="4:13" x14ac:dyDescent="0.4">
      <c r="D781"/>
      <c r="I781" s="5"/>
      <c r="L781" s="173"/>
      <c r="M781" s="174"/>
    </row>
    <row r="782" spans="4:13" x14ac:dyDescent="0.4">
      <c r="D782"/>
      <c r="I782" s="5"/>
      <c r="L782" s="173"/>
      <c r="M782" s="174"/>
    </row>
    <row r="783" spans="4:13" x14ac:dyDescent="0.4">
      <c r="D783"/>
      <c r="I783" s="5"/>
      <c r="L783" s="173"/>
      <c r="M783" s="174"/>
    </row>
    <row r="784" spans="4:13" x14ac:dyDescent="0.4">
      <c r="D784"/>
      <c r="I784" s="5"/>
      <c r="L784" s="173"/>
      <c r="M784" s="174"/>
    </row>
    <row r="785" spans="4:13" x14ac:dyDescent="0.4">
      <c r="D785"/>
      <c r="I785" s="5"/>
      <c r="L785" s="178"/>
      <c r="M785" s="174"/>
    </row>
    <row r="786" spans="4:13" x14ac:dyDescent="0.4">
      <c r="D786"/>
      <c r="I786" s="5"/>
      <c r="L786" s="185"/>
      <c r="M786" s="174"/>
    </row>
    <row r="787" spans="4:13" x14ac:dyDescent="0.4">
      <c r="D787"/>
      <c r="I787" s="5"/>
      <c r="L787" s="185"/>
      <c r="M787" s="174"/>
    </row>
    <row r="788" spans="4:13" x14ac:dyDescent="0.4">
      <c r="D788"/>
      <c r="I788" s="5"/>
      <c r="L788" s="185"/>
      <c r="M788" s="174"/>
    </row>
    <row r="789" spans="4:13" x14ac:dyDescent="0.4">
      <c r="D789"/>
      <c r="I789" s="5"/>
      <c r="L789" s="185"/>
      <c r="M789" s="174"/>
    </row>
    <row r="790" spans="4:13" x14ac:dyDescent="0.4">
      <c r="D790"/>
      <c r="I790" s="5"/>
      <c r="L790" s="185"/>
      <c r="M790" s="174"/>
    </row>
    <row r="791" spans="4:13" x14ac:dyDescent="0.4">
      <c r="D791"/>
      <c r="I791" s="5"/>
      <c r="L791" s="185"/>
      <c r="M791" s="174"/>
    </row>
    <row r="792" spans="4:13" x14ac:dyDescent="0.4">
      <c r="D792"/>
      <c r="I792" s="5"/>
      <c r="L792" s="185"/>
      <c r="M792" s="174"/>
    </row>
    <row r="793" spans="4:13" x14ac:dyDescent="0.4">
      <c r="D793"/>
      <c r="I793" s="5"/>
      <c r="L793" s="185"/>
      <c r="M793" s="174"/>
    </row>
    <row r="794" spans="4:13" x14ac:dyDescent="0.4">
      <c r="D794"/>
      <c r="I794" s="5"/>
      <c r="L794" s="185"/>
      <c r="M794" s="174"/>
    </row>
    <row r="795" spans="4:13" x14ac:dyDescent="0.4">
      <c r="D795"/>
      <c r="I795" s="5"/>
      <c r="L795" s="185"/>
      <c r="M795" s="174"/>
    </row>
    <row r="796" spans="4:13" x14ac:dyDescent="0.4">
      <c r="D796"/>
      <c r="I796" s="5"/>
      <c r="L796" s="185"/>
      <c r="M796" s="174"/>
    </row>
    <row r="797" spans="4:13" x14ac:dyDescent="0.4">
      <c r="D797"/>
      <c r="I797" s="5"/>
      <c r="L797" s="185"/>
      <c r="M797" s="174"/>
    </row>
    <row r="798" spans="4:13" x14ac:dyDescent="0.4">
      <c r="D798"/>
      <c r="I798" s="5"/>
      <c r="L798" s="185"/>
      <c r="M798" s="174"/>
    </row>
    <row r="799" spans="4:13" x14ac:dyDescent="0.4">
      <c r="D799"/>
      <c r="I799" s="5"/>
      <c r="L799" s="185"/>
      <c r="M799" s="174"/>
    </row>
    <row r="800" spans="4:13" x14ac:dyDescent="0.4">
      <c r="D800"/>
      <c r="I800" s="5"/>
      <c r="L800" s="185"/>
      <c r="M800" s="174"/>
    </row>
    <row r="801" spans="4:13" x14ac:dyDescent="0.4">
      <c r="D801"/>
      <c r="I801" s="5"/>
      <c r="L801" s="185"/>
      <c r="M801" s="174"/>
    </row>
    <row r="802" spans="4:13" x14ac:dyDescent="0.4">
      <c r="D802"/>
      <c r="I802" s="5"/>
      <c r="L802" s="185"/>
      <c r="M802" s="174"/>
    </row>
    <row r="803" spans="4:13" x14ac:dyDescent="0.4">
      <c r="D803"/>
      <c r="I803" s="5"/>
      <c r="L803" s="185"/>
      <c r="M803" s="174"/>
    </row>
    <row r="804" spans="4:13" x14ac:dyDescent="0.4">
      <c r="D804"/>
      <c r="I804" s="5"/>
      <c r="L804" s="185"/>
      <c r="M804" s="174"/>
    </row>
    <row r="805" spans="4:13" x14ac:dyDescent="0.4">
      <c r="D805"/>
      <c r="I805" s="5"/>
      <c r="L805" s="185"/>
      <c r="M805" s="174"/>
    </row>
    <row r="806" spans="4:13" x14ac:dyDescent="0.4">
      <c r="D806"/>
      <c r="I806" s="5"/>
      <c r="L806" s="185"/>
      <c r="M806" s="174"/>
    </row>
    <row r="807" spans="4:13" x14ac:dyDescent="0.4">
      <c r="D807"/>
      <c r="I807" s="5"/>
      <c r="L807" s="185"/>
      <c r="M807" s="174"/>
    </row>
    <row r="808" spans="4:13" x14ac:dyDescent="0.4">
      <c r="D808"/>
      <c r="I808" s="5"/>
      <c r="L808" s="185"/>
      <c r="M808" s="174"/>
    </row>
    <row r="809" spans="4:13" x14ac:dyDescent="0.4">
      <c r="D809"/>
      <c r="I809" s="5"/>
      <c r="L809" s="185"/>
      <c r="M809" s="174"/>
    </row>
    <row r="810" spans="4:13" x14ac:dyDescent="0.4">
      <c r="D810"/>
      <c r="I810" s="5"/>
      <c r="L810" s="185"/>
      <c r="M810" s="174"/>
    </row>
    <row r="811" spans="4:13" x14ac:dyDescent="0.4">
      <c r="D811"/>
      <c r="I811" s="5"/>
      <c r="L811" s="185"/>
      <c r="M811" s="174"/>
    </row>
    <row r="812" spans="4:13" x14ac:dyDescent="0.4">
      <c r="D812"/>
      <c r="I812" s="5"/>
      <c r="L812" s="185"/>
      <c r="M812" s="174"/>
    </row>
    <row r="813" spans="4:13" x14ac:dyDescent="0.4">
      <c r="D813"/>
      <c r="I813" s="5"/>
      <c r="L813" s="185"/>
      <c r="M813" s="174"/>
    </row>
    <row r="814" spans="4:13" x14ac:dyDescent="0.4">
      <c r="D814"/>
      <c r="I814" s="5"/>
      <c r="L814" s="185"/>
      <c r="M814" s="174"/>
    </row>
    <row r="815" spans="4:13" x14ac:dyDescent="0.4">
      <c r="D815"/>
      <c r="I815" s="5"/>
      <c r="L815" s="185"/>
      <c r="M815" s="174"/>
    </row>
    <row r="816" spans="4:13" x14ac:dyDescent="0.4">
      <c r="D816"/>
      <c r="I816" s="5"/>
      <c r="L816" s="185"/>
      <c r="M816" s="174"/>
    </row>
    <row r="817" spans="4:13" x14ac:dyDescent="0.4">
      <c r="D817"/>
      <c r="I817" s="5"/>
      <c r="L817" s="185"/>
      <c r="M817" s="174"/>
    </row>
    <row r="818" spans="4:13" x14ac:dyDescent="0.4">
      <c r="D818"/>
      <c r="I818" s="5"/>
      <c r="L818" s="173"/>
      <c r="M818" s="174"/>
    </row>
    <row r="819" spans="4:13" x14ac:dyDescent="0.4">
      <c r="D819"/>
      <c r="I819" s="5"/>
      <c r="L819" s="188"/>
      <c r="M819" s="174"/>
    </row>
    <row r="820" spans="4:13" x14ac:dyDescent="0.4">
      <c r="D820"/>
      <c r="I820" s="5"/>
      <c r="L820" s="173"/>
      <c r="M820" s="174"/>
    </row>
    <row r="821" spans="4:13" x14ac:dyDescent="0.4">
      <c r="D821"/>
      <c r="I821" s="5"/>
      <c r="L821" s="173"/>
      <c r="M821" s="174"/>
    </row>
    <row r="822" spans="4:13" x14ac:dyDescent="0.4">
      <c r="D822"/>
      <c r="I822" s="5"/>
      <c r="L822" s="173"/>
      <c r="M822" s="174"/>
    </row>
    <row r="823" spans="4:13" x14ac:dyDescent="0.4">
      <c r="D823"/>
      <c r="I823" s="5"/>
      <c r="L823" s="185"/>
      <c r="M823" s="174"/>
    </row>
    <row r="824" spans="4:13" x14ac:dyDescent="0.4">
      <c r="D824"/>
      <c r="I824" s="5"/>
      <c r="L824" s="185"/>
      <c r="M824" s="174"/>
    </row>
    <row r="825" spans="4:13" x14ac:dyDescent="0.4">
      <c r="D825"/>
      <c r="I825" s="5"/>
      <c r="L825" s="185"/>
      <c r="M825" s="174"/>
    </row>
    <row r="826" spans="4:13" x14ac:dyDescent="0.4">
      <c r="D826"/>
      <c r="I826" s="5"/>
      <c r="L826" s="185"/>
      <c r="M826" s="174"/>
    </row>
    <row r="827" spans="4:13" x14ac:dyDescent="0.4">
      <c r="D827"/>
      <c r="I827" s="5"/>
      <c r="L827" s="188"/>
      <c r="M827" s="174"/>
    </row>
    <row r="828" spans="4:13" x14ac:dyDescent="0.4">
      <c r="D828"/>
      <c r="I828" s="5"/>
      <c r="L828" s="188"/>
      <c r="M828" s="174"/>
    </row>
    <row r="829" spans="4:13" x14ac:dyDescent="0.4">
      <c r="D829"/>
      <c r="I829" s="5"/>
      <c r="L829" s="173"/>
      <c r="M829" s="174"/>
    </row>
    <row r="830" spans="4:13" x14ac:dyDescent="0.4">
      <c r="D830"/>
      <c r="I830" s="5"/>
      <c r="L830" s="173"/>
      <c r="M830" s="174"/>
    </row>
    <row r="831" spans="4:13" x14ac:dyDescent="0.4">
      <c r="D831"/>
      <c r="I831" s="5"/>
      <c r="L831" s="173"/>
      <c r="M831" s="174"/>
    </row>
    <row r="832" spans="4:13" x14ac:dyDescent="0.4">
      <c r="D832"/>
      <c r="I832" s="5"/>
      <c r="L832" s="173"/>
      <c r="M832" s="174"/>
    </row>
    <row r="833" spans="4:13" x14ac:dyDescent="0.4">
      <c r="D833"/>
      <c r="I833" s="5"/>
      <c r="L833" s="179"/>
      <c r="M833" s="174"/>
    </row>
    <row r="834" spans="4:13" x14ac:dyDescent="0.4">
      <c r="D834"/>
      <c r="I834" s="5"/>
      <c r="L834" s="179"/>
      <c r="M834" s="174"/>
    </row>
    <row r="835" spans="4:13" x14ac:dyDescent="0.4">
      <c r="D835"/>
      <c r="I835" s="5"/>
      <c r="L835" s="185"/>
      <c r="M835" s="174"/>
    </row>
    <row r="836" spans="4:13" x14ac:dyDescent="0.4">
      <c r="D836"/>
      <c r="I836" s="5"/>
      <c r="L836" s="176"/>
      <c r="M836" s="174"/>
    </row>
    <row r="837" spans="4:13" x14ac:dyDescent="0.4">
      <c r="D837"/>
      <c r="I837" s="5"/>
      <c r="L837" s="185"/>
      <c r="M837" s="174"/>
    </row>
    <row r="838" spans="4:13" x14ac:dyDescent="0.4">
      <c r="D838"/>
      <c r="I838" s="5"/>
      <c r="L838" s="188"/>
      <c r="M838" s="174"/>
    </row>
    <row r="839" spans="4:13" x14ac:dyDescent="0.4">
      <c r="D839"/>
      <c r="I839" s="5"/>
      <c r="L839" s="178"/>
      <c r="M839" s="174"/>
    </row>
    <row r="840" spans="4:13" x14ac:dyDescent="0.4">
      <c r="D840"/>
      <c r="I840" s="5"/>
      <c r="L840" s="187"/>
      <c r="M840" s="174"/>
    </row>
    <row r="841" spans="4:13" x14ac:dyDescent="0.4">
      <c r="D841"/>
      <c r="I841" s="5"/>
      <c r="L841" s="179"/>
      <c r="M841" s="174"/>
    </row>
    <row r="842" spans="4:13" x14ac:dyDescent="0.4">
      <c r="D842"/>
      <c r="I842" s="5"/>
      <c r="L842" s="179"/>
      <c r="M842" s="174"/>
    </row>
    <row r="843" spans="4:13" x14ac:dyDescent="0.4">
      <c r="D843"/>
      <c r="I843" s="5"/>
      <c r="L843" s="188"/>
      <c r="M843" s="174"/>
    </row>
    <row r="844" spans="4:13" x14ac:dyDescent="0.4">
      <c r="D844"/>
      <c r="I844" s="5"/>
      <c r="L844" s="188"/>
      <c r="M844" s="174"/>
    </row>
    <row r="845" spans="4:13" x14ac:dyDescent="0.4">
      <c r="D845"/>
      <c r="I845" s="5"/>
      <c r="L845" s="188"/>
      <c r="M845" s="174"/>
    </row>
    <row r="846" spans="4:13" x14ac:dyDescent="0.4">
      <c r="D846"/>
      <c r="I846" s="5"/>
      <c r="L846" s="188"/>
      <c r="M846" s="174"/>
    </row>
    <row r="847" spans="4:13" x14ac:dyDescent="0.4">
      <c r="D847"/>
      <c r="I847" s="5"/>
      <c r="L847" s="188"/>
      <c r="M847" s="174"/>
    </row>
    <row r="848" spans="4:13" x14ac:dyDescent="0.4">
      <c r="D848"/>
      <c r="I848" s="5"/>
      <c r="L848" s="173"/>
      <c r="M848" s="174"/>
    </row>
    <row r="849" spans="4:13" x14ac:dyDescent="0.4">
      <c r="D849"/>
      <c r="I849" s="5"/>
      <c r="L849" s="173"/>
      <c r="M849" s="174"/>
    </row>
    <row r="850" spans="4:13" x14ac:dyDescent="0.4">
      <c r="D850"/>
      <c r="I850" s="5"/>
      <c r="L850" s="173"/>
      <c r="M850" s="174"/>
    </row>
    <row r="851" spans="4:13" x14ac:dyDescent="0.4">
      <c r="D851"/>
      <c r="I851" s="5"/>
      <c r="L851" s="173"/>
      <c r="M851" s="174"/>
    </row>
    <row r="852" spans="4:13" x14ac:dyDescent="0.4">
      <c r="D852"/>
      <c r="I852" s="5"/>
      <c r="L852" s="173"/>
      <c r="M852" s="174"/>
    </row>
    <row r="853" spans="4:13" x14ac:dyDescent="0.4">
      <c r="D853"/>
      <c r="I853" s="5"/>
      <c r="L853" s="173"/>
      <c r="M853" s="174"/>
    </row>
    <row r="854" spans="4:13" x14ac:dyDescent="0.4">
      <c r="D854"/>
      <c r="I854" s="5"/>
      <c r="L854" s="173"/>
      <c r="M854" s="174"/>
    </row>
    <row r="855" spans="4:13" x14ac:dyDescent="0.4">
      <c r="D855"/>
      <c r="I855" s="5"/>
      <c r="L855" s="173"/>
      <c r="M855" s="174"/>
    </row>
    <row r="856" spans="4:13" x14ac:dyDescent="0.4">
      <c r="D856"/>
      <c r="I856" s="5"/>
      <c r="L856" s="173"/>
      <c r="M856" s="174"/>
    </row>
    <row r="857" spans="4:13" x14ac:dyDescent="0.4">
      <c r="D857"/>
      <c r="I857" s="5"/>
      <c r="L857" s="173"/>
      <c r="M857" s="174"/>
    </row>
    <row r="858" spans="4:13" x14ac:dyDescent="0.4">
      <c r="D858"/>
      <c r="I858" s="5"/>
      <c r="L858" s="173"/>
      <c r="M858" s="174"/>
    </row>
    <row r="859" spans="4:13" x14ac:dyDescent="0.4">
      <c r="D859"/>
      <c r="I859" s="5"/>
      <c r="L859" s="188"/>
      <c r="M859" s="174"/>
    </row>
    <row r="860" spans="4:13" x14ac:dyDescent="0.4">
      <c r="D860"/>
      <c r="I860" s="5"/>
      <c r="L860" s="188"/>
      <c r="M860" s="174"/>
    </row>
    <row r="861" spans="4:13" x14ac:dyDescent="0.4">
      <c r="D861"/>
      <c r="I861" s="5"/>
      <c r="L861" s="188"/>
      <c r="M861" s="174"/>
    </row>
    <row r="862" spans="4:13" x14ac:dyDescent="0.4">
      <c r="D862"/>
      <c r="I862" s="5"/>
      <c r="L862" s="188"/>
      <c r="M862" s="174"/>
    </row>
    <row r="863" spans="4:13" x14ac:dyDescent="0.4">
      <c r="D863"/>
      <c r="I863" s="5"/>
      <c r="L863" s="188"/>
      <c r="M863" s="174"/>
    </row>
    <row r="864" spans="4:13" x14ac:dyDescent="0.4">
      <c r="D864"/>
      <c r="I864" s="5"/>
      <c r="L864" s="188"/>
      <c r="M864" s="174"/>
    </row>
    <row r="865" spans="4:13" x14ac:dyDescent="0.4">
      <c r="D865"/>
      <c r="I865" s="5"/>
      <c r="L865" s="188"/>
      <c r="M865" s="174"/>
    </row>
    <row r="866" spans="4:13" x14ac:dyDescent="0.4">
      <c r="D866"/>
      <c r="I866" s="5"/>
      <c r="L866" s="188"/>
      <c r="M866" s="174"/>
    </row>
    <row r="867" spans="4:13" x14ac:dyDescent="0.4">
      <c r="D867"/>
      <c r="I867" s="5"/>
      <c r="L867" s="188"/>
      <c r="M867" s="174"/>
    </row>
    <row r="868" spans="4:13" x14ac:dyDescent="0.4">
      <c r="D868"/>
      <c r="I868" s="5"/>
      <c r="L868" s="188"/>
      <c r="M868" s="174"/>
    </row>
    <row r="869" spans="4:13" x14ac:dyDescent="0.4">
      <c r="D869"/>
      <c r="I869" s="5"/>
      <c r="L869" s="173"/>
      <c r="M869" s="174"/>
    </row>
    <row r="870" spans="4:13" x14ac:dyDescent="0.4">
      <c r="D870"/>
      <c r="I870" s="5"/>
      <c r="L870" s="173"/>
      <c r="M870" s="174"/>
    </row>
    <row r="871" spans="4:13" x14ac:dyDescent="0.4">
      <c r="D871"/>
      <c r="I871" s="5"/>
      <c r="L871" s="173"/>
      <c r="M871" s="174"/>
    </row>
    <row r="872" spans="4:13" x14ac:dyDescent="0.4">
      <c r="D872"/>
      <c r="I872" s="5"/>
      <c r="L872" s="173"/>
      <c r="M872" s="174"/>
    </row>
    <row r="873" spans="4:13" x14ac:dyDescent="0.4">
      <c r="D873"/>
      <c r="I873" s="5"/>
      <c r="L873" s="173"/>
      <c r="M873" s="174"/>
    </row>
    <row r="874" spans="4:13" x14ac:dyDescent="0.4">
      <c r="D874"/>
      <c r="I874" s="5"/>
      <c r="L874" s="173"/>
      <c r="M874" s="174"/>
    </row>
    <row r="875" spans="4:13" x14ac:dyDescent="0.4">
      <c r="D875"/>
      <c r="I875" s="5"/>
      <c r="L875" s="173"/>
      <c r="M875" s="174"/>
    </row>
    <row r="876" spans="4:13" x14ac:dyDescent="0.4">
      <c r="D876"/>
      <c r="I876" s="5"/>
      <c r="L876" s="173"/>
      <c r="M876" s="174"/>
    </row>
    <row r="877" spans="4:13" x14ac:dyDescent="0.4">
      <c r="D877"/>
      <c r="I877" s="5"/>
      <c r="L877" s="173"/>
      <c r="M877" s="174"/>
    </row>
    <row r="878" spans="4:13" x14ac:dyDescent="0.4">
      <c r="D878"/>
      <c r="I878" s="5"/>
      <c r="L878" s="173"/>
      <c r="M878" s="174"/>
    </row>
    <row r="879" spans="4:13" x14ac:dyDescent="0.4">
      <c r="D879"/>
      <c r="I879" s="5"/>
      <c r="L879" s="173"/>
      <c r="M879" s="174"/>
    </row>
    <row r="880" spans="4:13" x14ac:dyDescent="0.4">
      <c r="D880"/>
      <c r="I880" s="5"/>
      <c r="L880" s="173"/>
      <c r="M880" s="174"/>
    </row>
    <row r="881" spans="4:13" x14ac:dyDescent="0.4">
      <c r="D881"/>
      <c r="I881" s="5"/>
      <c r="L881" s="173"/>
      <c r="M881" s="174"/>
    </row>
    <row r="882" spans="4:13" x14ac:dyDescent="0.4">
      <c r="D882"/>
      <c r="I882" s="5"/>
      <c r="L882" s="173"/>
      <c r="M882" s="174"/>
    </row>
    <row r="883" spans="4:13" x14ac:dyDescent="0.4">
      <c r="D883"/>
      <c r="I883" s="5"/>
      <c r="L883" s="173"/>
      <c r="M883" s="174"/>
    </row>
    <row r="884" spans="4:13" x14ac:dyDescent="0.4">
      <c r="D884"/>
      <c r="I884" s="5"/>
      <c r="L884" s="173"/>
      <c r="M884" s="174"/>
    </row>
    <row r="885" spans="4:13" x14ac:dyDescent="0.4">
      <c r="D885"/>
      <c r="I885" s="5"/>
      <c r="L885" s="173"/>
      <c r="M885" s="174"/>
    </row>
    <row r="886" spans="4:13" x14ac:dyDescent="0.4">
      <c r="D886"/>
      <c r="I886" s="5"/>
      <c r="L886" s="178"/>
      <c r="M886" s="174"/>
    </row>
    <row r="887" spans="4:13" x14ac:dyDescent="0.4">
      <c r="D887"/>
      <c r="I887" s="5"/>
      <c r="L887" s="173"/>
      <c r="M887" s="174"/>
    </row>
    <row r="888" spans="4:13" x14ac:dyDescent="0.4">
      <c r="D888"/>
      <c r="I888" s="5"/>
      <c r="L888" s="173"/>
      <c r="M888" s="174"/>
    </row>
    <row r="889" spans="4:13" x14ac:dyDescent="0.4">
      <c r="D889"/>
      <c r="I889" s="5"/>
      <c r="L889" s="173"/>
      <c r="M889" s="174"/>
    </row>
    <row r="890" spans="4:13" x14ac:dyDescent="0.4">
      <c r="D890"/>
      <c r="I890" s="5"/>
      <c r="L890" s="173"/>
      <c r="M890" s="174"/>
    </row>
    <row r="891" spans="4:13" x14ac:dyDescent="0.4">
      <c r="D891"/>
      <c r="I891" s="5"/>
      <c r="L891" s="173"/>
      <c r="M891" s="174"/>
    </row>
    <row r="892" spans="4:13" x14ac:dyDescent="0.4">
      <c r="D892"/>
      <c r="I892" s="5"/>
      <c r="L892" s="176"/>
      <c r="M892" s="174"/>
    </row>
    <row r="893" spans="4:13" x14ac:dyDescent="0.4">
      <c r="D893"/>
      <c r="I893" s="5"/>
      <c r="L893" s="187"/>
      <c r="M893" s="174"/>
    </row>
    <row r="894" spans="4:13" x14ac:dyDescent="0.4">
      <c r="D894"/>
      <c r="I894" s="5"/>
      <c r="L894" s="185"/>
      <c r="M894" s="174"/>
    </row>
    <row r="895" spans="4:13" x14ac:dyDescent="0.4">
      <c r="D895"/>
      <c r="I895" s="5"/>
      <c r="L895" s="178"/>
      <c r="M895" s="174"/>
    </row>
    <row r="896" spans="4:13" x14ac:dyDescent="0.4">
      <c r="D896"/>
      <c r="I896" s="5"/>
      <c r="L896" s="178"/>
      <c r="M896" s="174"/>
    </row>
    <row r="897" spans="4:13" x14ac:dyDescent="0.4">
      <c r="D897"/>
      <c r="I897" s="5"/>
      <c r="L897" s="178"/>
      <c r="M897" s="174"/>
    </row>
    <row r="898" spans="4:13" x14ac:dyDescent="0.4">
      <c r="D898"/>
      <c r="I898" s="5"/>
      <c r="L898" s="173"/>
      <c r="M898" s="174"/>
    </row>
    <row r="899" spans="4:13" x14ac:dyDescent="0.4">
      <c r="D899"/>
      <c r="I899" s="5"/>
      <c r="L899" s="173"/>
      <c r="M899" s="174"/>
    </row>
    <row r="900" spans="4:13" x14ac:dyDescent="0.4">
      <c r="D900"/>
      <c r="I900" s="5"/>
      <c r="L900" s="173"/>
      <c r="M900" s="174"/>
    </row>
    <row r="901" spans="4:13" x14ac:dyDescent="0.4">
      <c r="D901"/>
      <c r="I901" s="5"/>
      <c r="L901" s="173"/>
      <c r="M901" s="174"/>
    </row>
    <row r="902" spans="4:13" x14ac:dyDescent="0.4">
      <c r="D902"/>
      <c r="I902" s="5"/>
      <c r="L902" s="173"/>
      <c r="M902" s="174"/>
    </row>
    <row r="903" spans="4:13" x14ac:dyDescent="0.4">
      <c r="D903"/>
      <c r="I903" s="5"/>
      <c r="L903" s="173"/>
      <c r="M903" s="174"/>
    </row>
    <row r="904" spans="4:13" x14ac:dyDescent="0.4">
      <c r="D904"/>
      <c r="I904" s="5"/>
      <c r="L904" s="173"/>
      <c r="M904" s="174"/>
    </row>
    <row r="905" spans="4:13" x14ac:dyDescent="0.4">
      <c r="D905"/>
      <c r="I905" s="5"/>
      <c r="L905" s="173"/>
      <c r="M905" s="174"/>
    </row>
    <row r="906" spans="4:13" x14ac:dyDescent="0.4">
      <c r="D906"/>
      <c r="I906" s="5"/>
      <c r="L906" s="178"/>
      <c r="M906" s="174"/>
    </row>
    <row r="907" spans="4:13" x14ac:dyDescent="0.4">
      <c r="D907"/>
      <c r="I907" s="5"/>
      <c r="L907" s="173"/>
      <c r="M907" s="174"/>
    </row>
    <row r="908" spans="4:13" x14ac:dyDescent="0.4">
      <c r="D908"/>
      <c r="I908" s="5"/>
      <c r="L908" s="173"/>
      <c r="M908" s="174"/>
    </row>
    <row r="909" spans="4:13" x14ac:dyDescent="0.4">
      <c r="D909"/>
      <c r="I909" s="5"/>
      <c r="L909" s="173"/>
      <c r="M909" s="174"/>
    </row>
    <row r="910" spans="4:13" x14ac:dyDescent="0.4">
      <c r="D910"/>
      <c r="I910" s="5"/>
      <c r="L910" s="173"/>
      <c r="M910" s="174"/>
    </row>
    <row r="911" spans="4:13" x14ac:dyDescent="0.4">
      <c r="D911"/>
      <c r="I911" s="5"/>
      <c r="L911" s="173"/>
      <c r="M911" s="174"/>
    </row>
    <row r="912" spans="4:13" x14ac:dyDescent="0.4">
      <c r="D912"/>
      <c r="I912" s="5"/>
      <c r="L912" s="173"/>
      <c r="M912" s="174"/>
    </row>
    <row r="913" spans="4:13" x14ac:dyDescent="0.4">
      <c r="D913"/>
      <c r="I913" s="5"/>
      <c r="L913" s="173"/>
      <c r="M913" s="174"/>
    </row>
    <row r="914" spans="4:13" x14ac:dyDescent="0.4">
      <c r="D914"/>
      <c r="I914" s="5"/>
      <c r="L914" s="178"/>
      <c r="M914" s="174"/>
    </row>
    <row r="915" spans="4:13" x14ac:dyDescent="0.4">
      <c r="D915"/>
      <c r="I915" s="5"/>
      <c r="L915" s="173"/>
      <c r="M915" s="174"/>
    </row>
    <row r="916" spans="4:13" x14ac:dyDescent="0.4">
      <c r="D916"/>
      <c r="I916" s="5"/>
      <c r="L916" s="173"/>
      <c r="M916" s="174"/>
    </row>
    <row r="917" spans="4:13" x14ac:dyDescent="0.4">
      <c r="D917"/>
      <c r="I917" s="5"/>
      <c r="L917" s="173"/>
      <c r="M917" s="174"/>
    </row>
    <row r="918" spans="4:13" x14ac:dyDescent="0.4">
      <c r="D918"/>
      <c r="I918" s="5"/>
      <c r="L918" s="173"/>
      <c r="M918" s="174"/>
    </row>
    <row r="919" spans="4:13" x14ac:dyDescent="0.4">
      <c r="D919"/>
      <c r="I919" s="5"/>
      <c r="L919" s="173"/>
      <c r="M919" s="174"/>
    </row>
    <row r="920" spans="4:13" x14ac:dyDescent="0.4">
      <c r="D920"/>
      <c r="I920" s="5"/>
      <c r="L920" s="173"/>
      <c r="M920" s="174"/>
    </row>
    <row r="921" spans="4:13" x14ac:dyDescent="0.4">
      <c r="D921"/>
      <c r="I921" s="5"/>
      <c r="L921" s="173"/>
      <c r="M921" s="174"/>
    </row>
    <row r="922" spans="4:13" x14ac:dyDescent="0.4">
      <c r="D922"/>
      <c r="I922" s="5"/>
      <c r="L922" s="173"/>
      <c r="M922" s="174"/>
    </row>
    <row r="923" spans="4:13" x14ac:dyDescent="0.4">
      <c r="D923"/>
      <c r="I923" s="5"/>
      <c r="L923" s="173"/>
      <c r="M923" s="174"/>
    </row>
    <row r="924" spans="4:13" x14ac:dyDescent="0.4">
      <c r="D924"/>
      <c r="I924" s="5"/>
      <c r="L924" s="185"/>
      <c r="M924" s="174"/>
    </row>
    <row r="925" spans="4:13" x14ac:dyDescent="0.4">
      <c r="D925"/>
      <c r="I925" s="5"/>
      <c r="L925" s="178"/>
      <c r="M925" s="174"/>
    </row>
    <row r="926" spans="4:13" x14ac:dyDescent="0.4">
      <c r="D926"/>
      <c r="I926" s="5"/>
      <c r="L926" s="184"/>
      <c r="M926" s="174"/>
    </row>
    <row r="927" spans="4:13" x14ac:dyDescent="0.4">
      <c r="D927"/>
      <c r="I927" s="5"/>
      <c r="L927" s="173"/>
      <c r="M927" s="174"/>
    </row>
    <row r="928" spans="4:13" x14ac:dyDescent="0.4">
      <c r="D928"/>
      <c r="I928" s="5"/>
      <c r="L928" s="173"/>
      <c r="M928" s="174"/>
    </row>
    <row r="929" spans="4:13" x14ac:dyDescent="0.4">
      <c r="D929"/>
      <c r="I929" s="5"/>
      <c r="L929" s="178"/>
      <c r="M929" s="174"/>
    </row>
    <row r="930" spans="4:13" x14ac:dyDescent="0.4">
      <c r="D930"/>
      <c r="I930" s="5"/>
      <c r="L930" s="173"/>
      <c r="M930" s="174"/>
    </row>
    <row r="931" spans="4:13" x14ac:dyDescent="0.4">
      <c r="D931"/>
      <c r="I931" s="5"/>
      <c r="L931" s="173"/>
      <c r="M931" s="174"/>
    </row>
    <row r="932" spans="4:13" x14ac:dyDescent="0.4">
      <c r="D932"/>
      <c r="I932" s="5"/>
      <c r="L932" s="173"/>
      <c r="M932" s="174"/>
    </row>
    <row r="933" spans="4:13" x14ac:dyDescent="0.4">
      <c r="D933"/>
      <c r="I933" s="5"/>
      <c r="L933" s="178"/>
      <c r="M933" s="174"/>
    </row>
    <row r="934" spans="4:13" x14ac:dyDescent="0.4">
      <c r="D934"/>
      <c r="I934" s="5"/>
      <c r="L934" s="173"/>
      <c r="M934" s="174"/>
    </row>
    <row r="935" spans="4:13" x14ac:dyDescent="0.4">
      <c r="D935"/>
      <c r="I935" s="5"/>
      <c r="L935" s="178"/>
      <c r="M935" s="174"/>
    </row>
    <row r="936" spans="4:13" x14ac:dyDescent="0.4">
      <c r="D936"/>
      <c r="I936" s="5"/>
      <c r="L936" s="178"/>
      <c r="M936" s="174"/>
    </row>
    <row r="937" spans="4:13" x14ac:dyDescent="0.4">
      <c r="D937"/>
      <c r="I937" s="5"/>
      <c r="L937" s="173"/>
      <c r="M937" s="174"/>
    </row>
    <row r="938" spans="4:13" x14ac:dyDescent="0.4">
      <c r="D938"/>
      <c r="I938" s="5"/>
      <c r="L938" s="173"/>
      <c r="M938" s="174"/>
    </row>
    <row r="939" spans="4:13" x14ac:dyDescent="0.4">
      <c r="D939"/>
      <c r="I939" s="5"/>
      <c r="L939" s="173"/>
      <c r="M939" s="174"/>
    </row>
    <row r="940" spans="4:13" x14ac:dyDescent="0.4">
      <c r="D940"/>
      <c r="I940" s="5"/>
      <c r="L940" s="173"/>
      <c r="M940" s="174"/>
    </row>
    <row r="941" spans="4:13" x14ac:dyDescent="0.4">
      <c r="D941"/>
      <c r="I941" s="5"/>
      <c r="L941" s="173"/>
      <c r="M941" s="174"/>
    </row>
    <row r="942" spans="4:13" x14ac:dyDescent="0.4">
      <c r="D942"/>
      <c r="I942" s="5"/>
      <c r="L942" s="173"/>
      <c r="M942" s="174"/>
    </row>
    <row r="943" spans="4:13" x14ac:dyDescent="0.4">
      <c r="D943"/>
      <c r="I943" s="5"/>
      <c r="L943" s="173"/>
      <c r="M943" s="174"/>
    </row>
    <row r="944" spans="4:13" x14ac:dyDescent="0.4">
      <c r="D944"/>
      <c r="I944" s="5"/>
      <c r="L944" s="173"/>
      <c r="M944" s="174"/>
    </row>
    <row r="945" spans="4:13" x14ac:dyDescent="0.4">
      <c r="D945"/>
      <c r="I945" s="5"/>
      <c r="L945" s="173"/>
      <c r="M945" s="174"/>
    </row>
    <row r="946" spans="4:13" x14ac:dyDescent="0.4">
      <c r="D946"/>
      <c r="I946" s="5"/>
      <c r="L946" s="178"/>
      <c r="M946" s="174"/>
    </row>
    <row r="947" spans="4:13" x14ac:dyDescent="0.4">
      <c r="D947"/>
      <c r="I947" s="5"/>
      <c r="L947" s="173"/>
      <c r="M947" s="174"/>
    </row>
    <row r="948" spans="4:13" x14ac:dyDescent="0.4">
      <c r="D948"/>
      <c r="I948" s="5"/>
      <c r="L948" s="173"/>
      <c r="M948" s="174"/>
    </row>
    <row r="949" spans="4:13" x14ac:dyDescent="0.4">
      <c r="D949"/>
      <c r="I949" s="5"/>
      <c r="L949" s="173"/>
      <c r="M949" s="174"/>
    </row>
    <row r="950" spans="4:13" x14ac:dyDescent="0.4">
      <c r="D950"/>
      <c r="I950" s="5"/>
      <c r="L950" s="173"/>
      <c r="M950" s="174"/>
    </row>
    <row r="951" spans="4:13" x14ac:dyDescent="0.4">
      <c r="D951"/>
      <c r="I951" s="5"/>
      <c r="L951" s="173"/>
      <c r="M951" s="174"/>
    </row>
    <row r="952" spans="4:13" x14ac:dyDescent="0.4">
      <c r="D952"/>
      <c r="I952" s="5"/>
      <c r="L952" s="173"/>
      <c r="M952" s="174"/>
    </row>
    <row r="953" spans="4:13" x14ac:dyDescent="0.4">
      <c r="D953"/>
      <c r="I953" s="5"/>
      <c r="L953" s="173"/>
      <c r="M953" s="174"/>
    </row>
    <row r="954" spans="4:13" x14ac:dyDescent="0.4">
      <c r="D954"/>
      <c r="I954" s="5"/>
      <c r="L954" s="173"/>
      <c r="M954" s="174"/>
    </row>
    <row r="955" spans="4:13" x14ac:dyDescent="0.4">
      <c r="D955"/>
      <c r="I955" s="5"/>
      <c r="L955" s="173"/>
      <c r="M955" s="174"/>
    </row>
    <row r="956" spans="4:13" x14ac:dyDescent="0.4">
      <c r="D956"/>
      <c r="I956" s="5"/>
      <c r="L956" s="173"/>
      <c r="M956" s="174"/>
    </row>
    <row r="957" spans="4:13" x14ac:dyDescent="0.4">
      <c r="D957"/>
      <c r="I957" s="5"/>
      <c r="L957" s="173"/>
      <c r="M957" s="174"/>
    </row>
    <row r="958" spans="4:13" x14ac:dyDescent="0.4">
      <c r="D958"/>
      <c r="I958" s="5"/>
      <c r="L958" s="173"/>
      <c r="M958" s="174"/>
    </row>
    <row r="959" spans="4:13" x14ac:dyDescent="0.4">
      <c r="D959"/>
      <c r="I959" s="5"/>
      <c r="L959" s="184"/>
      <c r="M959" s="174"/>
    </row>
    <row r="960" spans="4:13" x14ac:dyDescent="0.4">
      <c r="D960"/>
      <c r="I960" s="5"/>
      <c r="L960" s="184"/>
      <c r="M960" s="174"/>
    </row>
    <row r="961" spans="4:13" x14ac:dyDescent="0.4">
      <c r="D961"/>
      <c r="I961" s="5"/>
      <c r="L961" s="184"/>
      <c r="M961" s="174"/>
    </row>
    <row r="962" spans="4:13" x14ac:dyDescent="0.4">
      <c r="D962"/>
      <c r="I962" s="5"/>
      <c r="L962" s="184"/>
      <c r="M962" s="174"/>
    </row>
    <row r="963" spans="4:13" x14ac:dyDescent="0.4">
      <c r="D963"/>
      <c r="I963" s="5"/>
      <c r="L963" s="184"/>
      <c r="M963" s="174"/>
    </row>
    <row r="964" spans="4:13" x14ac:dyDescent="0.4">
      <c r="D964"/>
      <c r="I964" s="5"/>
      <c r="L964" s="184"/>
      <c r="M964" s="174"/>
    </row>
    <row r="965" spans="4:13" x14ac:dyDescent="0.4">
      <c r="D965"/>
      <c r="I965" s="5"/>
      <c r="L965" s="184"/>
      <c r="M965" s="174"/>
    </row>
    <row r="966" spans="4:13" x14ac:dyDescent="0.4">
      <c r="D966"/>
      <c r="I966" s="5"/>
      <c r="L966" s="184"/>
      <c r="M966" s="174"/>
    </row>
    <row r="967" spans="4:13" x14ac:dyDescent="0.4">
      <c r="D967"/>
      <c r="I967" s="5"/>
      <c r="L967" s="184"/>
      <c r="M967" s="174"/>
    </row>
    <row r="968" spans="4:13" x14ac:dyDescent="0.4">
      <c r="D968"/>
      <c r="I968" s="5"/>
      <c r="L968" s="184"/>
      <c r="M968" s="174"/>
    </row>
    <row r="969" spans="4:13" x14ac:dyDescent="0.4">
      <c r="D969"/>
      <c r="I969" s="5"/>
      <c r="L969" s="184"/>
      <c r="M969" s="174"/>
    </row>
    <row r="970" spans="4:13" x14ac:dyDescent="0.4">
      <c r="D970"/>
      <c r="I970" s="5"/>
      <c r="L970" s="184"/>
      <c r="M970" s="174"/>
    </row>
    <row r="971" spans="4:13" x14ac:dyDescent="0.4">
      <c r="D971"/>
      <c r="I971" s="5"/>
      <c r="L971" s="184"/>
      <c r="M971" s="174"/>
    </row>
    <row r="972" spans="4:13" x14ac:dyDescent="0.4">
      <c r="D972"/>
      <c r="I972" s="5"/>
      <c r="L972" s="184"/>
      <c r="M972" s="174"/>
    </row>
    <row r="973" spans="4:13" x14ac:dyDescent="0.4">
      <c r="D973"/>
      <c r="I973" s="5"/>
      <c r="L973" s="173"/>
      <c r="M973" s="174"/>
    </row>
    <row r="974" spans="4:13" x14ac:dyDescent="0.4">
      <c r="D974"/>
      <c r="I974" s="5"/>
      <c r="L974" s="173"/>
      <c r="M974" s="174"/>
    </row>
    <row r="975" spans="4:13" x14ac:dyDescent="0.4">
      <c r="D975"/>
      <c r="I975" s="5"/>
      <c r="L975" s="178"/>
      <c r="M975" s="174"/>
    </row>
    <row r="976" spans="4:13" x14ac:dyDescent="0.4">
      <c r="D976"/>
      <c r="I976" s="5"/>
      <c r="L976" s="178"/>
      <c r="M976" s="174"/>
    </row>
    <row r="977" spans="4:13" x14ac:dyDescent="0.4">
      <c r="D977"/>
      <c r="I977" s="5"/>
      <c r="L977" s="178"/>
      <c r="M977" s="174"/>
    </row>
    <row r="978" spans="4:13" x14ac:dyDescent="0.4">
      <c r="D978"/>
      <c r="I978" s="5"/>
      <c r="L978" s="178"/>
      <c r="M978" s="174"/>
    </row>
    <row r="979" spans="4:13" x14ac:dyDescent="0.4">
      <c r="D979"/>
      <c r="I979" s="5"/>
      <c r="L979" s="178"/>
      <c r="M979" s="174"/>
    </row>
    <row r="980" spans="4:13" x14ac:dyDescent="0.4">
      <c r="D980"/>
      <c r="I980" s="5"/>
      <c r="L980" s="184"/>
      <c r="M980" s="174"/>
    </row>
    <row r="981" spans="4:13" x14ac:dyDescent="0.4">
      <c r="D981"/>
      <c r="I981" s="5"/>
      <c r="L981" s="173"/>
      <c r="M981" s="174"/>
    </row>
    <row r="982" spans="4:13" x14ac:dyDescent="0.4">
      <c r="D982"/>
      <c r="I982" s="5"/>
      <c r="L982" s="173"/>
      <c r="M982" s="174"/>
    </row>
    <row r="983" spans="4:13" x14ac:dyDescent="0.4">
      <c r="D983"/>
      <c r="I983" s="5"/>
      <c r="L983" s="173"/>
      <c r="M983" s="174"/>
    </row>
    <row r="984" spans="4:13" x14ac:dyDescent="0.4">
      <c r="D984"/>
      <c r="I984" s="5"/>
      <c r="L984" s="173"/>
      <c r="M984" s="174"/>
    </row>
    <row r="985" spans="4:13" x14ac:dyDescent="0.4">
      <c r="D985"/>
      <c r="I985" s="5"/>
      <c r="L985" s="173"/>
      <c r="M985" s="174"/>
    </row>
    <row r="986" spans="4:13" x14ac:dyDescent="0.4">
      <c r="D986"/>
      <c r="I986" s="5"/>
      <c r="L986" s="173"/>
      <c r="M986" s="174"/>
    </row>
    <row r="987" spans="4:13" x14ac:dyDescent="0.4">
      <c r="D987"/>
      <c r="I987" s="5"/>
      <c r="L987" s="173"/>
      <c r="M987" s="174"/>
    </row>
    <row r="988" spans="4:13" x14ac:dyDescent="0.4">
      <c r="D988"/>
      <c r="I988" s="5"/>
      <c r="L988" s="173"/>
      <c r="M988" s="174"/>
    </row>
    <row r="989" spans="4:13" x14ac:dyDescent="0.4">
      <c r="D989"/>
      <c r="I989" s="5"/>
      <c r="L989" s="173"/>
      <c r="M989" s="174"/>
    </row>
    <row r="990" spans="4:13" x14ac:dyDescent="0.4">
      <c r="D990"/>
      <c r="I990" s="5"/>
      <c r="L990" s="173"/>
      <c r="M990" s="174"/>
    </row>
    <row r="991" spans="4:13" x14ac:dyDescent="0.4">
      <c r="D991"/>
      <c r="I991" s="5"/>
      <c r="L991" s="173"/>
      <c r="M991" s="174"/>
    </row>
    <row r="992" spans="4:13" x14ac:dyDescent="0.4">
      <c r="D992"/>
      <c r="I992" s="5"/>
      <c r="L992" s="188"/>
      <c r="M992" s="174"/>
    </row>
    <row r="993" spans="4:13" x14ac:dyDescent="0.4">
      <c r="D993"/>
      <c r="I993" s="5"/>
      <c r="L993" s="188"/>
      <c r="M993" s="174"/>
    </row>
    <row r="994" spans="4:13" x14ac:dyDescent="0.4">
      <c r="D994"/>
      <c r="I994" s="5"/>
      <c r="L994" s="188"/>
      <c r="M994" s="174"/>
    </row>
    <row r="995" spans="4:13" x14ac:dyDescent="0.4">
      <c r="D995"/>
      <c r="I995" s="5"/>
      <c r="L995" s="188"/>
      <c r="M995" s="174"/>
    </row>
    <row r="996" spans="4:13" x14ac:dyDescent="0.4">
      <c r="D996"/>
      <c r="I996" s="5"/>
      <c r="L996" s="188"/>
      <c r="M996" s="174"/>
    </row>
    <row r="997" spans="4:13" x14ac:dyDescent="0.4">
      <c r="D997"/>
      <c r="I997" s="5"/>
      <c r="L997" s="188"/>
      <c r="M997" s="174"/>
    </row>
    <row r="998" spans="4:13" x14ac:dyDescent="0.4">
      <c r="D998"/>
      <c r="I998" s="5"/>
      <c r="L998" s="188"/>
      <c r="M998" s="174"/>
    </row>
    <row r="999" spans="4:13" x14ac:dyDescent="0.4">
      <c r="D999"/>
      <c r="I999" s="5"/>
      <c r="L999" s="188"/>
      <c r="M999" s="174"/>
    </row>
    <row r="1000" spans="4:13" x14ac:dyDescent="0.4">
      <c r="D1000"/>
      <c r="I1000" s="5"/>
      <c r="L1000" s="188"/>
      <c r="M1000" s="174"/>
    </row>
    <row r="1001" spans="4:13" x14ac:dyDescent="0.4">
      <c r="D1001"/>
      <c r="I1001" s="5"/>
      <c r="L1001" s="188"/>
      <c r="M1001" s="174"/>
    </row>
    <row r="1002" spans="4:13" x14ac:dyDescent="0.4">
      <c r="D1002"/>
      <c r="I1002" s="5"/>
      <c r="L1002" s="188"/>
      <c r="M1002" s="174"/>
    </row>
    <row r="1003" spans="4:13" x14ac:dyDescent="0.4">
      <c r="D1003"/>
      <c r="I1003" s="5"/>
      <c r="L1003" s="188"/>
      <c r="M1003" s="174"/>
    </row>
    <row r="1004" spans="4:13" x14ac:dyDescent="0.4">
      <c r="D1004"/>
      <c r="I1004" s="5"/>
      <c r="L1004" s="188"/>
      <c r="M1004" s="174"/>
    </row>
    <row r="1005" spans="4:13" x14ac:dyDescent="0.4">
      <c r="D1005"/>
      <c r="I1005" s="5"/>
      <c r="L1005" s="188"/>
      <c r="M1005" s="174"/>
    </row>
    <row r="1006" spans="4:13" x14ac:dyDescent="0.4">
      <c r="D1006"/>
      <c r="I1006" s="5"/>
      <c r="L1006" s="188"/>
      <c r="M1006" s="174"/>
    </row>
    <row r="1007" spans="4:13" x14ac:dyDescent="0.4">
      <c r="D1007"/>
      <c r="I1007" s="5"/>
      <c r="L1007" s="188"/>
      <c r="M1007" s="174"/>
    </row>
    <row r="1008" spans="4:13" x14ac:dyDescent="0.4">
      <c r="D1008"/>
      <c r="I1008" s="5"/>
      <c r="L1008" s="188"/>
      <c r="M1008" s="174"/>
    </row>
    <row r="1009" spans="4:13" x14ac:dyDescent="0.4">
      <c r="D1009"/>
      <c r="I1009" s="5"/>
      <c r="L1009" s="188"/>
      <c r="M1009" s="174"/>
    </row>
    <row r="1010" spans="4:13" x14ac:dyDescent="0.4">
      <c r="D1010"/>
      <c r="I1010" s="5"/>
      <c r="L1010" s="188"/>
      <c r="M1010" s="174"/>
    </row>
    <row r="1011" spans="4:13" x14ac:dyDescent="0.4">
      <c r="D1011"/>
      <c r="I1011" s="5"/>
      <c r="L1011" s="188"/>
      <c r="M1011" s="174"/>
    </row>
    <row r="1012" spans="4:13" x14ac:dyDescent="0.4">
      <c r="D1012"/>
      <c r="I1012" s="5"/>
      <c r="L1012" s="188"/>
      <c r="M1012" s="174"/>
    </row>
    <row r="1013" spans="4:13" x14ac:dyDescent="0.4">
      <c r="D1013"/>
      <c r="I1013" s="5"/>
      <c r="L1013" s="188"/>
      <c r="M1013" s="174"/>
    </row>
    <row r="1014" spans="4:13" x14ac:dyDescent="0.4">
      <c r="D1014"/>
      <c r="I1014" s="5"/>
      <c r="L1014" s="188"/>
      <c r="M1014" s="174"/>
    </row>
    <row r="1015" spans="4:13" x14ac:dyDescent="0.4">
      <c r="D1015"/>
      <c r="I1015" s="5"/>
      <c r="L1015" s="188"/>
      <c r="M1015" s="174"/>
    </row>
    <row r="1016" spans="4:13" x14ac:dyDescent="0.4">
      <c r="D1016"/>
      <c r="I1016" s="5"/>
      <c r="L1016" s="173"/>
      <c r="M1016" s="174"/>
    </row>
    <row r="1017" spans="4:13" x14ac:dyDescent="0.4">
      <c r="D1017"/>
      <c r="I1017" s="5"/>
      <c r="L1017" s="184"/>
      <c r="M1017" s="174"/>
    </row>
    <row r="1018" spans="4:13" x14ac:dyDescent="0.4">
      <c r="D1018"/>
      <c r="I1018" s="5"/>
      <c r="L1018" s="173"/>
      <c r="M1018" s="174"/>
    </row>
    <row r="1019" spans="4:13" x14ac:dyDescent="0.4">
      <c r="D1019"/>
      <c r="I1019" s="5"/>
      <c r="L1019" s="173"/>
      <c r="M1019" s="174"/>
    </row>
    <row r="1020" spans="4:13" x14ac:dyDescent="0.4">
      <c r="D1020"/>
      <c r="I1020" s="5"/>
      <c r="L1020" s="173"/>
      <c r="M1020" s="174"/>
    </row>
    <row r="1021" spans="4:13" x14ac:dyDescent="0.4">
      <c r="D1021"/>
      <c r="I1021" s="5"/>
      <c r="L1021" s="173"/>
      <c r="M1021" s="174"/>
    </row>
    <row r="1022" spans="4:13" x14ac:dyDescent="0.4">
      <c r="D1022"/>
      <c r="I1022" s="5"/>
      <c r="L1022" s="173"/>
      <c r="M1022" s="174"/>
    </row>
    <row r="1023" spans="4:13" x14ac:dyDescent="0.4">
      <c r="D1023"/>
      <c r="I1023" s="5"/>
      <c r="L1023" s="173"/>
      <c r="M1023" s="174"/>
    </row>
    <row r="1024" spans="4:13" x14ac:dyDescent="0.4">
      <c r="D1024"/>
      <c r="I1024" s="5"/>
      <c r="L1024" s="173"/>
      <c r="M1024" s="174"/>
    </row>
    <row r="1025" spans="4:13" x14ac:dyDescent="0.4">
      <c r="D1025"/>
      <c r="I1025" s="5"/>
      <c r="L1025" s="173"/>
      <c r="M1025" s="174"/>
    </row>
    <row r="1026" spans="4:13" x14ac:dyDescent="0.4">
      <c r="D1026"/>
      <c r="I1026" s="5"/>
      <c r="L1026" s="173"/>
      <c r="M1026" s="174"/>
    </row>
    <row r="1027" spans="4:13" x14ac:dyDescent="0.4">
      <c r="D1027"/>
      <c r="I1027" s="5"/>
      <c r="L1027" s="173"/>
      <c r="M1027" s="174"/>
    </row>
    <row r="1028" spans="4:13" x14ac:dyDescent="0.4">
      <c r="D1028"/>
      <c r="I1028" s="5"/>
      <c r="L1028" s="173"/>
      <c r="M1028" s="174"/>
    </row>
    <row r="1029" spans="4:13" x14ac:dyDescent="0.4">
      <c r="D1029"/>
      <c r="I1029" s="5"/>
      <c r="L1029" s="173"/>
      <c r="M1029" s="174"/>
    </row>
    <row r="1030" spans="4:13" x14ac:dyDescent="0.4">
      <c r="D1030"/>
      <c r="I1030" s="5"/>
      <c r="L1030" s="173"/>
      <c r="M1030" s="174"/>
    </row>
    <row r="1031" spans="4:13" x14ac:dyDescent="0.4">
      <c r="D1031"/>
      <c r="I1031" s="5"/>
      <c r="L1031" s="173"/>
      <c r="M1031" s="174"/>
    </row>
    <row r="1032" spans="4:13" x14ac:dyDescent="0.4">
      <c r="D1032"/>
      <c r="I1032" s="5"/>
      <c r="L1032" s="173"/>
      <c r="M1032" s="174"/>
    </row>
    <row r="1033" spans="4:13" x14ac:dyDescent="0.4">
      <c r="D1033"/>
      <c r="I1033" s="5"/>
      <c r="L1033" s="173"/>
      <c r="M1033" s="174"/>
    </row>
    <row r="1034" spans="4:13" x14ac:dyDescent="0.4">
      <c r="D1034"/>
      <c r="I1034" s="5"/>
      <c r="L1034" s="173"/>
      <c r="M1034" s="174"/>
    </row>
    <row r="1035" spans="4:13" x14ac:dyDescent="0.4">
      <c r="D1035"/>
      <c r="I1035" s="5"/>
      <c r="L1035" s="173"/>
      <c r="M1035" s="174"/>
    </row>
    <row r="1036" spans="4:13" x14ac:dyDescent="0.4">
      <c r="D1036"/>
      <c r="I1036" s="5"/>
      <c r="L1036" s="173"/>
      <c r="M1036" s="174"/>
    </row>
    <row r="1037" spans="4:13" x14ac:dyDescent="0.4">
      <c r="D1037"/>
      <c r="I1037" s="5"/>
      <c r="L1037" s="173"/>
      <c r="M1037" s="174"/>
    </row>
    <row r="1038" spans="4:13" x14ac:dyDescent="0.4">
      <c r="D1038"/>
      <c r="I1038" s="5"/>
      <c r="L1038" s="173"/>
      <c r="M1038" s="174"/>
    </row>
    <row r="1039" spans="4:13" x14ac:dyDescent="0.4">
      <c r="D1039"/>
      <c r="I1039" s="5"/>
      <c r="L1039" s="173"/>
      <c r="M1039" s="174"/>
    </row>
    <row r="1040" spans="4:13" x14ac:dyDescent="0.4">
      <c r="D1040"/>
      <c r="I1040" s="5"/>
      <c r="L1040" s="173"/>
      <c r="M1040" s="174"/>
    </row>
    <row r="1041" spans="4:13" x14ac:dyDescent="0.4">
      <c r="D1041"/>
      <c r="I1041" s="5"/>
      <c r="L1041" s="173"/>
      <c r="M1041" s="174"/>
    </row>
    <row r="1042" spans="4:13" x14ac:dyDescent="0.4">
      <c r="D1042"/>
      <c r="I1042" s="5"/>
      <c r="L1042" s="173"/>
      <c r="M1042" s="174"/>
    </row>
    <row r="1043" spans="4:13" x14ac:dyDescent="0.4">
      <c r="D1043"/>
      <c r="I1043" s="5"/>
      <c r="L1043" s="173"/>
      <c r="M1043" s="174"/>
    </row>
    <row r="1044" spans="4:13" x14ac:dyDescent="0.4">
      <c r="D1044"/>
      <c r="I1044" s="5"/>
      <c r="L1044" s="173"/>
      <c r="M1044" s="174"/>
    </row>
    <row r="1045" spans="4:13" x14ac:dyDescent="0.4">
      <c r="D1045"/>
      <c r="I1045" s="5"/>
      <c r="L1045" s="173"/>
      <c r="M1045" s="174"/>
    </row>
    <row r="1046" spans="4:13" x14ac:dyDescent="0.4">
      <c r="D1046"/>
      <c r="I1046" s="5"/>
      <c r="L1046" s="173"/>
      <c r="M1046" s="174"/>
    </row>
    <row r="1047" spans="4:13" x14ac:dyDescent="0.4">
      <c r="D1047"/>
      <c r="I1047" s="5"/>
      <c r="L1047" s="173"/>
      <c r="M1047" s="174"/>
    </row>
    <row r="1048" spans="4:13" x14ac:dyDescent="0.4">
      <c r="D1048"/>
      <c r="I1048" s="5"/>
      <c r="L1048" s="173"/>
      <c r="M1048" s="174"/>
    </row>
    <row r="1049" spans="4:13" x14ac:dyDescent="0.4">
      <c r="D1049"/>
      <c r="I1049" s="5"/>
      <c r="L1049" s="178"/>
      <c r="M1049" s="174"/>
    </row>
    <row r="1050" spans="4:13" x14ac:dyDescent="0.4">
      <c r="D1050"/>
      <c r="I1050" s="5"/>
      <c r="L1050" s="178"/>
      <c r="M1050" s="174"/>
    </row>
    <row r="1051" spans="4:13" x14ac:dyDescent="0.4">
      <c r="D1051"/>
      <c r="I1051" s="5"/>
      <c r="L1051" s="173"/>
      <c r="M1051" s="174"/>
    </row>
    <row r="1052" spans="4:13" x14ac:dyDescent="0.4">
      <c r="D1052"/>
      <c r="I1052" s="5"/>
      <c r="L1052" s="173"/>
      <c r="M1052" s="174"/>
    </row>
    <row r="1053" spans="4:13" x14ac:dyDescent="0.4">
      <c r="D1053"/>
      <c r="I1053" s="5"/>
      <c r="L1053" s="173"/>
      <c r="M1053" s="174"/>
    </row>
    <row r="1054" spans="4:13" x14ac:dyDescent="0.4">
      <c r="D1054"/>
      <c r="I1054" s="5"/>
      <c r="L1054" s="173"/>
      <c r="M1054" s="174"/>
    </row>
    <row r="1055" spans="4:13" x14ac:dyDescent="0.4">
      <c r="D1055"/>
      <c r="I1055" s="5"/>
      <c r="L1055" s="173"/>
      <c r="M1055" s="174"/>
    </row>
    <row r="1056" spans="4:13" x14ac:dyDescent="0.4">
      <c r="D1056"/>
      <c r="I1056" s="5"/>
      <c r="L1056" s="173"/>
      <c r="M1056" s="174"/>
    </row>
    <row r="1057" spans="4:13" x14ac:dyDescent="0.4">
      <c r="D1057"/>
      <c r="I1057" s="5"/>
      <c r="L1057" s="173"/>
      <c r="M1057" s="174"/>
    </row>
    <row r="1058" spans="4:13" x14ac:dyDescent="0.4">
      <c r="D1058"/>
      <c r="I1058" s="5"/>
      <c r="L1058" s="173"/>
      <c r="M1058" s="174"/>
    </row>
    <row r="1059" spans="4:13" x14ac:dyDescent="0.4">
      <c r="D1059"/>
      <c r="I1059" s="5"/>
      <c r="L1059" s="173"/>
      <c r="M1059" s="174"/>
    </row>
    <row r="1060" spans="4:13" x14ac:dyDescent="0.4">
      <c r="D1060"/>
      <c r="I1060" s="5"/>
      <c r="L1060" s="173"/>
      <c r="M1060" s="174"/>
    </row>
    <row r="1061" spans="4:13" x14ac:dyDescent="0.4">
      <c r="D1061"/>
      <c r="I1061" s="5"/>
      <c r="L1061" s="173"/>
      <c r="M1061" s="174"/>
    </row>
    <row r="1062" spans="4:13" x14ac:dyDescent="0.4">
      <c r="D1062"/>
      <c r="I1062" s="5"/>
      <c r="L1062" s="173"/>
      <c r="M1062" s="174"/>
    </row>
    <row r="1063" spans="4:13" x14ac:dyDescent="0.4">
      <c r="D1063"/>
      <c r="I1063" s="5"/>
      <c r="L1063" s="173"/>
      <c r="M1063" s="174"/>
    </row>
    <row r="1064" spans="4:13" x14ac:dyDescent="0.4">
      <c r="D1064"/>
      <c r="I1064" s="5"/>
      <c r="L1064" s="173"/>
      <c r="M1064" s="174"/>
    </row>
    <row r="1065" spans="4:13" x14ac:dyDescent="0.4">
      <c r="D1065"/>
      <c r="I1065" s="5"/>
      <c r="L1065" s="173"/>
      <c r="M1065" s="174"/>
    </row>
    <row r="1066" spans="4:13" x14ac:dyDescent="0.4">
      <c r="D1066"/>
      <c r="I1066" s="5"/>
      <c r="L1066" s="173"/>
      <c r="M1066" s="174"/>
    </row>
    <row r="1067" spans="4:13" x14ac:dyDescent="0.4">
      <c r="D1067"/>
      <c r="I1067" s="5"/>
      <c r="L1067" s="173"/>
      <c r="M1067" s="174"/>
    </row>
    <row r="1068" spans="4:13" x14ac:dyDescent="0.4">
      <c r="D1068"/>
      <c r="I1068" s="5"/>
      <c r="L1068" s="173"/>
      <c r="M1068" s="174"/>
    </row>
    <row r="1069" spans="4:13" x14ac:dyDescent="0.4">
      <c r="D1069"/>
      <c r="I1069" s="5"/>
      <c r="L1069" s="178"/>
      <c r="M1069" s="174"/>
    </row>
    <row r="1070" spans="4:13" x14ac:dyDescent="0.4">
      <c r="D1070"/>
      <c r="I1070" s="5"/>
      <c r="L1070" s="173"/>
      <c r="M1070" s="174"/>
    </row>
    <row r="1071" spans="4:13" x14ac:dyDescent="0.4">
      <c r="D1071"/>
      <c r="I1071" s="5"/>
      <c r="L1071" s="173"/>
      <c r="M1071" s="174"/>
    </row>
    <row r="1072" spans="4:13" x14ac:dyDescent="0.4">
      <c r="D1072"/>
      <c r="I1072" s="5"/>
      <c r="L1072" s="184"/>
      <c r="M1072" s="174"/>
    </row>
    <row r="1073" spans="4:13" x14ac:dyDescent="0.4">
      <c r="D1073"/>
      <c r="I1073" s="5"/>
      <c r="L1073" s="184"/>
      <c r="M1073" s="174"/>
    </row>
    <row r="1074" spans="4:13" x14ac:dyDescent="0.4">
      <c r="D1074"/>
      <c r="I1074" s="5"/>
      <c r="L1074" s="184"/>
      <c r="M1074" s="174"/>
    </row>
    <row r="1075" spans="4:13" x14ac:dyDescent="0.4">
      <c r="D1075"/>
      <c r="I1075" s="5"/>
      <c r="L1075" s="184"/>
      <c r="M1075" s="174"/>
    </row>
    <row r="1076" spans="4:13" x14ac:dyDescent="0.4">
      <c r="D1076"/>
      <c r="I1076" s="5"/>
      <c r="L1076" s="184"/>
      <c r="M1076" s="174"/>
    </row>
    <row r="1077" spans="4:13" x14ac:dyDescent="0.4">
      <c r="D1077"/>
      <c r="I1077" s="5"/>
      <c r="L1077" s="184"/>
      <c r="M1077" s="174"/>
    </row>
    <row r="1078" spans="4:13" x14ac:dyDescent="0.4">
      <c r="D1078"/>
      <c r="I1078" s="5"/>
      <c r="L1078" s="184"/>
      <c r="M1078" s="174"/>
    </row>
    <row r="1079" spans="4:13" x14ac:dyDescent="0.4">
      <c r="D1079"/>
      <c r="I1079" s="5"/>
      <c r="L1079" s="184"/>
      <c r="M1079" s="174"/>
    </row>
    <row r="1080" spans="4:13" x14ac:dyDescent="0.4">
      <c r="D1080"/>
      <c r="I1080" s="5"/>
      <c r="L1080" s="184"/>
      <c r="M1080" s="174"/>
    </row>
    <row r="1081" spans="4:13" x14ac:dyDescent="0.4">
      <c r="D1081"/>
      <c r="I1081" s="5"/>
      <c r="L1081" s="184"/>
      <c r="M1081" s="174"/>
    </row>
    <row r="1082" spans="4:13" x14ac:dyDescent="0.4">
      <c r="D1082"/>
      <c r="I1082" s="5"/>
      <c r="L1082" s="184"/>
      <c r="M1082" s="174"/>
    </row>
    <row r="1083" spans="4:13" x14ac:dyDescent="0.4">
      <c r="D1083"/>
      <c r="I1083" s="5"/>
      <c r="L1083" s="184"/>
      <c r="M1083" s="174"/>
    </row>
    <row r="1084" spans="4:13" x14ac:dyDescent="0.4">
      <c r="D1084"/>
      <c r="I1084" s="5"/>
      <c r="L1084" s="184"/>
      <c r="M1084" s="174"/>
    </row>
    <row r="1085" spans="4:13" x14ac:dyDescent="0.4">
      <c r="D1085"/>
      <c r="I1085" s="5"/>
      <c r="L1085" s="184"/>
      <c r="M1085" s="174"/>
    </row>
    <row r="1086" spans="4:13" x14ac:dyDescent="0.4">
      <c r="D1086"/>
      <c r="I1086" s="5"/>
      <c r="L1086" s="184"/>
      <c r="M1086" s="174"/>
    </row>
    <row r="1087" spans="4:13" x14ac:dyDescent="0.4">
      <c r="D1087"/>
      <c r="I1087" s="5"/>
      <c r="L1087" s="184"/>
      <c r="M1087" s="174"/>
    </row>
    <row r="1088" spans="4:13" x14ac:dyDescent="0.4">
      <c r="D1088"/>
      <c r="I1088" s="5"/>
      <c r="L1088" s="184"/>
      <c r="M1088" s="174"/>
    </row>
    <row r="1089" spans="4:13" x14ac:dyDescent="0.4">
      <c r="D1089"/>
      <c r="I1089" s="5"/>
      <c r="L1089" s="184"/>
      <c r="M1089" s="174"/>
    </row>
    <row r="1090" spans="4:13" x14ac:dyDescent="0.4">
      <c r="D1090"/>
      <c r="I1090" s="5"/>
      <c r="L1090" s="184"/>
      <c r="M1090" s="174"/>
    </row>
    <row r="1091" spans="4:13" x14ac:dyDescent="0.4">
      <c r="D1091"/>
      <c r="I1091" s="5"/>
      <c r="L1091" s="184"/>
      <c r="M1091" s="174"/>
    </row>
    <row r="1092" spans="4:13" x14ac:dyDescent="0.4">
      <c r="D1092"/>
      <c r="I1092" s="5"/>
      <c r="L1092" s="184"/>
      <c r="M1092" s="174"/>
    </row>
    <row r="1093" spans="4:13" x14ac:dyDescent="0.4">
      <c r="D1093"/>
      <c r="I1093" s="5"/>
      <c r="L1093" s="184"/>
      <c r="M1093" s="174"/>
    </row>
    <row r="1094" spans="4:13" x14ac:dyDescent="0.4">
      <c r="D1094"/>
      <c r="I1094" s="5"/>
      <c r="L1094" s="184"/>
      <c r="M1094" s="174"/>
    </row>
    <row r="1095" spans="4:13" x14ac:dyDescent="0.4">
      <c r="D1095"/>
      <c r="I1095" s="5"/>
      <c r="L1095" s="184"/>
      <c r="M1095" s="174"/>
    </row>
    <row r="1096" spans="4:13" x14ac:dyDescent="0.4">
      <c r="D1096"/>
      <c r="I1096" s="5"/>
      <c r="L1096" s="184"/>
      <c r="M1096" s="174"/>
    </row>
    <row r="1097" spans="4:13" x14ac:dyDescent="0.4">
      <c r="D1097"/>
      <c r="I1097" s="5"/>
      <c r="L1097" s="184"/>
      <c r="M1097" s="174"/>
    </row>
    <row r="1098" spans="4:13" x14ac:dyDescent="0.4">
      <c r="D1098"/>
      <c r="I1098" s="5"/>
      <c r="L1098" s="184"/>
      <c r="M1098" s="174"/>
    </row>
    <row r="1099" spans="4:13" x14ac:dyDescent="0.4">
      <c r="D1099"/>
      <c r="I1099" s="5"/>
      <c r="L1099" s="184"/>
      <c r="M1099" s="174"/>
    </row>
    <row r="1100" spans="4:13" x14ac:dyDescent="0.4">
      <c r="D1100"/>
      <c r="I1100" s="5"/>
      <c r="L1100" s="184"/>
      <c r="M1100" s="174"/>
    </row>
    <row r="1101" spans="4:13" x14ac:dyDescent="0.4">
      <c r="D1101"/>
      <c r="I1101" s="5"/>
      <c r="L1101" s="184"/>
      <c r="M1101" s="174"/>
    </row>
    <row r="1102" spans="4:13" x14ac:dyDescent="0.4">
      <c r="D1102"/>
      <c r="I1102" s="5"/>
      <c r="L1102" s="184"/>
      <c r="M1102" s="174"/>
    </row>
    <row r="1103" spans="4:13" x14ac:dyDescent="0.4">
      <c r="D1103"/>
      <c r="I1103" s="5"/>
      <c r="L1103" s="184"/>
      <c r="M1103" s="174"/>
    </row>
    <row r="1104" spans="4:13" x14ac:dyDescent="0.4">
      <c r="D1104"/>
      <c r="I1104" s="5"/>
      <c r="L1104" s="184"/>
      <c r="M1104" s="174"/>
    </row>
    <row r="1105" spans="4:13" x14ac:dyDescent="0.4">
      <c r="D1105"/>
      <c r="I1105" s="5"/>
      <c r="L1105" s="184"/>
      <c r="M1105" s="174"/>
    </row>
    <row r="1106" spans="4:13" x14ac:dyDescent="0.4">
      <c r="D1106"/>
      <c r="I1106" s="5"/>
      <c r="L1106" s="184"/>
      <c r="M1106" s="174"/>
    </row>
    <row r="1107" spans="4:13" x14ac:dyDescent="0.4">
      <c r="D1107"/>
      <c r="I1107" s="5"/>
      <c r="L1107" s="184"/>
      <c r="M1107" s="174"/>
    </row>
    <row r="1108" spans="4:13" x14ac:dyDescent="0.4">
      <c r="D1108"/>
      <c r="I1108" s="5"/>
      <c r="L1108" s="184"/>
      <c r="M1108" s="174"/>
    </row>
    <row r="1109" spans="4:13" x14ac:dyDescent="0.4">
      <c r="D1109"/>
      <c r="I1109" s="5"/>
      <c r="L1109" s="184"/>
      <c r="M1109" s="174"/>
    </row>
    <row r="1110" spans="4:13" x14ac:dyDescent="0.4">
      <c r="D1110"/>
      <c r="I1110" s="5"/>
      <c r="L1110" s="184"/>
      <c r="M1110" s="174"/>
    </row>
    <row r="1111" spans="4:13" x14ac:dyDescent="0.4">
      <c r="D1111"/>
      <c r="I1111" s="5"/>
      <c r="L1111" s="184"/>
      <c r="M1111" s="174"/>
    </row>
    <row r="1112" spans="4:13" x14ac:dyDescent="0.4">
      <c r="D1112"/>
      <c r="I1112" s="5"/>
      <c r="L1112" s="184"/>
      <c r="M1112" s="174"/>
    </row>
    <row r="1113" spans="4:13" x14ac:dyDescent="0.4">
      <c r="D1113"/>
      <c r="I1113" s="5"/>
      <c r="L1113" s="184"/>
      <c r="M1113" s="174"/>
    </row>
    <row r="1114" spans="4:13" x14ac:dyDescent="0.4">
      <c r="D1114"/>
      <c r="I1114" s="5"/>
      <c r="L1114" s="184"/>
      <c r="M1114" s="174"/>
    </row>
    <row r="1115" spans="4:13" x14ac:dyDescent="0.4">
      <c r="D1115"/>
      <c r="I1115" s="5"/>
      <c r="L1115" s="184"/>
      <c r="M1115" s="174"/>
    </row>
    <row r="1116" spans="4:13" x14ac:dyDescent="0.4">
      <c r="D1116"/>
      <c r="I1116" s="5"/>
      <c r="L1116" s="184"/>
      <c r="M1116" s="174"/>
    </row>
    <row r="1117" spans="4:13" x14ac:dyDescent="0.4">
      <c r="D1117"/>
      <c r="I1117" s="5"/>
      <c r="L1117" s="184"/>
      <c r="M1117" s="174"/>
    </row>
    <row r="1118" spans="4:13" x14ac:dyDescent="0.4">
      <c r="D1118"/>
      <c r="I1118" s="5"/>
      <c r="L1118" s="184"/>
      <c r="M1118" s="174"/>
    </row>
    <row r="1119" spans="4:13" x14ac:dyDescent="0.4">
      <c r="D1119"/>
      <c r="I1119" s="5"/>
      <c r="L1119" s="184"/>
      <c r="M1119" s="174"/>
    </row>
    <row r="1120" spans="4:13" x14ac:dyDescent="0.4">
      <c r="D1120"/>
      <c r="I1120" s="5"/>
      <c r="L1120" s="184"/>
      <c r="M1120" s="174"/>
    </row>
    <row r="1121" spans="4:13" x14ac:dyDescent="0.4">
      <c r="D1121"/>
      <c r="I1121" s="5"/>
      <c r="L1121" s="184"/>
      <c r="M1121" s="174"/>
    </row>
    <row r="1122" spans="4:13" x14ac:dyDescent="0.4">
      <c r="D1122"/>
      <c r="I1122" s="5"/>
      <c r="L1122" s="184"/>
      <c r="M1122" s="174"/>
    </row>
    <row r="1123" spans="4:13" x14ac:dyDescent="0.4">
      <c r="D1123"/>
      <c r="I1123" s="5"/>
      <c r="L1123" s="184"/>
      <c r="M1123" s="174"/>
    </row>
    <row r="1124" spans="4:13" x14ac:dyDescent="0.4">
      <c r="D1124"/>
      <c r="I1124" s="5"/>
      <c r="L1124" s="184"/>
      <c r="M1124" s="174"/>
    </row>
    <row r="1125" spans="4:13" x14ac:dyDescent="0.4">
      <c r="D1125"/>
      <c r="I1125" s="5"/>
      <c r="L1125" s="184"/>
      <c r="M1125" s="174"/>
    </row>
    <row r="1126" spans="4:13" x14ac:dyDescent="0.4">
      <c r="D1126"/>
      <c r="I1126" s="5"/>
      <c r="L1126" s="184"/>
      <c r="M1126" s="174"/>
    </row>
    <row r="1127" spans="4:13" x14ac:dyDescent="0.4">
      <c r="D1127"/>
      <c r="I1127" s="5"/>
      <c r="L1127" s="184"/>
      <c r="M1127" s="174"/>
    </row>
    <row r="1128" spans="4:13" x14ac:dyDescent="0.4">
      <c r="D1128"/>
      <c r="I1128" s="5"/>
      <c r="L1128" s="184"/>
      <c r="M1128" s="174"/>
    </row>
    <row r="1129" spans="4:13" x14ac:dyDescent="0.4">
      <c r="D1129"/>
      <c r="I1129" s="5"/>
      <c r="L1129" s="184"/>
      <c r="M1129" s="174"/>
    </row>
    <row r="1130" spans="4:13" x14ac:dyDescent="0.4">
      <c r="D1130"/>
      <c r="I1130" s="5"/>
      <c r="L1130" s="184"/>
      <c r="M1130" s="174"/>
    </row>
    <row r="1131" spans="4:13" x14ac:dyDescent="0.4">
      <c r="D1131"/>
      <c r="I1131" s="5"/>
      <c r="L1131" s="184"/>
      <c r="M1131" s="174"/>
    </row>
    <row r="1132" spans="4:13" x14ac:dyDescent="0.4">
      <c r="D1132"/>
      <c r="I1132" s="5"/>
      <c r="L1132" s="184"/>
      <c r="M1132" s="174"/>
    </row>
    <row r="1133" spans="4:13" x14ac:dyDescent="0.4">
      <c r="D1133"/>
      <c r="I1133" s="5"/>
      <c r="L1133" s="184"/>
      <c r="M1133" s="174"/>
    </row>
    <row r="1134" spans="4:13" x14ac:dyDescent="0.4">
      <c r="D1134"/>
      <c r="I1134" s="5"/>
      <c r="L1134" s="184"/>
      <c r="M1134" s="174"/>
    </row>
    <row r="1135" spans="4:13" x14ac:dyDescent="0.4">
      <c r="D1135"/>
      <c r="I1135" s="5"/>
      <c r="L1135" s="178"/>
      <c r="M1135" s="174"/>
    </row>
    <row r="1136" spans="4:13" x14ac:dyDescent="0.4">
      <c r="D1136"/>
      <c r="I1136" s="5"/>
      <c r="L1136" s="188"/>
      <c r="M1136" s="174"/>
    </row>
    <row r="1137" spans="4:13" x14ac:dyDescent="0.4">
      <c r="D1137"/>
      <c r="I1137" s="5"/>
      <c r="L1137" s="188"/>
      <c r="M1137" s="174"/>
    </row>
    <row r="1138" spans="4:13" x14ac:dyDescent="0.4">
      <c r="D1138"/>
      <c r="I1138" s="5"/>
      <c r="L1138" s="188"/>
      <c r="M1138" s="174"/>
    </row>
    <row r="1139" spans="4:13" x14ac:dyDescent="0.4">
      <c r="D1139"/>
      <c r="I1139" s="5"/>
      <c r="L1139" s="188"/>
      <c r="M1139" s="174"/>
    </row>
    <row r="1140" spans="4:13" x14ac:dyDescent="0.4">
      <c r="D1140"/>
      <c r="I1140" s="5"/>
      <c r="L1140" s="184"/>
      <c r="M1140" s="174"/>
    </row>
    <row r="1141" spans="4:13" x14ac:dyDescent="0.4">
      <c r="D1141"/>
      <c r="I1141" s="5"/>
      <c r="L1141" s="178"/>
      <c r="M1141" s="174"/>
    </row>
    <row r="1142" spans="4:13" x14ac:dyDescent="0.4">
      <c r="D1142"/>
      <c r="I1142" s="5"/>
      <c r="L1142" s="178"/>
      <c r="M1142" s="174"/>
    </row>
    <row r="1143" spans="4:13" x14ac:dyDescent="0.4">
      <c r="D1143"/>
      <c r="I1143" s="5"/>
      <c r="L1143" s="178"/>
      <c r="M1143" s="174"/>
    </row>
    <row r="1144" spans="4:13" x14ac:dyDescent="0.4">
      <c r="D1144"/>
      <c r="I1144" s="5"/>
      <c r="L1144" s="184"/>
      <c r="M1144" s="174"/>
    </row>
    <row r="1145" spans="4:13" x14ac:dyDescent="0.4">
      <c r="D1145"/>
      <c r="I1145" s="5"/>
      <c r="L1145" s="184"/>
      <c r="M1145" s="174"/>
    </row>
    <row r="1146" spans="4:13" x14ac:dyDescent="0.4">
      <c r="D1146"/>
      <c r="I1146" s="5"/>
      <c r="L1146" s="184"/>
      <c r="M1146" s="174"/>
    </row>
    <row r="1147" spans="4:13" x14ac:dyDescent="0.4">
      <c r="D1147"/>
      <c r="I1147" s="5"/>
      <c r="L1147" s="184"/>
      <c r="M1147" s="174"/>
    </row>
    <row r="1148" spans="4:13" x14ac:dyDescent="0.4">
      <c r="D1148"/>
      <c r="I1148" s="5"/>
      <c r="L1148" s="173"/>
      <c r="M1148" s="174"/>
    </row>
    <row r="1149" spans="4:13" x14ac:dyDescent="0.4">
      <c r="D1149"/>
      <c r="I1149" s="5"/>
      <c r="L1149" s="173"/>
      <c r="M1149" s="174"/>
    </row>
    <row r="1150" spans="4:13" x14ac:dyDescent="0.4">
      <c r="D1150"/>
      <c r="I1150" s="5"/>
      <c r="L1150" s="173"/>
      <c r="M1150" s="174"/>
    </row>
    <row r="1151" spans="4:13" x14ac:dyDescent="0.4">
      <c r="D1151"/>
      <c r="I1151" s="5"/>
      <c r="L1151" s="188"/>
      <c r="M1151" s="174"/>
    </row>
    <row r="1152" spans="4:13" x14ac:dyDescent="0.4">
      <c r="D1152"/>
      <c r="I1152" s="5"/>
      <c r="L1152" s="173"/>
      <c r="M1152" s="174"/>
    </row>
    <row r="1153" spans="4:13" x14ac:dyDescent="0.4">
      <c r="D1153"/>
      <c r="I1153" s="5"/>
      <c r="L1153" s="185"/>
      <c r="M1153" s="174"/>
    </row>
    <row r="1154" spans="4:13" x14ac:dyDescent="0.4">
      <c r="D1154"/>
      <c r="I1154" s="5"/>
      <c r="L1154" s="173"/>
      <c r="M1154" s="174"/>
    </row>
    <row r="1155" spans="4:13" x14ac:dyDescent="0.4">
      <c r="D1155"/>
      <c r="I1155" s="5"/>
      <c r="L1155" s="184"/>
      <c r="M1155" s="174"/>
    </row>
    <row r="1156" spans="4:13" x14ac:dyDescent="0.4">
      <c r="D1156"/>
      <c r="I1156" s="5"/>
      <c r="L1156" s="184"/>
      <c r="M1156" s="174"/>
    </row>
    <row r="1157" spans="4:13" x14ac:dyDescent="0.4">
      <c r="D1157"/>
      <c r="I1157" s="5"/>
      <c r="L1157" s="184"/>
      <c r="M1157" s="174"/>
    </row>
    <row r="1158" spans="4:13" x14ac:dyDescent="0.4">
      <c r="D1158"/>
      <c r="I1158" s="5"/>
      <c r="L1158" s="184"/>
      <c r="M1158" s="174"/>
    </row>
    <row r="1159" spans="4:13" x14ac:dyDescent="0.4">
      <c r="D1159"/>
      <c r="I1159" s="5"/>
      <c r="L1159" s="184"/>
      <c r="M1159" s="174"/>
    </row>
    <row r="1160" spans="4:13" x14ac:dyDescent="0.4">
      <c r="D1160"/>
      <c r="I1160" s="5"/>
      <c r="L1160" s="184"/>
      <c r="M1160" s="174"/>
    </row>
    <row r="1161" spans="4:13" x14ac:dyDescent="0.4">
      <c r="D1161"/>
      <c r="I1161" s="5"/>
      <c r="L1161" s="184"/>
      <c r="M1161" s="174"/>
    </row>
    <row r="1162" spans="4:13" x14ac:dyDescent="0.4">
      <c r="D1162"/>
      <c r="I1162" s="5"/>
      <c r="L1162" s="184"/>
      <c r="M1162" s="174"/>
    </row>
    <row r="1163" spans="4:13" x14ac:dyDescent="0.4">
      <c r="D1163"/>
      <c r="I1163" s="5"/>
      <c r="L1163" s="184"/>
      <c r="M1163" s="174"/>
    </row>
    <row r="1164" spans="4:13" x14ac:dyDescent="0.4">
      <c r="D1164"/>
      <c r="I1164" s="5"/>
      <c r="L1164" s="189"/>
      <c r="M1164" s="174"/>
    </row>
    <row r="1165" spans="4:13" x14ac:dyDescent="0.4">
      <c r="D1165"/>
      <c r="I1165" s="5"/>
      <c r="L1165" s="189"/>
      <c r="M1165" s="174"/>
    </row>
    <row r="1166" spans="4:13" x14ac:dyDescent="0.4">
      <c r="D1166"/>
      <c r="I1166" s="5"/>
      <c r="L1166" s="189"/>
      <c r="M1166" s="174"/>
    </row>
    <row r="1167" spans="4:13" x14ac:dyDescent="0.4">
      <c r="D1167"/>
      <c r="I1167" s="5"/>
      <c r="L1167" s="189"/>
      <c r="M1167" s="174"/>
    </row>
    <row r="1168" spans="4:13" x14ac:dyDescent="0.4">
      <c r="D1168"/>
      <c r="I1168" s="5"/>
      <c r="L1168" s="189"/>
      <c r="M1168" s="174"/>
    </row>
    <row r="1169" spans="4:13" x14ac:dyDescent="0.4">
      <c r="D1169"/>
      <c r="I1169" s="5"/>
      <c r="L1169" s="188"/>
      <c r="M1169" s="174"/>
    </row>
    <row r="1170" spans="4:13" x14ac:dyDescent="0.4">
      <c r="D1170"/>
      <c r="I1170" s="5"/>
      <c r="L1170" s="173"/>
      <c r="M1170" s="174"/>
    </row>
    <row r="1171" spans="4:13" x14ac:dyDescent="0.4">
      <c r="D1171"/>
      <c r="I1171" s="5"/>
      <c r="L1171" s="173"/>
      <c r="M1171" s="174"/>
    </row>
    <row r="1172" spans="4:13" x14ac:dyDescent="0.4">
      <c r="D1172"/>
      <c r="I1172" s="5"/>
      <c r="L1172" s="188"/>
      <c r="M1172" s="174"/>
    </row>
    <row r="1173" spans="4:13" x14ac:dyDescent="0.4">
      <c r="D1173"/>
      <c r="I1173" s="5"/>
      <c r="L1173" s="188"/>
      <c r="M1173" s="174"/>
    </row>
    <row r="1174" spans="4:13" x14ac:dyDescent="0.4">
      <c r="D1174"/>
      <c r="I1174" s="5"/>
      <c r="L1174" s="188"/>
      <c r="M1174" s="174"/>
    </row>
    <row r="1175" spans="4:13" x14ac:dyDescent="0.4">
      <c r="D1175"/>
      <c r="I1175" s="5"/>
      <c r="L1175" s="173"/>
      <c r="M1175" s="174"/>
    </row>
    <row r="1176" spans="4:13" x14ac:dyDescent="0.4">
      <c r="D1176"/>
      <c r="I1176" s="5"/>
      <c r="L1176" s="188"/>
      <c r="M1176" s="174"/>
    </row>
    <row r="1177" spans="4:13" x14ac:dyDescent="0.4">
      <c r="D1177"/>
      <c r="I1177" s="5"/>
      <c r="L1177" s="188"/>
      <c r="M1177" s="174"/>
    </row>
    <row r="1178" spans="4:13" x14ac:dyDescent="0.4">
      <c r="D1178"/>
      <c r="I1178" s="5"/>
      <c r="L1178" s="188"/>
      <c r="M1178" s="174"/>
    </row>
    <row r="1179" spans="4:13" x14ac:dyDescent="0.4">
      <c r="D1179"/>
      <c r="I1179" s="5"/>
      <c r="L1179" s="188"/>
      <c r="M1179" s="174"/>
    </row>
    <row r="1180" spans="4:13" x14ac:dyDescent="0.4">
      <c r="D1180"/>
      <c r="I1180" s="5"/>
      <c r="L1180" s="188"/>
      <c r="M1180" s="174"/>
    </row>
    <row r="1181" spans="4:13" x14ac:dyDescent="0.4">
      <c r="D1181"/>
      <c r="I1181" s="5"/>
      <c r="L1181" s="184"/>
      <c r="M1181" s="174"/>
    </row>
    <row r="1182" spans="4:13" x14ac:dyDescent="0.4">
      <c r="D1182"/>
      <c r="I1182" s="5"/>
      <c r="L1182" s="178"/>
      <c r="M1182" s="174"/>
    </row>
    <row r="1183" spans="4:13" x14ac:dyDescent="0.4">
      <c r="D1183"/>
      <c r="I1183" s="5"/>
      <c r="L1183" s="178"/>
      <c r="M1183" s="174"/>
    </row>
    <row r="1184" spans="4:13" x14ac:dyDescent="0.4">
      <c r="D1184"/>
      <c r="I1184" s="5"/>
      <c r="L1184" s="188"/>
      <c r="M1184" s="174"/>
    </row>
    <row r="1185" spans="4:13" x14ac:dyDescent="0.4">
      <c r="D1185"/>
      <c r="I1185" s="5"/>
      <c r="L1185" s="173"/>
      <c r="M1185" s="174"/>
    </row>
    <row r="1186" spans="4:13" x14ac:dyDescent="0.4">
      <c r="D1186"/>
      <c r="I1186" s="5"/>
      <c r="L1186" s="173"/>
      <c r="M1186" s="174"/>
    </row>
    <row r="1187" spans="4:13" x14ac:dyDescent="0.4">
      <c r="D1187"/>
      <c r="I1187" s="5"/>
      <c r="L1187" s="173"/>
      <c r="M1187" s="174"/>
    </row>
    <row r="1188" spans="4:13" x14ac:dyDescent="0.4">
      <c r="D1188"/>
      <c r="I1188" s="5"/>
      <c r="L1188" s="173"/>
      <c r="M1188" s="174"/>
    </row>
    <row r="1189" spans="4:13" x14ac:dyDescent="0.4">
      <c r="D1189"/>
      <c r="I1189" s="5"/>
      <c r="L1189" s="173"/>
      <c r="M1189" s="174"/>
    </row>
    <row r="1190" spans="4:13" x14ac:dyDescent="0.4">
      <c r="D1190"/>
      <c r="I1190" s="5"/>
      <c r="L1190" s="173"/>
      <c r="M1190" s="174"/>
    </row>
    <row r="1191" spans="4:13" x14ac:dyDescent="0.4">
      <c r="D1191"/>
      <c r="I1191" s="5"/>
      <c r="L1191" s="173"/>
      <c r="M1191" s="174"/>
    </row>
    <row r="1192" spans="4:13" x14ac:dyDescent="0.4">
      <c r="D1192"/>
      <c r="I1192" s="5"/>
      <c r="L1192" s="173"/>
      <c r="M1192" s="174"/>
    </row>
    <row r="1193" spans="4:13" x14ac:dyDescent="0.4">
      <c r="D1193"/>
      <c r="I1193" s="5"/>
      <c r="L1193" s="173"/>
      <c r="M1193" s="174"/>
    </row>
    <row r="1194" spans="4:13" x14ac:dyDescent="0.4">
      <c r="D1194"/>
      <c r="I1194" s="5"/>
      <c r="L1194" s="173"/>
      <c r="M1194" s="174"/>
    </row>
    <row r="1195" spans="4:13" x14ac:dyDescent="0.4">
      <c r="D1195"/>
      <c r="I1195" s="5"/>
      <c r="L1195" s="173"/>
      <c r="M1195" s="174"/>
    </row>
    <row r="1196" spans="4:13" x14ac:dyDescent="0.4">
      <c r="D1196"/>
      <c r="I1196" s="5"/>
      <c r="L1196" s="188"/>
      <c r="M1196" s="174"/>
    </row>
    <row r="1197" spans="4:13" x14ac:dyDescent="0.4">
      <c r="D1197"/>
      <c r="I1197" s="5"/>
      <c r="L1197" s="188"/>
      <c r="M1197" s="174"/>
    </row>
    <row r="1198" spans="4:13" x14ac:dyDescent="0.4">
      <c r="D1198"/>
      <c r="I1198" s="5"/>
      <c r="L1198" s="188"/>
      <c r="M1198" s="174"/>
    </row>
    <row r="1199" spans="4:13" x14ac:dyDescent="0.4">
      <c r="D1199"/>
      <c r="I1199" s="5"/>
      <c r="L1199" s="188"/>
      <c r="M1199" s="174"/>
    </row>
    <row r="1200" spans="4:13" x14ac:dyDescent="0.4">
      <c r="D1200"/>
      <c r="I1200" s="5"/>
      <c r="L1200" s="188"/>
      <c r="M1200" s="174"/>
    </row>
    <row r="1201" spans="4:13" x14ac:dyDescent="0.4">
      <c r="D1201"/>
      <c r="I1201" s="5"/>
      <c r="L1201" s="188"/>
      <c r="M1201" s="174"/>
    </row>
    <row r="1202" spans="4:13" x14ac:dyDescent="0.4">
      <c r="D1202"/>
      <c r="I1202" s="5"/>
      <c r="L1202" s="188"/>
      <c r="M1202" s="174"/>
    </row>
    <row r="1203" spans="4:13" x14ac:dyDescent="0.4">
      <c r="D1203"/>
      <c r="I1203" s="5"/>
      <c r="L1203" s="173"/>
      <c r="M1203" s="174"/>
    </row>
    <row r="1204" spans="4:13" x14ac:dyDescent="0.4">
      <c r="D1204"/>
      <c r="I1204" s="5"/>
      <c r="L1204" s="173"/>
      <c r="M1204" s="174"/>
    </row>
    <row r="1205" spans="4:13" x14ac:dyDescent="0.4">
      <c r="D1205"/>
      <c r="I1205" s="5"/>
      <c r="L1205" s="173"/>
      <c r="M1205" s="174"/>
    </row>
    <row r="1206" spans="4:13" x14ac:dyDescent="0.4">
      <c r="D1206"/>
      <c r="I1206" s="5"/>
      <c r="L1206" s="173"/>
      <c r="M1206" s="174"/>
    </row>
    <row r="1207" spans="4:13" x14ac:dyDescent="0.4">
      <c r="D1207"/>
      <c r="I1207" s="5"/>
      <c r="L1207" s="173"/>
      <c r="M1207" s="174"/>
    </row>
    <row r="1208" spans="4:13" x14ac:dyDescent="0.4">
      <c r="D1208"/>
      <c r="I1208" s="5"/>
      <c r="L1208" s="173"/>
      <c r="M1208" s="174"/>
    </row>
    <row r="1209" spans="4:13" x14ac:dyDescent="0.4">
      <c r="D1209"/>
      <c r="I1209" s="5"/>
      <c r="L1209" s="173"/>
      <c r="M1209" s="174"/>
    </row>
    <row r="1210" spans="4:13" x14ac:dyDescent="0.4">
      <c r="D1210"/>
      <c r="I1210" s="5"/>
      <c r="L1210" s="173"/>
      <c r="M1210" s="174"/>
    </row>
    <row r="1211" spans="4:13" x14ac:dyDescent="0.4">
      <c r="D1211"/>
      <c r="I1211" s="5"/>
      <c r="L1211" s="173"/>
      <c r="M1211" s="174"/>
    </row>
    <row r="1212" spans="4:13" x14ac:dyDescent="0.4">
      <c r="D1212"/>
      <c r="I1212" s="5"/>
      <c r="L1212" s="173"/>
      <c r="M1212" s="174"/>
    </row>
    <row r="1213" spans="4:13" x14ac:dyDescent="0.4">
      <c r="D1213"/>
      <c r="I1213" s="5"/>
      <c r="L1213" s="173"/>
      <c r="M1213" s="174"/>
    </row>
    <row r="1214" spans="4:13" x14ac:dyDescent="0.4">
      <c r="D1214"/>
      <c r="I1214" s="5"/>
      <c r="L1214" s="173"/>
      <c r="M1214" s="174"/>
    </row>
    <row r="1215" spans="4:13" x14ac:dyDescent="0.4">
      <c r="D1215"/>
      <c r="I1215" s="5"/>
      <c r="L1215" s="173"/>
      <c r="M1215" s="174"/>
    </row>
    <row r="1216" spans="4:13" x14ac:dyDescent="0.4">
      <c r="D1216"/>
      <c r="I1216" s="5"/>
      <c r="L1216" s="173"/>
      <c r="M1216" s="174"/>
    </row>
    <row r="1217" spans="4:13" x14ac:dyDescent="0.4">
      <c r="D1217"/>
      <c r="I1217" s="5"/>
      <c r="L1217" s="173"/>
      <c r="M1217" s="174"/>
    </row>
    <row r="1218" spans="4:13" x14ac:dyDescent="0.4">
      <c r="D1218"/>
      <c r="I1218" s="5"/>
      <c r="L1218" s="173"/>
      <c r="M1218" s="174"/>
    </row>
    <row r="1219" spans="4:13" x14ac:dyDescent="0.4">
      <c r="D1219"/>
      <c r="I1219" s="5"/>
      <c r="L1219" s="173"/>
      <c r="M1219" s="174"/>
    </row>
    <row r="1220" spans="4:13" x14ac:dyDescent="0.4">
      <c r="D1220"/>
      <c r="I1220" s="5"/>
      <c r="L1220" s="173"/>
      <c r="M1220" s="174"/>
    </row>
    <row r="1221" spans="4:13" x14ac:dyDescent="0.4">
      <c r="D1221"/>
      <c r="I1221" s="5"/>
      <c r="L1221" s="173"/>
      <c r="M1221" s="174"/>
    </row>
    <row r="1222" spans="4:13" x14ac:dyDescent="0.4">
      <c r="D1222"/>
      <c r="I1222" s="5"/>
      <c r="L1222" s="173"/>
      <c r="M1222" s="174"/>
    </row>
    <row r="1223" spans="4:13" x14ac:dyDescent="0.4">
      <c r="D1223"/>
      <c r="I1223" s="5"/>
      <c r="L1223" s="173"/>
      <c r="M1223" s="174"/>
    </row>
    <row r="1224" spans="4:13" x14ac:dyDescent="0.4">
      <c r="D1224"/>
      <c r="I1224" s="5"/>
      <c r="L1224" s="173"/>
      <c r="M1224" s="174"/>
    </row>
    <row r="1225" spans="4:13" x14ac:dyDescent="0.4">
      <c r="D1225"/>
      <c r="I1225" s="5"/>
      <c r="L1225" s="173"/>
      <c r="M1225" s="174"/>
    </row>
    <row r="1226" spans="4:13" x14ac:dyDescent="0.4">
      <c r="D1226"/>
      <c r="I1226" s="5"/>
      <c r="L1226" s="173"/>
      <c r="M1226" s="174"/>
    </row>
    <row r="1227" spans="4:13" x14ac:dyDescent="0.4">
      <c r="D1227"/>
      <c r="I1227" s="5"/>
      <c r="L1227" s="173"/>
      <c r="M1227" s="174"/>
    </row>
    <row r="1228" spans="4:13" x14ac:dyDescent="0.4">
      <c r="D1228"/>
      <c r="I1228" s="5"/>
      <c r="L1228" s="173"/>
      <c r="M1228" s="174"/>
    </row>
    <row r="1229" spans="4:13" x14ac:dyDescent="0.4">
      <c r="D1229"/>
      <c r="I1229" s="5"/>
      <c r="L1229" s="173"/>
      <c r="M1229" s="174"/>
    </row>
    <row r="1230" spans="4:13" x14ac:dyDescent="0.4">
      <c r="D1230"/>
      <c r="I1230" s="5"/>
      <c r="L1230" s="173"/>
      <c r="M1230" s="174"/>
    </row>
    <row r="1231" spans="4:13" x14ac:dyDescent="0.4">
      <c r="D1231"/>
      <c r="I1231" s="5"/>
      <c r="L1231" s="173"/>
      <c r="M1231" s="174"/>
    </row>
    <row r="1232" spans="4:13" x14ac:dyDescent="0.4">
      <c r="D1232"/>
      <c r="I1232" s="5"/>
      <c r="L1232" s="173"/>
      <c r="M1232" s="174"/>
    </row>
    <row r="1233" spans="4:13" x14ac:dyDescent="0.4">
      <c r="D1233"/>
      <c r="I1233" s="5"/>
      <c r="L1233" s="173"/>
      <c r="M1233" s="174"/>
    </row>
    <row r="1234" spans="4:13" x14ac:dyDescent="0.4">
      <c r="D1234"/>
      <c r="I1234" s="5"/>
      <c r="L1234" s="173"/>
      <c r="M1234" s="174"/>
    </row>
    <row r="1235" spans="4:13" x14ac:dyDescent="0.4">
      <c r="D1235"/>
      <c r="I1235" s="5"/>
      <c r="L1235" s="173"/>
      <c r="M1235" s="174"/>
    </row>
    <row r="1236" spans="4:13" x14ac:dyDescent="0.4">
      <c r="D1236"/>
      <c r="I1236" s="5"/>
      <c r="L1236" s="173"/>
      <c r="M1236" s="174"/>
    </row>
    <row r="1237" spans="4:13" x14ac:dyDescent="0.4">
      <c r="D1237"/>
      <c r="I1237" s="5"/>
      <c r="L1237" s="173"/>
      <c r="M1237" s="174"/>
    </row>
    <row r="1238" spans="4:13" x14ac:dyDescent="0.4">
      <c r="D1238"/>
      <c r="I1238" s="5"/>
      <c r="L1238" s="173"/>
      <c r="M1238" s="174"/>
    </row>
    <row r="1239" spans="4:13" x14ac:dyDescent="0.4">
      <c r="D1239"/>
      <c r="I1239" s="5"/>
      <c r="L1239" s="173"/>
      <c r="M1239" s="174"/>
    </row>
    <row r="1240" spans="4:13" x14ac:dyDescent="0.4">
      <c r="D1240"/>
      <c r="I1240" s="5"/>
      <c r="L1240" s="173"/>
      <c r="M1240" s="174"/>
    </row>
    <row r="1241" spans="4:13" x14ac:dyDescent="0.4">
      <c r="D1241"/>
      <c r="I1241" s="5"/>
      <c r="L1241" s="173"/>
      <c r="M1241" s="174"/>
    </row>
    <row r="1242" spans="4:13" x14ac:dyDescent="0.4">
      <c r="D1242"/>
      <c r="I1242" s="5"/>
      <c r="L1242" s="173"/>
      <c r="M1242" s="174"/>
    </row>
    <row r="1243" spans="4:13" x14ac:dyDescent="0.4">
      <c r="D1243"/>
      <c r="I1243" s="5"/>
      <c r="L1243" s="173"/>
      <c r="M1243" s="174"/>
    </row>
    <row r="1244" spans="4:13" x14ac:dyDescent="0.4">
      <c r="D1244"/>
      <c r="I1244" s="5"/>
      <c r="L1244" s="173"/>
      <c r="M1244" s="174"/>
    </row>
    <row r="1245" spans="4:13" x14ac:dyDescent="0.4">
      <c r="D1245"/>
      <c r="I1245" s="5"/>
      <c r="L1245" s="173"/>
      <c r="M1245" s="174"/>
    </row>
    <row r="1246" spans="4:13" x14ac:dyDescent="0.4">
      <c r="D1246"/>
      <c r="I1246" s="5"/>
      <c r="L1246" s="173"/>
      <c r="M1246" s="174"/>
    </row>
    <row r="1247" spans="4:13" x14ac:dyDescent="0.4">
      <c r="D1247"/>
      <c r="I1247" s="5"/>
      <c r="L1247" s="173"/>
      <c r="M1247" s="174"/>
    </row>
    <row r="1248" spans="4:13" x14ac:dyDescent="0.4">
      <c r="D1248"/>
      <c r="I1248" s="5"/>
      <c r="L1248" s="173"/>
      <c r="M1248" s="174"/>
    </row>
    <row r="1249" spans="4:13" x14ac:dyDescent="0.4">
      <c r="D1249"/>
      <c r="I1249" s="5"/>
      <c r="L1249" s="173"/>
      <c r="M1249" s="174"/>
    </row>
    <row r="1250" spans="4:13" x14ac:dyDescent="0.4">
      <c r="D1250"/>
      <c r="I1250" s="5"/>
      <c r="L1250" s="173"/>
      <c r="M1250" s="174"/>
    </row>
    <row r="1251" spans="4:13" x14ac:dyDescent="0.4">
      <c r="D1251"/>
      <c r="I1251" s="5"/>
      <c r="L1251" s="173"/>
      <c r="M1251" s="174"/>
    </row>
    <row r="1252" spans="4:13" x14ac:dyDescent="0.4">
      <c r="D1252"/>
      <c r="I1252" s="5"/>
      <c r="L1252" s="173"/>
      <c r="M1252" s="174"/>
    </row>
    <row r="1253" spans="4:13" x14ac:dyDescent="0.4">
      <c r="D1253"/>
      <c r="I1253" s="5"/>
      <c r="L1253" s="173"/>
      <c r="M1253" s="174"/>
    </row>
    <row r="1254" spans="4:13" x14ac:dyDescent="0.4">
      <c r="D1254"/>
      <c r="I1254" s="5"/>
      <c r="L1254" s="173"/>
      <c r="M1254" s="174"/>
    </row>
    <row r="1255" spans="4:13" x14ac:dyDescent="0.4">
      <c r="D1255"/>
      <c r="I1255" s="5"/>
      <c r="L1255" s="173"/>
      <c r="M1255" s="174"/>
    </row>
    <row r="1256" spans="4:13" x14ac:dyDescent="0.4">
      <c r="D1256"/>
      <c r="I1256" s="5"/>
      <c r="L1256" s="173"/>
      <c r="M1256" s="174"/>
    </row>
    <row r="1257" spans="4:13" x14ac:dyDescent="0.4">
      <c r="D1257"/>
      <c r="I1257" s="5"/>
      <c r="L1257" s="173"/>
      <c r="M1257" s="174"/>
    </row>
    <row r="1258" spans="4:13" x14ac:dyDescent="0.4">
      <c r="D1258"/>
      <c r="I1258" s="5"/>
      <c r="L1258" s="173"/>
      <c r="M1258" s="174"/>
    </row>
    <row r="1259" spans="4:13" x14ac:dyDescent="0.4">
      <c r="D1259"/>
      <c r="I1259" s="5"/>
      <c r="L1259" s="173"/>
      <c r="M1259" s="174"/>
    </row>
    <row r="1260" spans="4:13" x14ac:dyDescent="0.4">
      <c r="D1260"/>
      <c r="I1260" s="5"/>
      <c r="L1260" s="173"/>
      <c r="M1260" s="174"/>
    </row>
    <row r="1261" spans="4:13" x14ac:dyDescent="0.4">
      <c r="D1261"/>
      <c r="I1261" s="5"/>
      <c r="L1261" s="178"/>
      <c r="M1261" s="174"/>
    </row>
    <row r="1262" spans="4:13" x14ac:dyDescent="0.4">
      <c r="D1262"/>
      <c r="I1262" s="5"/>
      <c r="L1262" s="178"/>
      <c r="M1262" s="174"/>
    </row>
    <row r="1263" spans="4:13" x14ac:dyDescent="0.4">
      <c r="D1263"/>
      <c r="I1263" s="5"/>
      <c r="L1263" s="179"/>
      <c r="M1263" s="174"/>
    </row>
    <row r="1264" spans="4:13" x14ac:dyDescent="0.4">
      <c r="D1264"/>
      <c r="I1264" s="5"/>
      <c r="L1264" s="179"/>
      <c r="M1264" s="174"/>
    </row>
    <row r="1265" spans="4:13" x14ac:dyDescent="0.4">
      <c r="D1265"/>
      <c r="I1265" s="5"/>
      <c r="L1265" s="179"/>
      <c r="M1265" s="174"/>
    </row>
    <row r="1266" spans="4:13" x14ac:dyDescent="0.4">
      <c r="D1266"/>
      <c r="I1266" s="5"/>
      <c r="L1266" s="179"/>
      <c r="M1266" s="174"/>
    </row>
    <row r="1267" spans="4:13" x14ac:dyDescent="0.4">
      <c r="D1267"/>
      <c r="I1267" s="5"/>
      <c r="L1267" s="179"/>
      <c r="M1267" s="174"/>
    </row>
    <row r="1268" spans="4:13" x14ac:dyDescent="0.4">
      <c r="D1268"/>
      <c r="I1268" s="5"/>
      <c r="L1268" s="179"/>
      <c r="M1268" s="174"/>
    </row>
    <row r="1269" spans="4:13" x14ac:dyDescent="0.4">
      <c r="D1269"/>
      <c r="I1269" s="5"/>
      <c r="L1269" s="179"/>
      <c r="M1269" s="174"/>
    </row>
    <row r="1270" spans="4:13" x14ac:dyDescent="0.4">
      <c r="D1270"/>
      <c r="I1270" s="5"/>
      <c r="L1270" s="179"/>
      <c r="M1270" s="174"/>
    </row>
    <row r="1271" spans="4:13" x14ac:dyDescent="0.4">
      <c r="D1271"/>
      <c r="I1271" s="5"/>
      <c r="L1271" s="184"/>
      <c r="M1271" s="174"/>
    </row>
    <row r="1272" spans="4:13" x14ac:dyDescent="0.4">
      <c r="D1272"/>
      <c r="I1272" s="5"/>
      <c r="L1272" s="184"/>
      <c r="M1272" s="174"/>
    </row>
    <row r="1273" spans="4:13" x14ac:dyDescent="0.4">
      <c r="D1273"/>
      <c r="I1273" s="5"/>
      <c r="L1273" s="184"/>
      <c r="M1273" s="174"/>
    </row>
    <row r="1274" spans="4:13" x14ac:dyDescent="0.4">
      <c r="D1274"/>
      <c r="I1274" s="5"/>
      <c r="L1274" s="184"/>
      <c r="M1274" s="174"/>
    </row>
    <row r="1275" spans="4:13" x14ac:dyDescent="0.4">
      <c r="D1275"/>
      <c r="I1275" s="5"/>
      <c r="L1275" s="184"/>
      <c r="M1275" s="174"/>
    </row>
    <row r="1276" spans="4:13" x14ac:dyDescent="0.4">
      <c r="D1276"/>
      <c r="I1276" s="5"/>
      <c r="L1276" s="184"/>
      <c r="M1276" s="174"/>
    </row>
    <row r="1277" spans="4:13" x14ac:dyDescent="0.4">
      <c r="D1277"/>
      <c r="I1277" s="5"/>
      <c r="L1277" s="184"/>
      <c r="M1277" s="174"/>
    </row>
    <row r="1278" spans="4:13" x14ac:dyDescent="0.4">
      <c r="D1278"/>
      <c r="I1278" s="5"/>
      <c r="L1278" s="184"/>
      <c r="M1278" s="174"/>
    </row>
    <row r="1279" spans="4:13" x14ac:dyDescent="0.4">
      <c r="D1279"/>
      <c r="I1279" s="5"/>
      <c r="L1279" s="184"/>
      <c r="M1279" s="174"/>
    </row>
    <row r="1280" spans="4:13" x14ac:dyDescent="0.4">
      <c r="D1280"/>
      <c r="I1280" s="5"/>
      <c r="L1280" s="179"/>
      <c r="M1280" s="174"/>
    </row>
    <row r="1281" spans="4:13" x14ac:dyDescent="0.4">
      <c r="D1281"/>
      <c r="I1281" s="5"/>
      <c r="L1281" s="179"/>
      <c r="M1281" s="174"/>
    </row>
    <row r="1282" spans="4:13" x14ac:dyDescent="0.4">
      <c r="D1282"/>
      <c r="I1282" s="5"/>
      <c r="L1282" s="179"/>
      <c r="M1282" s="174"/>
    </row>
    <row r="1283" spans="4:13" x14ac:dyDescent="0.4">
      <c r="D1283"/>
      <c r="I1283" s="5"/>
      <c r="L1283" s="179"/>
      <c r="M1283" s="174"/>
    </row>
    <row r="1284" spans="4:13" x14ac:dyDescent="0.4">
      <c r="D1284"/>
      <c r="I1284" s="5"/>
      <c r="L1284" s="179"/>
      <c r="M1284" s="174"/>
    </row>
    <row r="1285" spans="4:13" x14ac:dyDescent="0.4">
      <c r="D1285"/>
      <c r="I1285" s="5"/>
      <c r="L1285" s="179"/>
      <c r="M1285" s="174"/>
    </row>
    <row r="1286" spans="4:13" x14ac:dyDescent="0.4">
      <c r="D1286"/>
      <c r="I1286" s="5"/>
      <c r="L1286" s="179"/>
      <c r="M1286" s="174"/>
    </row>
    <row r="1287" spans="4:13" x14ac:dyDescent="0.4">
      <c r="D1287"/>
      <c r="I1287" s="5"/>
      <c r="L1287" s="179"/>
      <c r="M1287" s="174"/>
    </row>
    <row r="1288" spans="4:13" x14ac:dyDescent="0.4">
      <c r="D1288"/>
      <c r="I1288" s="5"/>
      <c r="L1288" s="179"/>
      <c r="M1288" s="174"/>
    </row>
    <row r="1289" spans="4:13" x14ac:dyDescent="0.4">
      <c r="D1289"/>
      <c r="I1289" s="5"/>
      <c r="L1289" s="179"/>
      <c r="M1289" s="174"/>
    </row>
    <row r="1290" spans="4:13" x14ac:dyDescent="0.4">
      <c r="D1290"/>
      <c r="I1290" s="5"/>
      <c r="L1290" s="179"/>
      <c r="M1290" s="174"/>
    </row>
    <row r="1291" spans="4:13" x14ac:dyDescent="0.4">
      <c r="D1291"/>
      <c r="I1291" s="5"/>
      <c r="L1291" s="179"/>
      <c r="M1291" s="174"/>
    </row>
    <row r="1292" spans="4:13" x14ac:dyDescent="0.4">
      <c r="D1292"/>
      <c r="I1292" s="5"/>
      <c r="L1292" s="179"/>
      <c r="M1292" s="174"/>
    </row>
    <row r="1293" spans="4:13" x14ac:dyDescent="0.4">
      <c r="D1293"/>
      <c r="I1293" s="5"/>
      <c r="L1293" s="179"/>
      <c r="M1293" s="174"/>
    </row>
    <row r="1294" spans="4:13" x14ac:dyDescent="0.4">
      <c r="D1294"/>
      <c r="I1294" s="5"/>
      <c r="L1294" s="179"/>
      <c r="M1294" s="174"/>
    </row>
    <row r="1295" spans="4:13" x14ac:dyDescent="0.4">
      <c r="D1295"/>
      <c r="I1295" s="5"/>
      <c r="L1295" s="179"/>
      <c r="M1295" s="174"/>
    </row>
    <row r="1296" spans="4:13" x14ac:dyDescent="0.4">
      <c r="D1296"/>
      <c r="I1296" s="5"/>
      <c r="L1296" s="178"/>
      <c r="M1296" s="174"/>
    </row>
    <row r="1297" spans="4:13" x14ac:dyDescent="0.4">
      <c r="D1297"/>
      <c r="I1297" s="5"/>
      <c r="L1297" s="179"/>
      <c r="M1297" s="174"/>
    </row>
    <row r="1298" spans="4:13" x14ac:dyDescent="0.4">
      <c r="D1298"/>
      <c r="I1298" s="5"/>
      <c r="L1298" s="179"/>
      <c r="M1298" s="174"/>
    </row>
    <row r="1299" spans="4:13" x14ac:dyDescent="0.4">
      <c r="D1299"/>
      <c r="I1299" s="5"/>
      <c r="L1299" s="179"/>
      <c r="M1299" s="174"/>
    </row>
    <row r="1300" spans="4:13" x14ac:dyDescent="0.4">
      <c r="D1300"/>
      <c r="I1300" s="5"/>
      <c r="L1300" s="178"/>
      <c r="M1300" s="174"/>
    </row>
    <row r="1301" spans="4:13" x14ac:dyDescent="0.4">
      <c r="D1301"/>
      <c r="I1301" s="5"/>
      <c r="L1301" s="179"/>
      <c r="M1301" s="174"/>
    </row>
    <row r="1302" spans="4:13" x14ac:dyDescent="0.4">
      <c r="D1302"/>
      <c r="I1302" s="5"/>
      <c r="L1302" s="179"/>
      <c r="M1302" s="174"/>
    </row>
    <row r="1303" spans="4:13" x14ac:dyDescent="0.4">
      <c r="D1303"/>
      <c r="I1303" s="5"/>
      <c r="L1303" s="179"/>
      <c r="M1303" s="174"/>
    </row>
    <row r="1304" spans="4:13" x14ac:dyDescent="0.4">
      <c r="D1304"/>
      <c r="I1304" s="5"/>
      <c r="L1304" s="179"/>
      <c r="M1304" s="174"/>
    </row>
    <row r="1305" spans="4:13" x14ac:dyDescent="0.4">
      <c r="D1305"/>
      <c r="I1305" s="5"/>
      <c r="L1305" s="179"/>
      <c r="M1305" s="174"/>
    </row>
    <row r="1306" spans="4:13" x14ac:dyDescent="0.4">
      <c r="D1306"/>
      <c r="I1306" s="5"/>
      <c r="L1306" s="179"/>
      <c r="M1306" s="174"/>
    </row>
    <row r="1307" spans="4:13" x14ac:dyDescent="0.4">
      <c r="D1307"/>
      <c r="I1307" s="5"/>
      <c r="L1307" s="179"/>
      <c r="M1307" s="174"/>
    </row>
    <row r="1308" spans="4:13" x14ac:dyDescent="0.4">
      <c r="D1308"/>
      <c r="I1308" s="5"/>
      <c r="L1308" s="179"/>
      <c r="M1308" s="174"/>
    </row>
    <row r="1309" spans="4:13" x14ac:dyDescent="0.4">
      <c r="D1309"/>
      <c r="I1309" s="5"/>
      <c r="L1309" s="178"/>
      <c r="M1309" s="174"/>
    </row>
    <row r="1310" spans="4:13" x14ac:dyDescent="0.4">
      <c r="D1310"/>
      <c r="I1310" s="5"/>
      <c r="L1310" s="178"/>
      <c r="M1310" s="174"/>
    </row>
    <row r="1311" spans="4:13" x14ac:dyDescent="0.4">
      <c r="D1311"/>
      <c r="I1311" s="5"/>
      <c r="L1311" s="179"/>
      <c r="M1311" s="174"/>
    </row>
    <row r="1312" spans="4:13" x14ac:dyDescent="0.4">
      <c r="D1312"/>
      <c r="I1312" s="5"/>
      <c r="L1312" s="179"/>
      <c r="M1312" s="174"/>
    </row>
    <row r="1313" spans="4:13" x14ac:dyDescent="0.4">
      <c r="D1313"/>
      <c r="I1313" s="5"/>
      <c r="L1313" s="179"/>
      <c r="M1313" s="174"/>
    </row>
    <row r="1314" spans="4:13" x14ac:dyDescent="0.4">
      <c r="D1314"/>
      <c r="I1314" s="5"/>
      <c r="L1314" s="179"/>
      <c r="M1314" s="174"/>
    </row>
    <row r="1315" spans="4:13" x14ac:dyDescent="0.4">
      <c r="D1315"/>
      <c r="I1315" s="5"/>
      <c r="L1315" s="179"/>
      <c r="M1315" s="174"/>
    </row>
    <row r="1316" spans="4:13" x14ac:dyDescent="0.4">
      <c r="D1316"/>
      <c r="I1316" s="5"/>
      <c r="L1316" s="179"/>
      <c r="M1316" s="174"/>
    </row>
    <row r="1317" spans="4:13" x14ac:dyDescent="0.4">
      <c r="D1317"/>
      <c r="I1317" s="5"/>
      <c r="L1317" s="179"/>
      <c r="M1317" s="174"/>
    </row>
    <row r="1318" spans="4:13" x14ac:dyDescent="0.4">
      <c r="D1318"/>
      <c r="I1318" s="5"/>
      <c r="L1318" s="179"/>
      <c r="M1318" s="174"/>
    </row>
    <row r="1319" spans="4:13" x14ac:dyDescent="0.4">
      <c r="D1319"/>
      <c r="I1319" s="5"/>
      <c r="L1319" s="179"/>
      <c r="M1319" s="174"/>
    </row>
    <row r="1320" spans="4:13" x14ac:dyDescent="0.4">
      <c r="D1320"/>
      <c r="I1320" s="5"/>
      <c r="L1320" s="179"/>
      <c r="M1320" s="174"/>
    </row>
    <row r="1321" spans="4:13" x14ac:dyDescent="0.4">
      <c r="D1321"/>
      <c r="I1321" s="5"/>
      <c r="L1321" s="179"/>
      <c r="M1321" s="174"/>
    </row>
    <row r="1322" spans="4:13" x14ac:dyDescent="0.4">
      <c r="D1322"/>
      <c r="I1322" s="5"/>
      <c r="L1322" s="179"/>
      <c r="M1322" s="174"/>
    </row>
    <row r="1323" spans="4:13" x14ac:dyDescent="0.4">
      <c r="D1323"/>
      <c r="I1323" s="5"/>
      <c r="L1323" s="179"/>
      <c r="M1323" s="174"/>
    </row>
    <row r="1324" spans="4:13" x14ac:dyDescent="0.4">
      <c r="D1324"/>
      <c r="I1324" s="5"/>
      <c r="L1324" s="179"/>
      <c r="M1324" s="174"/>
    </row>
    <row r="1325" spans="4:13" x14ac:dyDescent="0.4">
      <c r="D1325"/>
      <c r="I1325" s="5"/>
      <c r="L1325" s="179"/>
      <c r="M1325" s="174"/>
    </row>
    <row r="1326" spans="4:13" x14ac:dyDescent="0.4">
      <c r="D1326"/>
      <c r="I1326" s="5"/>
      <c r="L1326" s="179"/>
      <c r="M1326" s="174"/>
    </row>
    <row r="1327" spans="4:13" x14ac:dyDescent="0.4">
      <c r="D1327"/>
      <c r="I1327" s="5"/>
      <c r="L1327" s="178"/>
      <c r="M1327" s="174"/>
    </row>
    <row r="1328" spans="4:13" x14ac:dyDescent="0.4">
      <c r="D1328"/>
      <c r="I1328" s="5"/>
      <c r="L1328" s="173"/>
      <c r="M1328" s="174"/>
    </row>
    <row r="1329" spans="4:13" x14ac:dyDescent="0.4">
      <c r="D1329"/>
      <c r="I1329" s="5"/>
      <c r="L1329" s="173"/>
      <c r="M1329" s="174"/>
    </row>
    <row r="1330" spans="4:13" x14ac:dyDescent="0.4">
      <c r="D1330"/>
      <c r="I1330" s="5"/>
      <c r="L1330" s="178"/>
      <c r="M1330" s="174"/>
    </row>
    <row r="1331" spans="4:13" x14ac:dyDescent="0.4">
      <c r="D1331"/>
      <c r="I1331" s="5"/>
      <c r="L1331" s="173"/>
      <c r="M1331" s="174"/>
    </row>
    <row r="1332" spans="4:13" x14ac:dyDescent="0.4">
      <c r="D1332"/>
      <c r="I1332" s="5"/>
      <c r="L1332" s="178"/>
      <c r="M1332" s="174"/>
    </row>
    <row r="1333" spans="4:13" x14ac:dyDescent="0.4">
      <c r="D1333"/>
      <c r="I1333" s="5"/>
      <c r="L1333" s="173"/>
      <c r="M1333" s="174"/>
    </row>
    <row r="1334" spans="4:13" x14ac:dyDescent="0.4">
      <c r="D1334"/>
      <c r="I1334" s="5"/>
      <c r="L1334" s="173"/>
      <c r="M1334" s="174"/>
    </row>
    <row r="1335" spans="4:13" x14ac:dyDescent="0.4">
      <c r="D1335"/>
      <c r="I1335" s="5"/>
      <c r="L1335" s="173"/>
      <c r="M1335" s="174"/>
    </row>
    <row r="1336" spans="4:13" x14ac:dyDescent="0.4">
      <c r="D1336"/>
      <c r="I1336" s="5"/>
      <c r="L1336" s="178"/>
      <c r="M1336" s="174"/>
    </row>
    <row r="1337" spans="4:13" x14ac:dyDescent="0.4">
      <c r="D1337"/>
      <c r="I1337" s="5"/>
      <c r="L1337" s="173"/>
      <c r="M1337" s="174"/>
    </row>
    <row r="1338" spans="4:13" x14ac:dyDescent="0.4">
      <c r="D1338"/>
      <c r="I1338" s="5"/>
      <c r="L1338" s="173"/>
      <c r="M1338" s="174"/>
    </row>
    <row r="1339" spans="4:13" x14ac:dyDescent="0.4">
      <c r="D1339"/>
      <c r="I1339" s="5"/>
      <c r="L1339" s="178"/>
      <c r="M1339" s="174"/>
    </row>
    <row r="1340" spans="4:13" x14ac:dyDescent="0.4">
      <c r="D1340"/>
      <c r="I1340" s="5"/>
      <c r="L1340" s="178"/>
      <c r="M1340" s="174"/>
    </row>
    <row r="1341" spans="4:13" x14ac:dyDescent="0.4">
      <c r="D1341"/>
      <c r="I1341" s="5"/>
      <c r="L1341" s="178"/>
      <c r="M1341" s="174"/>
    </row>
    <row r="1342" spans="4:13" x14ac:dyDescent="0.4">
      <c r="D1342"/>
      <c r="I1342" s="5"/>
      <c r="L1342" s="179"/>
      <c r="M1342" s="174"/>
    </row>
    <row r="1343" spans="4:13" x14ac:dyDescent="0.4">
      <c r="D1343"/>
      <c r="I1343" s="5"/>
      <c r="L1343" s="179"/>
      <c r="M1343" s="174"/>
    </row>
    <row r="1344" spans="4:13" x14ac:dyDescent="0.4">
      <c r="D1344"/>
      <c r="I1344" s="5"/>
      <c r="L1344" s="188"/>
      <c r="M1344" s="174"/>
    </row>
    <row r="1345" spans="4:13" x14ac:dyDescent="0.4">
      <c r="D1345"/>
      <c r="I1345" s="5"/>
      <c r="L1345" s="173"/>
      <c r="M1345" s="174"/>
    </row>
    <row r="1346" spans="4:13" x14ac:dyDescent="0.4">
      <c r="D1346"/>
      <c r="I1346" s="5"/>
      <c r="L1346" s="188"/>
      <c r="M1346" s="174"/>
    </row>
    <row r="1347" spans="4:13" x14ac:dyDescent="0.4">
      <c r="D1347"/>
      <c r="I1347" s="5"/>
      <c r="L1347" s="188"/>
      <c r="M1347" s="174"/>
    </row>
    <row r="1348" spans="4:13" x14ac:dyDescent="0.4">
      <c r="D1348"/>
      <c r="I1348" s="5"/>
      <c r="L1348" s="173"/>
      <c r="M1348" s="174"/>
    </row>
    <row r="1349" spans="4:13" x14ac:dyDescent="0.4">
      <c r="D1349"/>
      <c r="I1349" s="5"/>
      <c r="L1349" s="173"/>
      <c r="M1349" s="174"/>
    </row>
    <row r="1350" spans="4:13" x14ac:dyDescent="0.4">
      <c r="D1350"/>
      <c r="I1350" s="5"/>
      <c r="L1350" s="173"/>
      <c r="M1350" s="174"/>
    </row>
    <row r="1351" spans="4:13" x14ac:dyDescent="0.4">
      <c r="D1351"/>
      <c r="I1351" s="5"/>
      <c r="L1351" s="173"/>
      <c r="M1351" s="174"/>
    </row>
    <row r="1352" spans="4:13" x14ac:dyDescent="0.4">
      <c r="D1352"/>
      <c r="I1352" s="5"/>
      <c r="L1352" s="173"/>
      <c r="M1352" s="174"/>
    </row>
    <row r="1353" spans="4:13" x14ac:dyDescent="0.4">
      <c r="D1353"/>
      <c r="I1353" s="5"/>
      <c r="L1353" s="173"/>
      <c r="M1353" s="174"/>
    </row>
    <row r="1354" spans="4:13" x14ac:dyDescent="0.4">
      <c r="D1354"/>
      <c r="I1354" s="5"/>
      <c r="L1354" s="173"/>
      <c r="M1354" s="174"/>
    </row>
    <row r="1355" spans="4:13" x14ac:dyDescent="0.4">
      <c r="D1355"/>
      <c r="I1355" s="5"/>
      <c r="L1355" s="173"/>
      <c r="M1355" s="174"/>
    </row>
    <row r="1356" spans="4:13" x14ac:dyDescent="0.4">
      <c r="D1356"/>
      <c r="I1356" s="5"/>
      <c r="L1356" s="173"/>
      <c r="M1356" s="174"/>
    </row>
    <row r="1357" spans="4:13" x14ac:dyDescent="0.4">
      <c r="D1357"/>
      <c r="I1357" s="5"/>
      <c r="L1357" s="173"/>
      <c r="M1357" s="174"/>
    </row>
    <row r="1358" spans="4:13" x14ac:dyDescent="0.4">
      <c r="D1358"/>
      <c r="I1358" s="5"/>
      <c r="L1358" s="173"/>
      <c r="M1358" s="174"/>
    </row>
    <row r="1359" spans="4:13" x14ac:dyDescent="0.4">
      <c r="D1359"/>
      <c r="I1359" s="5"/>
      <c r="L1359" s="173"/>
      <c r="M1359" s="174"/>
    </row>
    <row r="1360" spans="4:13" x14ac:dyDescent="0.4">
      <c r="D1360"/>
      <c r="I1360" s="5"/>
      <c r="L1360" s="173"/>
      <c r="M1360" s="174"/>
    </row>
    <row r="1361" spans="4:13" x14ac:dyDescent="0.4">
      <c r="D1361"/>
      <c r="I1361" s="5"/>
      <c r="L1361" s="173"/>
      <c r="M1361" s="174"/>
    </row>
    <row r="1362" spans="4:13" x14ac:dyDescent="0.4">
      <c r="D1362"/>
      <c r="I1362" s="5"/>
      <c r="L1362" s="173"/>
      <c r="M1362" s="174"/>
    </row>
    <row r="1363" spans="4:13" x14ac:dyDescent="0.4">
      <c r="D1363"/>
      <c r="I1363" s="5"/>
      <c r="L1363" s="173"/>
      <c r="M1363" s="174"/>
    </row>
    <row r="1364" spans="4:13" x14ac:dyDescent="0.4">
      <c r="D1364"/>
      <c r="I1364" s="5"/>
      <c r="L1364" s="173"/>
      <c r="M1364" s="174"/>
    </row>
    <row r="1365" spans="4:13" x14ac:dyDescent="0.4">
      <c r="D1365"/>
      <c r="I1365" s="5"/>
      <c r="L1365" s="173"/>
      <c r="M1365" s="174"/>
    </row>
    <row r="1366" spans="4:13" x14ac:dyDescent="0.4">
      <c r="D1366"/>
      <c r="I1366" s="5"/>
      <c r="L1366" s="173"/>
      <c r="M1366" s="174"/>
    </row>
    <row r="1367" spans="4:13" x14ac:dyDescent="0.4">
      <c r="D1367"/>
      <c r="I1367" s="5"/>
      <c r="L1367" s="173"/>
      <c r="M1367" s="174"/>
    </row>
    <row r="1368" spans="4:13" x14ac:dyDescent="0.4">
      <c r="D1368"/>
      <c r="I1368" s="5"/>
      <c r="L1368" s="173"/>
      <c r="M1368" s="174"/>
    </row>
    <row r="1369" spans="4:13" x14ac:dyDescent="0.4">
      <c r="D1369"/>
      <c r="I1369" s="5"/>
      <c r="L1369" s="173"/>
      <c r="M1369" s="174"/>
    </row>
    <row r="1370" spans="4:13" x14ac:dyDescent="0.4">
      <c r="D1370"/>
      <c r="I1370" s="5"/>
      <c r="L1370" s="173"/>
      <c r="M1370" s="174"/>
    </row>
    <row r="1371" spans="4:13" x14ac:dyDescent="0.4">
      <c r="D1371"/>
      <c r="I1371" s="5"/>
      <c r="L1371" s="173"/>
      <c r="M1371" s="174"/>
    </row>
    <row r="1372" spans="4:13" x14ac:dyDescent="0.4">
      <c r="D1372"/>
      <c r="I1372" s="5"/>
      <c r="L1372" s="173"/>
      <c r="M1372" s="174"/>
    </row>
    <row r="1373" spans="4:13" x14ac:dyDescent="0.4">
      <c r="D1373"/>
      <c r="I1373" s="5"/>
      <c r="L1373" s="173"/>
      <c r="M1373" s="174"/>
    </row>
    <row r="1374" spans="4:13" x14ac:dyDescent="0.4">
      <c r="D1374"/>
      <c r="I1374" s="5"/>
      <c r="L1374" s="173"/>
      <c r="M1374" s="174"/>
    </row>
    <row r="1375" spans="4:13" x14ac:dyDescent="0.4">
      <c r="D1375"/>
      <c r="I1375" s="5"/>
      <c r="L1375" s="173"/>
      <c r="M1375" s="174"/>
    </row>
    <row r="1376" spans="4:13" x14ac:dyDescent="0.4">
      <c r="D1376"/>
      <c r="I1376" s="5"/>
      <c r="L1376" s="173"/>
      <c r="M1376" s="174"/>
    </row>
    <row r="1377" spans="4:13" x14ac:dyDescent="0.4">
      <c r="D1377"/>
      <c r="I1377" s="5"/>
      <c r="L1377" s="173"/>
      <c r="M1377" s="174"/>
    </row>
    <row r="1378" spans="4:13" x14ac:dyDescent="0.4">
      <c r="D1378"/>
      <c r="I1378" s="5"/>
      <c r="L1378" s="173"/>
      <c r="M1378" s="174"/>
    </row>
    <row r="1379" spans="4:13" x14ac:dyDescent="0.4">
      <c r="D1379"/>
      <c r="I1379" s="5"/>
      <c r="L1379" s="173"/>
      <c r="M1379" s="174"/>
    </row>
    <row r="1380" spans="4:13" x14ac:dyDescent="0.4">
      <c r="D1380"/>
      <c r="I1380" s="5"/>
      <c r="L1380" s="173"/>
      <c r="M1380" s="174"/>
    </row>
    <row r="1381" spans="4:13" x14ac:dyDescent="0.4">
      <c r="D1381"/>
      <c r="I1381" s="5"/>
      <c r="L1381" s="173"/>
      <c r="M1381" s="174"/>
    </row>
    <row r="1382" spans="4:13" x14ac:dyDescent="0.4">
      <c r="D1382"/>
      <c r="I1382" s="5"/>
      <c r="L1382" s="173"/>
      <c r="M1382" s="174"/>
    </row>
    <row r="1383" spans="4:13" x14ac:dyDescent="0.4">
      <c r="D1383"/>
      <c r="I1383" s="5"/>
      <c r="L1383" s="173"/>
      <c r="M1383" s="174"/>
    </row>
    <row r="1384" spans="4:13" x14ac:dyDescent="0.4">
      <c r="D1384"/>
      <c r="I1384" s="5"/>
      <c r="L1384" s="173"/>
      <c r="M1384" s="174"/>
    </row>
    <row r="1385" spans="4:13" x14ac:dyDescent="0.4">
      <c r="D1385"/>
      <c r="I1385" s="5"/>
      <c r="L1385" s="173"/>
      <c r="M1385" s="174"/>
    </row>
    <row r="1386" spans="4:13" x14ac:dyDescent="0.4">
      <c r="D1386"/>
      <c r="I1386" s="5"/>
      <c r="L1386" s="173"/>
      <c r="M1386" s="174"/>
    </row>
    <row r="1387" spans="4:13" x14ac:dyDescent="0.4">
      <c r="D1387"/>
      <c r="I1387" s="5"/>
      <c r="L1387" s="173"/>
      <c r="M1387" s="174"/>
    </row>
    <row r="1388" spans="4:13" x14ac:dyDescent="0.4">
      <c r="D1388"/>
      <c r="I1388" s="5"/>
      <c r="L1388" s="173"/>
      <c r="M1388" s="174"/>
    </row>
    <row r="1389" spans="4:13" x14ac:dyDescent="0.4">
      <c r="D1389"/>
      <c r="I1389" s="5"/>
      <c r="L1389" s="173"/>
      <c r="M1389" s="174"/>
    </row>
    <row r="1390" spans="4:13" x14ac:dyDescent="0.4">
      <c r="D1390"/>
      <c r="I1390" s="5"/>
      <c r="L1390" s="173"/>
      <c r="M1390" s="174"/>
    </row>
    <row r="1391" spans="4:13" x14ac:dyDescent="0.4">
      <c r="D1391"/>
      <c r="I1391" s="5"/>
      <c r="L1391" s="173"/>
      <c r="M1391" s="174"/>
    </row>
    <row r="1392" spans="4:13" x14ac:dyDescent="0.4">
      <c r="D1392"/>
      <c r="I1392" s="5"/>
      <c r="L1392" s="173"/>
      <c r="M1392" s="174"/>
    </row>
    <row r="1393" spans="4:13" x14ac:dyDescent="0.4">
      <c r="D1393"/>
      <c r="I1393" s="5"/>
      <c r="L1393" s="173"/>
      <c r="M1393" s="174"/>
    </row>
    <row r="1394" spans="4:13" x14ac:dyDescent="0.4">
      <c r="D1394"/>
      <c r="I1394" s="5"/>
      <c r="L1394" s="188"/>
      <c r="M1394" s="174"/>
    </row>
    <row r="1395" spans="4:13" x14ac:dyDescent="0.4">
      <c r="D1395"/>
      <c r="I1395" s="5"/>
      <c r="L1395" s="188"/>
      <c r="M1395" s="174"/>
    </row>
    <row r="1396" spans="4:13" x14ac:dyDescent="0.4">
      <c r="D1396"/>
      <c r="I1396" s="5"/>
      <c r="L1396" s="188"/>
      <c r="M1396" s="174"/>
    </row>
    <row r="1397" spans="4:13" x14ac:dyDescent="0.4">
      <c r="D1397"/>
      <c r="I1397" s="5"/>
      <c r="L1397" s="188"/>
      <c r="M1397" s="174"/>
    </row>
    <row r="1398" spans="4:13" x14ac:dyDescent="0.4">
      <c r="D1398"/>
      <c r="I1398" s="5"/>
      <c r="L1398" s="173"/>
      <c r="M1398" s="174"/>
    </row>
    <row r="1399" spans="4:13" x14ac:dyDescent="0.4">
      <c r="D1399"/>
      <c r="I1399" s="5"/>
      <c r="L1399" s="173"/>
      <c r="M1399" s="174"/>
    </row>
    <row r="1400" spans="4:13" x14ac:dyDescent="0.4">
      <c r="D1400"/>
      <c r="I1400" s="5"/>
      <c r="L1400" s="173"/>
      <c r="M1400" s="174"/>
    </row>
    <row r="1401" spans="4:13" x14ac:dyDescent="0.4">
      <c r="D1401"/>
      <c r="I1401" s="5"/>
      <c r="L1401" s="173"/>
      <c r="M1401" s="174"/>
    </row>
    <row r="1402" spans="4:13" x14ac:dyDescent="0.4">
      <c r="D1402"/>
      <c r="I1402" s="5"/>
      <c r="L1402" s="173"/>
      <c r="M1402" s="174"/>
    </row>
    <row r="1403" spans="4:13" x14ac:dyDescent="0.4">
      <c r="D1403"/>
      <c r="I1403" s="5"/>
      <c r="L1403" s="173"/>
      <c r="M1403" s="174"/>
    </row>
    <row r="1404" spans="4:13" x14ac:dyDescent="0.4">
      <c r="D1404"/>
      <c r="I1404" s="5"/>
      <c r="L1404" s="173"/>
      <c r="M1404" s="174"/>
    </row>
    <row r="1405" spans="4:13" x14ac:dyDescent="0.4">
      <c r="D1405"/>
      <c r="I1405" s="5"/>
      <c r="L1405" s="173"/>
      <c r="M1405" s="174"/>
    </row>
    <row r="1406" spans="4:13" x14ac:dyDescent="0.4">
      <c r="D1406"/>
      <c r="I1406" s="5"/>
      <c r="L1406" s="173"/>
      <c r="M1406" s="174"/>
    </row>
    <row r="1407" spans="4:13" x14ac:dyDescent="0.4">
      <c r="D1407"/>
      <c r="I1407" s="5"/>
      <c r="L1407" s="173"/>
      <c r="M1407" s="174"/>
    </row>
    <row r="1408" spans="4:13" x14ac:dyDescent="0.4">
      <c r="D1408"/>
      <c r="I1408" s="5"/>
      <c r="L1408" s="173"/>
      <c r="M1408" s="174"/>
    </row>
    <row r="1409" spans="4:13" x14ac:dyDescent="0.4">
      <c r="D1409"/>
      <c r="I1409" s="5"/>
      <c r="L1409" s="173"/>
      <c r="M1409" s="174"/>
    </row>
    <row r="1410" spans="4:13" x14ac:dyDescent="0.4">
      <c r="D1410"/>
      <c r="I1410" s="5"/>
      <c r="L1410" s="173"/>
      <c r="M1410" s="174"/>
    </row>
    <row r="1411" spans="4:13" x14ac:dyDescent="0.4">
      <c r="D1411"/>
      <c r="I1411" s="5"/>
      <c r="L1411" s="173"/>
      <c r="M1411" s="174"/>
    </row>
    <row r="1412" spans="4:13" x14ac:dyDescent="0.4">
      <c r="D1412"/>
      <c r="I1412" s="5"/>
      <c r="L1412" s="173"/>
      <c r="M1412" s="174"/>
    </row>
    <row r="1413" spans="4:13" x14ac:dyDescent="0.4">
      <c r="D1413"/>
      <c r="I1413" s="5"/>
      <c r="L1413" s="173"/>
      <c r="M1413" s="174"/>
    </row>
    <row r="1414" spans="4:13" x14ac:dyDescent="0.4">
      <c r="D1414"/>
      <c r="I1414" s="5"/>
      <c r="L1414" s="173"/>
      <c r="M1414" s="174"/>
    </row>
    <row r="1415" spans="4:13" x14ac:dyDescent="0.4">
      <c r="D1415"/>
      <c r="I1415" s="5"/>
      <c r="L1415" s="173"/>
      <c r="M1415" s="174"/>
    </row>
    <row r="1416" spans="4:13" x14ac:dyDescent="0.4">
      <c r="D1416"/>
      <c r="I1416" s="5"/>
      <c r="L1416" s="173"/>
      <c r="M1416" s="174"/>
    </row>
    <row r="1417" spans="4:13" x14ac:dyDescent="0.4">
      <c r="D1417"/>
      <c r="I1417" s="5"/>
      <c r="L1417" s="173"/>
      <c r="M1417" s="174"/>
    </row>
    <row r="1418" spans="4:13" x14ac:dyDescent="0.4">
      <c r="D1418"/>
      <c r="I1418" s="5"/>
      <c r="L1418" s="173"/>
      <c r="M1418" s="174"/>
    </row>
    <row r="1419" spans="4:13" x14ac:dyDescent="0.4">
      <c r="D1419"/>
      <c r="I1419" s="5"/>
      <c r="L1419" s="173"/>
      <c r="M1419" s="174"/>
    </row>
    <row r="1420" spans="4:13" x14ac:dyDescent="0.4">
      <c r="D1420"/>
      <c r="I1420" s="5"/>
      <c r="L1420" s="173"/>
      <c r="M1420" s="174"/>
    </row>
    <row r="1421" spans="4:13" x14ac:dyDescent="0.4">
      <c r="D1421"/>
      <c r="I1421" s="5"/>
      <c r="L1421" s="173"/>
      <c r="M1421" s="174"/>
    </row>
    <row r="1422" spans="4:13" x14ac:dyDescent="0.4">
      <c r="D1422"/>
      <c r="I1422" s="5"/>
      <c r="L1422" s="173"/>
      <c r="M1422" s="174"/>
    </row>
    <row r="1423" spans="4:13" x14ac:dyDescent="0.4">
      <c r="D1423"/>
      <c r="I1423" s="5"/>
      <c r="L1423" s="173"/>
      <c r="M1423" s="174"/>
    </row>
    <row r="1424" spans="4:13" x14ac:dyDescent="0.4">
      <c r="D1424"/>
      <c r="I1424" s="5"/>
      <c r="L1424" s="173"/>
      <c r="M1424" s="174"/>
    </row>
    <row r="1425" spans="4:13" x14ac:dyDescent="0.4">
      <c r="D1425"/>
      <c r="I1425" s="5"/>
      <c r="L1425" s="178"/>
      <c r="M1425" s="174"/>
    </row>
    <row r="1426" spans="4:13" x14ac:dyDescent="0.4">
      <c r="D1426"/>
      <c r="I1426" s="5"/>
      <c r="L1426" s="173"/>
      <c r="M1426" s="174"/>
    </row>
    <row r="1427" spans="4:13" x14ac:dyDescent="0.4">
      <c r="D1427"/>
      <c r="I1427" s="5"/>
      <c r="L1427" s="173"/>
      <c r="M1427" s="174"/>
    </row>
    <row r="1428" spans="4:13" x14ac:dyDescent="0.4">
      <c r="D1428"/>
      <c r="I1428" s="5"/>
      <c r="L1428" s="173"/>
      <c r="M1428" s="174"/>
    </row>
    <row r="1429" spans="4:13" x14ac:dyDescent="0.4">
      <c r="D1429"/>
      <c r="I1429" s="5"/>
      <c r="L1429" s="173"/>
      <c r="M1429" s="174"/>
    </row>
    <row r="1430" spans="4:13" x14ac:dyDescent="0.4">
      <c r="D1430"/>
      <c r="I1430" s="5"/>
      <c r="L1430" s="173"/>
      <c r="M1430" s="174"/>
    </row>
    <row r="1431" spans="4:13" x14ac:dyDescent="0.4">
      <c r="D1431"/>
      <c r="I1431" s="5"/>
      <c r="L1431" s="173"/>
      <c r="M1431" s="174"/>
    </row>
    <row r="1432" spans="4:13" x14ac:dyDescent="0.4">
      <c r="D1432"/>
      <c r="I1432" s="5"/>
      <c r="L1432" s="173"/>
      <c r="M1432" s="174"/>
    </row>
    <row r="1433" spans="4:13" x14ac:dyDescent="0.4">
      <c r="D1433"/>
      <c r="I1433" s="5"/>
      <c r="L1433" s="173"/>
      <c r="M1433" s="174"/>
    </row>
    <row r="1434" spans="4:13" x14ac:dyDescent="0.4">
      <c r="D1434"/>
      <c r="I1434" s="5"/>
      <c r="L1434" s="173"/>
      <c r="M1434" s="174"/>
    </row>
    <row r="1435" spans="4:13" x14ac:dyDescent="0.4">
      <c r="D1435"/>
      <c r="I1435" s="5"/>
      <c r="L1435" s="173"/>
      <c r="M1435" s="174"/>
    </row>
    <row r="1436" spans="4:13" x14ac:dyDescent="0.4">
      <c r="D1436"/>
      <c r="I1436" s="5"/>
      <c r="L1436" s="173"/>
      <c r="M1436" s="174"/>
    </row>
    <row r="1437" spans="4:13" x14ac:dyDescent="0.4">
      <c r="D1437"/>
      <c r="I1437" s="5"/>
      <c r="L1437" s="173"/>
      <c r="M1437" s="174"/>
    </row>
    <row r="1438" spans="4:13" x14ac:dyDescent="0.4">
      <c r="D1438"/>
      <c r="I1438" s="5"/>
      <c r="L1438" s="173"/>
      <c r="M1438" s="174"/>
    </row>
    <row r="1439" spans="4:13" x14ac:dyDescent="0.4">
      <c r="D1439"/>
      <c r="I1439" s="5"/>
      <c r="L1439" s="190"/>
      <c r="M1439" s="174"/>
    </row>
    <row r="1440" spans="4:13" x14ac:dyDescent="0.4">
      <c r="D1440"/>
      <c r="I1440" s="5"/>
      <c r="L1440" s="173"/>
      <c r="M1440" s="174"/>
    </row>
    <row r="1441" spans="4:13" x14ac:dyDescent="0.4">
      <c r="D1441"/>
      <c r="I1441" s="5"/>
      <c r="L1441" s="173"/>
      <c r="M1441" s="174"/>
    </row>
    <row r="1442" spans="4:13" x14ac:dyDescent="0.4">
      <c r="D1442"/>
      <c r="I1442" s="5"/>
      <c r="L1442" s="173"/>
      <c r="M1442" s="174"/>
    </row>
    <row r="1443" spans="4:13" x14ac:dyDescent="0.4">
      <c r="D1443"/>
      <c r="I1443" s="5"/>
      <c r="L1443" s="173"/>
      <c r="M1443" s="174"/>
    </row>
    <row r="1444" spans="4:13" x14ac:dyDescent="0.4">
      <c r="D1444"/>
      <c r="I1444" s="5"/>
      <c r="L1444" s="173"/>
      <c r="M1444" s="174"/>
    </row>
    <row r="1445" spans="4:13" x14ac:dyDescent="0.4">
      <c r="D1445"/>
      <c r="I1445" s="5"/>
      <c r="L1445" s="173"/>
      <c r="M1445" s="174"/>
    </row>
    <row r="1446" spans="4:13" x14ac:dyDescent="0.4">
      <c r="D1446"/>
      <c r="I1446" s="5"/>
      <c r="L1446" s="173"/>
      <c r="M1446" s="174"/>
    </row>
    <row r="1447" spans="4:13" x14ac:dyDescent="0.4">
      <c r="D1447"/>
      <c r="I1447" s="5"/>
      <c r="L1447" s="173"/>
      <c r="M1447" s="174"/>
    </row>
    <row r="1448" spans="4:13" x14ac:dyDescent="0.4">
      <c r="D1448"/>
      <c r="I1448" s="5"/>
      <c r="L1448" s="173"/>
      <c r="M1448" s="174"/>
    </row>
    <row r="1449" spans="4:13" x14ac:dyDescent="0.4">
      <c r="D1449"/>
      <c r="I1449" s="5"/>
      <c r="L1449" s="173"/>
      <c r="M1449" s="174"/>
    </row>
    <row r="1450" spans="4:13" x14ac:dyDescent="0.4">
      <c r="D1450"/>
      <c r="I1450" s="5"/>
      <c r="L1450" s="173"/>
      <c r="M1450" s="174"/>
    </row>
    <row r="1451" spans="4:13" x14ac:dyDescent="0.4">
      <c r="D1451"/>
      <c r="I1451" s="5"/>
      <c r="L1451" s="173"/>
      <c r="M1451" s="174"/>
    </row>
    <row r="1452" spans="4:13" x14ac:dyDescent="0.4">
      <c r="D1452"/>
      <c r="I1452" s="5"/>
      <c r="L1452" s="173"/>
      <c r="M1452" s="174"/>
    </row>
    <row r="1453" spans="4:13" x14ac:dyDescent="0.4">
      <c r="D1453"/>
      <c r="I1453" s="5"/>
      <c r="L1453" s="173"/>
      <c r="M1453" s="174"/>
    </row>
    <row r="1454" spans="4:13" x14ac:dyDescent="0.4">
      <c r="D1454"/>
      <c r="I1454" s="5"/>
      <c r="L1454" s="173"/>
      <c r="M1454" s="174"/>
    </row>
    <row r="1455" spans="4:13" x14ac:dyDescent="0.4">
      <c r="D1455"/>
      <c r="I1455" s="5"/>
      <c r="L1455" s="173"/>
      <c r="M1455" s="174"/>
    </row>
    <row r="1456" spans="4:13" x14ac:dyDescent="0.4">
      <c r="D1456"/>
      <c r="I1456" s="5"/>
      <c r="L1456" s="173"/>
      <c r="M1456" s="174"/>
    </row>
    <row r="1457" spans="4:13" x14ac:dyDescent="0.4">
      <c r="D1457"/>
      <c r="I1457" s="5"/>
      <c r="L1457" s="173"/>
      <c r="M1457" s="174"/>
    </row>
    <row r="1458" spans="4:13" x14ac:dyDescent="0.4">
      <c r="D1458"/>
      <c r="I1458" s="5"/>
      <c r="L1458" s="190"/>
      <c r="M1458" s="174"/>
    </row>
    <row r="1459" spans="4:13" x14ac:dyDescent="0.4">
      <c r="D1459"/>
      <c r="I1459" s="5"/>
      <c r="L1459" s="190"/>
      <c r="M1459" s="174"/>
    </row>
    <row r="1460" spans="4:13" x14ac:dyDescent="0.4">
      <c r="D1460"/>
      <c r="I1460" s="5"/>
      <c r="L1460" s="178"/>
      <c r="M1460" s="174"/>
    </row>
    <row r="1461" spans="4:13" x14ac:dyDescent="0.4">
      <c r="D1461"/>
      <c r="I1461" s="5"/>
      <c r="L1461" s="178"/>
      <c r="M1461" s="174"/>
    </row>
    <row r="1462" spans="4:13" x14ac:dyDescent="0.4">
      <c r="D1462"/>
      <c r="I1462" s="5"/>
      <c r="L1462" s="178"/>
      <c r="M1462" s="174"/>
    </row>
    <row r="1463" spans="4:13" x14ac:dyDescent="0.4">
      <c r="D1463"/>
      <c r="I1463" s="5"/>
      <c r="L1463" s="178"/>
      <c r="M1463" s="174"/>
    </row>
    <row r="1464" spans="4:13" x14ac:dyDescent="0.4">
      <c r="D1464"/>
      <c r="I1464" s="5"/>
      <c r="L1464" s="178"/>
      <c r="M1464" s="174"/>
    </row>
    <row r="1465" spans="4:13" x14ac:dyDescent="0.4">
      <c r="D1465"/>
      <c r="I1465" s="5"/>
      <c r="L1465" s="178"/>
      <c r="M1465" s="174"/>
    </row>
    <row r="1466" spans="4:13" x14ac:dyDescent="0.4">
      <c r="D1466"/>
      <c r="I1466" s="5"/>
      <c r="L1466" s="178"/>
      <c r="M1466" s="174"/>
    </row>
    <row r="1467" spans="4:13" x14ac:dyDescent="0.4">
      <c r="D1467"/>
      <c r="I1467" s="5"/>
      <c r="L1467" s="178"/>
      <c r="M1467" s="174"/>
    </row>
    <row r="1468" spans="4:13" x14ac:dyDescent="0.4">
      <c r="D1468"/>
      <c r="I1468" s="5"/>
      <c r="L1468" s="178"/>
      <c r="M1468" s="174"/>
    </row>
    <row r="1469" spans="4:13" x14ac:dyDescent="0.4">
      <c r="D1469"/>
      <c r="I1469" s="5"/>
      <c r="L1469" s="178"/>
      <c r="M1469" s="174"/>
    </row>
    <row r="1470" spans="4:13" x14ac:dyDescent="0.4">
      <c r="D1470"/>
      <c r="I1470" s="5"/>
      <c r="L1470" s="178"/>
      <c r="M1470" s="174"/>
    </row>
    <row r="1471" spans="4:13" x14ac:dyDescent="0.4">
      <c r="D1471"/>
      <c r="I1471" s="5"/>
      <c r="L1471" s="178"/>
      <c r="M1471" s="174"/>
    </row>
    <row r="1472" spans="4:13" x14ac:dyDescent="0.4">
      <c r="D1472"/>
      <c r="I1472" s="5"/>
      <c r="L1472" s="178"/>
      <c r="M1472" s="174"/>
    </row>
    <row r="1473" spans="4:13" x14ac:dyDescent="0.4">
      <c r="D1473"/>
      <c r="I1473" s="5"/>
      <c r="L1473" s="178"/>
      <c r="M1473" s="174"/>
    </row>
    <row r="1474" spans="4:13" x14ac:dyDescent="0.4">
      <c r="D1474"/>
      <c r="I1474" s="5"/>
      <c r="L1474" s="178"/>
      <c r="M1474" s="174"/>
    </row>
    <row r="1475" spans="4:13" x14ac:dyDescent="0.4">
      <c r="D1475"/>
      <c r="I1475" s="5"/>
      <c r="L1475" s="179"/>
      <c r="M1475" s="174"/>
    </row>
    <row r="1476" spans="4:13" x14ac:dyDescent="0.4">
      <c r="D1476"/>
      <c r="I1476" s="5"/>
      <c r="L1476" s="179"/>
      <c r="M1476" s="174"/>
    </row>
    <row r="1477" spans="4:13" x14ac:dyDescent="0.4">
      <c r="D1477"/>
      <c r="I1477" s="5"/>
      <c r="L1477" s="179"/>
      <c r="M1477" s="174"/>
    </row>
    <row r="1478" spans="4:13" x14ac:dyDescent="0.4">
      <c r="D1478"/>
      <c r="I1478" s="5"/>
      <c r="L1478" s="179"/>
      <c r="M1478" s="174"/>
    </row>
    <row r="1479" spans="4:13" x14ac:dyDescent="0.4">
      <c r="D1479"/>
      <c r="I1479" s="5"/>
      <c r="L1479" s="179"/>
      <c r="M1479" s="174"/>
    </row>
    <row r="1480" spans="4:13" x14ac:dyDescent="0.4">
      <c r="D1480"/>
      <c r="I1480" s="5"/>
      <c r="L1480" s="179"/>
      <c r="M1480" s="174"/>
    </row>
    <row r="1481" spans="4:13" x14ac:dyDescent="0.4">
      <c r="D1481"/>
      <c r="I1481" s="5"/>
      <c r="L1481" s="179"/>
      <c r="M1481" s="174"/>
    </row>
    <row r="1482" spans="4:13" x14ac:dyDescent="0.4">
      <c r="D1482"/>
      <c r="I1482" s="5"/>
      <c r="L1482" s="179"/>
      <c r="M1482" s="174"/>
    </row>
    <row r="1483" spans="4:13" x14ac:dyDescent="0.4">
      <c r="D1483"/>
      <c r="I1483" s="5"/>
      <c r="L1483" s="179"/>
      <c r="M1483" s="174"/>
    </row>
    <row r="1484" spans="4:13" x14ac:dyDescent="0.4">
      <c r="D1484"/>
      <c r="I1484" s="5"/>
      <c r="L1484" s="179"/>
      <c r="M1484" s="174"/>
    </row>
    <row r="1485" spans="4:13" x14ac:dyDescent="0.4">
      <c r="D1485"/>
      <c r="I1485" s="5"/>
      <c r="L1485" s="179"/>
      <c r="M1485" s="174"/>
    </row>
    <row r="1486" spans="4:13" x14ac:dyDescent="0.4">
      <c r="D1486"/>
      <c r="I1486" s="5"/>
      <c r="L1486" s="179"/>
      <c r="M1486" s="174"/>
    </row>
    <row r="1487" spans="4:13" x14ac:dyDescent="0.4">
      <c r="D1487"/>
      <c r="I1487" s="5"/>
      <c r="L1487" s="179"/>
      <c r="M1487" s="174"/>
    </row>
    <row r="1488" spans="4:13" x14ac:dyDescent="0.4">
      <c r="D1488"/>
      <c r="I1488" s="5"/>
      <c r="L1488" s="188"/>
      <c r="M1488" s="174"/>
    </row>
    <row r="1489" spans="4:13" x14ac:dyDescent="0.4">
      <c r="D1489"/>
      <c r="I1489" s="5"/>
      <c r="L1489" s="188"/>
      <c r="M1489" s="174"/>
    </row>
    <row r="1490" spans="4:13" x14ac:dyDescent="0.4">
      <c r="D1490"/>
      <c r="I1490" s="5"/>
      <c r="L1490" s="188"/>
      <c r="M1490" s="174"/>
    </row>
    <row r="1491" spans="4:13" x14ac:dyDescent="0.4">
      <c r="D1491"/>
      <c r="I1491" s="5"/>
      <c r="L1491" s="188"/>
      <c r="M1491" s="174"/>
    </row>
    <row r="1492" spans="4:13" x14ac:dyDescent="0.4">
      <c r="D1492"/>
      <c r="I1492" s="5"/>
      <c r="L1492" s="179"/>
      <c r="M1492" s="174"/>
    </row>
    <row r="1493" spans="4:13" x14ac:dyDescent="0.4">
      <c r="D1493"/>
      <c r="I1493" s="5"/>
      <c r="L1493" s="179"/>
      <c r="M1493" s="174"/>
    </row>
    <row r="1494" spans="4:13" x14ac:dyDescent="0.4">
      <c r="D1494"/>
      <c r="I1494" s="5"/>
      <c r="L1494" s="179"/>
      <c r="M1494" s="174"/>
    </row>
    <row r="1495" spans="4:13" x14ac:dyDescent="0.4">
      <c r="D1495"/>
      <c r="I1495" s="5"/>
      <c r="L1495" s="179"/>
      <c r="M1495" s="174"/>
    </row>
    <row r="1496" spans="4:13" x14ac:dyDescent="0.4">
      <c r="D1496"/>
      <c r="I1496" s="5"/>
      <c r="L1496" s="179"/>
      <c r="M1496" s="174"/>
    </row>
    <row r="1497" spans="4:13" x14ac:dyDescent="0.4">
      <c r="D1497"/>
      <c r="I1497" s="5"/>
      <c r="L1497" s="179"/>
      <c r="M1497" s="174"/>
    </row>
    <row r="1498" spans="4:13" x14ac:dyDescent="0.4">
      <c r="D1498"/>
      <c r="I1498" s="5"/>
      <c r="L1498" s="179"/>
      <c r="M1498" s="174"/>
    </row>
    <row r="1499" spans="4:13" x14ac:dyDescent="0.4">
      <c r="D1499"/>
      <c r="I1499" s="5"/>
      <c r="L1499" s="179"/>
      <c r="M1499" s="174"/>
    </row>
    <row r="1500" spans="4:13" x14ac:dyDescent="0.4">
      <c r="D1500"/>
      <c r="I1500" s="5"/>
      <c r="L1500" s="179"/>
      <c r="M1500" s="174"/>
    </row>
    <row r="1501" spans="4:13" x14ac:dyDescent="0.4">
      <c r="D1501"/>
      <c r="I1501" s="5"/>
      <c r="L1501" s="179"/>
      <c r="M1501" s="174"/>
    </row>
    <row r="1502" spans="4:13" x14ac:dyDescent="0.4">
      <c r="D1502"/>
      <c r="I1502" s="5"/>
      <c r="L1502" s="179"/>
      <c r="M1502" s="174"/>
    </row>
    <row r="1503" spans="4:13" x14ac:dyDescent="0.4">
      <c r="D1503"/>
      <c r="I1503" s="5"/>
      <c r="L1503" s="179"/>
      <c r="M1503" s="174"/>
    </row>
    <row r="1504" spans="4:13" x14ac:dyDescent="0.4">
      <c r="D1504"/>
      <c r="I1504" s="5"/>
      <c r="L1504" s="179"/>
      <c r="M1504" s="174"/>
    </row>
    <row r="1505" spans="4:13" x14ac:dyDescent="0.4">
      <c r="D1505"/>
      <c r="I1505" s="5"/>
      <c r="L1505" s="179"/>
      <c r="M1505" s="174"/>
    </row>
    <row r="1506" spans="4:13" x14ac:dyDescent="0.4">
      <c r="D1506"/>
      <c r="I1506" s="5"/>
      <c r="L1506" s="179"/>
      <c r="M1506" s="174"/>
    </row>
    <row r="1507" spans="4:13" x14ac:dyDescent="0.4">
      <c r="D1507"/>
      <c r="I1507" s="5"/>
      <c r="L1507" s="179"/>
      <c r="M1507" s="174"/>
    </row>
    <row r="1508" spans="4:13" x14ac:dyDescent="0.4">
      <c r="D1508"/>
      <c r="I1508" s="5"/>
      <c r="L1508" s="179"/>
      <c r="M1508" s="174"/>
    </row>
    <row r="1509" spans="4:13" x14ac:dyDescent="0.4">
      <c r="D1509"/>
      <c r="I1509" s="5"/>
      <c r="L1509" s="179"/>
      <c r="M1509" s="174"/>
    </row>
    <row r="1510" spans="4:13" x14ac:dyDescent="0.4">
      <c r="D1510"/>
      <c r="I1510" s="5"/>
      <c r="L1510" s="179"/>
      <c r="M1510" s="174"/>
    </row>
    <row r="1511" spans="4:13" x14ac:dyDescent="0.4">
      <c r="D1511"/>
      <c r="I1511" s="5"/>
      <c r="L1511" s="179"/>
      <c r="M1511" s="174"/>
    </row>
    <row r="1512" spans="4:13" x14ac:dyDescent="0.4">
      <c r="D1512"/>
      <c r="I1512" s="5"/>
      <c r="L1512" s="179"/>
      <c r="M1512" s="174"/>
    </row>
    <row r="1513" spans="4:13" x14ac:dyDescent="0.4">
      <c r="D1513"/>
      <c r="I1513" s="5"/>
      <c r="L1513" s="179"/>
      <c r="M1513" s="174"/>
    </row>
    <row r="1514" spans="4:13" x14ac:dyDescent="0.4">
      <c r="D1514"/>
      <c r="I1514" s="5"/>
      <c r="L1514" s="179"/>
      <c r="M1514" s="174"/>
    </row>
    <row r="1515" spans="4:13" x14ac:dyDescent="0.4">
      <c r="D1515"/>
      <c r="I1515" s="5"/>
      <c r="L1515" s="179"/>
      <c r="M1515" s="174"/>
    </row>
    <row r="1516" spans="4:13" x14ac:dyDescent="0.4">
      <c r="D1516"/>
      <c r="I1516" s="5"/>
      <c r="L1516" s="179"/>
      <c r="M1516" s="174"/>
    </row>
    <row r="1517" spans="4:13" x14ac:dyDescent="0.4">
      <c r="D1517"/>
      <c r="I1517" s="5"/>
      <c r="L1517" s="179"/>
      <c r="M1517" s="174"/>
    </row>
    <row r="1518" spans="4:13" x14ac:dyDescent="0.4">
      <c r="D1518"/>
      <c r="I1518" s="5"/>
      <c r="L1518" s="173"/>
      <c r="M1518" s="174"/>
    </row>
    <row r="1519" spans="4:13" x14ac:dyDescent="0.4">
      <c r="D1519"/>
      <c r="I1519" s="5"/>
      <c r="L1519" s="179"/>
      <c r="M1519" s="174"/>
    </row>
    <row r="1520" spans="4:13" x14ac:dyDescent="0.4">
      <c r="D1520"/>
      <c r="I1520" s="5"/>
      <c r="L1520" s="179"/>
      <c r="M1520" s="174"/>
    </row>
    <row r="1521" spans="4:13" x14ac:dyDescent="0.4">
      <c r="D1521"/>
      <c r="I1521" s="5"/>
      <c r="L1521" s="179"/>
      <c r="M1521" s="174"/>
    </row>
    <row r="1522" spans="4:13" x14ac:dyDescent="0.4">
      <c r="D1522"/>
      <c r="I1522" s="5"/>
      <c r="L1522" s="188"/>
      <c r="M1522" s="174"/>
    </row>
    <row r="1523" spans="4:13" x14ac:dyDescent="0.4">
      <c r="D1523"/>
      <c r="I1523" s="5"/>
    </row>
    <row r="1524" spans="4:13" x14ac:dyDescent="0.4">
      <c r="D1524"/>
      <c r="I1524" s="5"/>
    </row>
    <row r="1525" spans="4:13" x14ac:dyDescent="0.4">
      <c r="D1525"/>
      <c r="I1525" s="5"/>
    </row>
    <row r="1526" spans="4:13" x14ac:dyDescent="0.4">
      <c r="D1526"/>
      <c r="I1526" s="5"/>
    </row>
    <row r="1527" spans="4:13" x14ac:dyDescent="0.4">
      <c r="D1527"/>
      <c r="I1527" s="5"/>
    </row>
    <row r="1528" spans="4:13" x14ac:dyDescent="0.4">
      <c r="D1528"/>
      <c r="I1528" s="5"/>
    </row>
    <row r="1529" spans="4:13" x14ac:dyDescent="0.4">
      <c r="D1529"/>
      <c r="I1529" s="5"/>
    </row>
    <row r="1530" spans="4:13" x14ac:dyDescent="0.4">
      <c r="D1530"/>
      <c r="I1530" s="5"/>
    </row>
    <row r="1531" spans="4:13" x14ac:dyDescent="0.4">
      <c r="D1531"/>
      <c r="I1531" s="5"/>
    </row>
    <row r="1532" spans="4:13" x14ac:dyDescent="0.4">
      <c r="D1532"/>
      <c r="I1532" s="5"/>
    </row>
    <row r="1533" spans="4:13" x14ac:dyDescent="0.4">
      <c r="I1533" s="5"/>
    </row>
    <row r="1534" spans="4:13" x14ac:dyDescent="0.4">
      <c r="I1534" s="5"/>
    </row>
    <row r="1535" spans="4:13" x14ac:dyDescent="0.4">
      <c r="I1535" s="5"/>
    </row>
    <row r="1536" spans="4:13" x14ac:dyDescent="0.4">
      <c r="I1536" s="5"/>
    </row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  <row r="4082" s="5" customFormat="1" x14ac:dyDescent="0.4"/>
    <row r="4083" s="5" customFormat="1" x14ac:dyDescent="0.4"/>
    <row r="4084" s="5" customFormat="1" x14ac:dyDescent="0.4"/>
    <row r="4085" s="5" customFormat="1" x14ac:dyDescent="0.4"/>
    <row r="4086" s="5" customFormat="1" x14ac:dyDescent="0.4"/>
    <row r="4087" s="5" customFormat="1" x14ac:dyDescent="0.4"/>
    <row r="4088" s="5" customFormat="1" x14ac:dyDescent="0.4"/>
    <row r="4089" s="5" customFormat="1" x14ac:dyDescent="0.4"/>
    <row r="4090" s="5" customFormat="1" x14ac:dyDescent="0.4"/>
    <row r="4091" s="5" customFormat="1" x14ac:dyDescent="0.4"/>
    <row r="4092" s="5" customFormat="1" x14ac:dyDescent="0.4"/>
    <row r="4093" s="5" customFormat="1" x14ac:dyDescent="0.4"/>
    <row r="4094" s="5" customFormat="1" x14ac:dyDescent="0.4"/>
    <row r="4095" s="5" customFormat="1" x14ac:dyDescent="0.4"/>
    <row r="4096" s="5" customFormat="1" x14ac:dyDescent="0.4"/>
    <row r="4097" s="5" customFormat="1" x14ac:dyDescent="0.4"/>
    <row r="4098" s="5" customFormat="1" x14ac:dyDescent="0.4"/>
    <row r="4099" s="5" customFormat="1" x14ac:dyDescent="0.4"/>
    <row r="4100" s="5" customFormat="1" x14ac:dyDescent="0.4"/>
    <row r="4101" s="5" customFormat="1" x14ac:dyDescent="0.4"/>
    <row r="4102" s="5" customFormat="1" x14ac:dyDescent="0.4"/>
    <row r="4103" s="5" customFormat="1" x14ac:dyDescent="0.4"/>
    <row r="4104" s="5" customFormat="1" x14ac:dyDescent="0.4"/>
    <row r="4105" s="5" customFormat="1" x14ac:dyDescent="0.4"/>
    <row r="4106" s="5" customFormat="1" x14ac:dyDescent="0.4"/>
    <row r="4107" s="5" customFormat="1" x14ac:dyDescent="0.4"/>
    <row r="4108" s="5" customFormat="1" x14ac:dyDescent="0.4"/>
    <row r="4109" s="5" customFormat="1" x14ac:dyDescent="0.4"/>
    <row r="4110" s="5" customFormat="1" x14ac:dyDescent="0.4"/>
    <row r="4111" s="5" customFormat="1" x14ac:dyDescent="0.4"/>
    <row r="4112" s="5" customFormat="1" x14ac:dyDescent="0.4"/>
    <row r="4113" s="5" customFormat="1" x14ac:dyDescent="0.4"/>
    <row r="4114" s="5" customFormat="1" x14ac:dyDescent="0.4"/>
    <row r="4115" s="5" customFormat="1" x14ac:dyDescent="0.4"/>
    <row r="4116" s="5" customFormat="1" x14ac:dyDescent="0.4"/>
    <row r="4117" s="5" customFormat="1" x14ac:dyDescent="0.4"/>
    <row r="4118" s="5" customFormat="1" x14ac:dyDescent="0.4"/>
    <row r="4119" s="5" customFormat="1" x14ac:dyDescent="0.4"/>
    <row r="4120" s="5" customFormat="1" x14ac:dyDescent="0.4"/>
    <row r="4121" s="5" customFormat="1" x14ac:dyDescent="0.4"/>
    <row r="4122" s="5" customFormat="1" x14ac:dyDescent="0.4"/>
    <row r="4123" s="5" customFormat="1" x14ac:dyDescent="0.4"/>
    <row r="4124" s="5" customFormat="1" x14ac:dyDescent="0.4"/>
    <row r="4125" s="5" customFormat="1" x14ac:dyDescent="0.4"/>
    <row r="4126" s="5" customFormat="1" x14ac:dyDescent="0.4"/>
    <row r="4127" s="5" customFormat="1" x14ac:dyDescent="0.4"/>
    <row r="4128" s="5" customFormat="1" x14ac:dyDescent="0.4"/>
    <row r="4129" s="5" customFormat="1" x14ac:dyDescent="0.4"/>
    <row r="4130" s="5" customFormat="1" x14ac:dyDescent="0.4"/>
    <row r="4131" s="5" customFormat="1" x14ac:dyDescent="0.4"/>
    <row r="4132" s="5" customFormat="1" x14ac:dyDescent="0.4"/>
    <row r="4133" s="5" customFormat="1" x14ac:dyDescent="0.4"/>
    <row r="4134" s="5" customFormat="1" x14ac:dyDescent="0.4"/>
    <row r="4135" s="5" customFormat="1" x14ac:dyDescent="0.4"/>
    <row r="4136" s="5" customFormat="1" x14ac:dyDescent="0.4"/>
    <row r="4137" s="5" customFormat="1" x14ac:dyDescent="0.4"/>
    <row r="4138" s="5" customFormat="1" x14ac:dyDescent="0.4"/>
    <row r="4139" s="5" customFormat="1" x14ac:dyDescent="0.4"/>
    <row r="4140" s="5" customFormat="1" x14ac:dyDescent="0.4"/>
    <row r="4141" s="5" customFormat="1" x14ac:dyDescent="0.4"/>
    <row r="4142" s="5" customFormat="1" x14ac:dyDescent="0.4"/>
    <row r="4143" s="5" customFormat="1" x14ac:dyDescent="0.4"/>
    <row r="4144" s="5" customFormat="1" x14ac:dyDescent="0.4"/>
    <row r="4145" s="5" customFormat="1" x14ac:dyDescent="0.4"/>
    <row r="4146" s="5" customFormat="1" x14ac:dyDescent="0.4"/>
    <row r="4147" s="5" customFormat="1" x14ac:dyDescent="0.4"/>
    <row r="4148" s="5" customFormat="1" x14ac:dyDescent="0.4"/>
    <row r="4149" s="5" customFormat="1" x14ac:dyDescent="0.4"/>
    <row r="4150" s="5" customFormat="1" x14ac:dyDescent="0.4"/>
    <row r="4151" s="5" customFormat="1" x14ac:dyDescent="0.4"/>
    <row r="4152" s="5" customFormat="1" x14ac:dyDescent="0.4"/>
    <row r="4153" s="5" customFormat="1" x14ac:dyDescent="0.4"/>
    <row r="4154" s="5" customFormat="1" x14ac:dyDescent="0.4"/>
    <row r="4155" s="5" customFormat="1" x14ac:dyDescent="0.4"/>
    <row r="4156" s="5" customFormat="1" x14ac:dyDescent="0.4"/>
    <row r="4157" s="5" customFormat="1" x14ac:dyDescent="0.4"/>
    <row r="4158" s="5" customFormat="1" x14ac:dyDescent="0.4"/>
    <row r="4159" s="5" customFormat="1" x14ac:dyDescent="0.4"/>
    <row r="4160" s="5" customFormat="1" x14ac:dyDescent="0.4"/>
    <row r="4161" s="5" customFormat="1" x14ac:dyDescent="0.4"/>
    <row r="4162" s="5" customFormat="1" x14ac:dyDescent="0.4"/>
    <row r="4163" s="5" customFormat="1" x14ac:dyDescent="0.4"/>
    <row r="4164" s="5" customFormat="1" x14ac:dyDescent="0.4"/>
    <row r="4165" s="5" customFormat="1" x14ac:dyDescent="0.4"/>
    <row r="4166" s="5" customFormat="1" x14ac:dyDescent="0.4"/>
    <row r="4167" s="5" customFormat="1" x14ac:dyDescent="0.4"/>
    <row r="4168" s="5" customFormat="1" x14ac:dyDescent="0.4"/>
    <row r="4169" s="5" customFormat="1" x14ac:dyDescent="0.4"/>
    <row r="4170" s="5" customFormat="1" x14ac:dyDescent="0.4"/>
    <row r="4171" s="5" customFormat="1" x14ac:dyDescent="0.4"/>
    <row r="4172" s="5" customFormat="1" x14ac:dyDescent="0.4"/>
    <row r="4173" s="5" customFormat="1" x14ac:dyDescent="0.4"/>
    <row r="4174" s="5" customFormat="1" x14ac:dyDescent="0.4"/>
    <row r="4175" s="5" customFormat="1" x14ac:dyDescent="0.4"/>
    <row r="4176" s="5" customFormat="1" x14ac:dyDescent="0.4"/>
    <row r="4177" s="5" customFormat="1" x14ac:dyDescent="0.4"/>
    <row r="4178" s="5" customFormat="1" x14ac:dyDescent="0.4"/>
    <row r="4179" s="5" customFormat="1" x14ac:dyDescent="0.4"/>
    <row r="4180" s="5" customFormat="1" x14ac:dyDescent="0.4"/>
    <row r="4181" s="5" customFormat="1" x14ac:dyDescent="0.4"/>
    <row r="4182" s="5" customFormat="1" x14ac:dyDescent="0.4"/>
    <row r="4183" s="5" customFormat="1" x14ac:dyDescent="0.4"/>
    <row r="4184" s="5" customFormat="1" x14ac:dyDescent="0.4"/>
    <row r="4185" s="5" customFormat="1" x14ac:dyDescent="0.4"/>
    <row r="4186" s="5" customFormat="1" x14ac:dyDescent="0.4"/>
    <row r="4187" s="5" customFormat="1" x14ac:dyDescent="0.4"/>
    <row r="4188" s="5" customFormat="1" x14ac:dyDescent="0.4"/>
    <row r="4189" s="5" customFormat="1" x14ac:dyDescent="0.4"/>
    <row r="4190" s="5" customFormat="1" x14ac:dyDescent="0.4"/>
    <row r="4191" s="5" customFormat="1" x14ac:dyDescent="0.4"/>
    <row r="4192" s="5" customFormat="1" x14ac:dyDescent="0.4"/>
    <row r="4193" s="5" customFormat="1" x14ac:dyDescent="0.4"/>
    <row r="4194" s="5" customFormat="1" x14ac:dyDescent="0.4"/>
    <row r="4195" s="5" customFormat="1" x14ac:dyDescent="0.4"/>
    <row r="4196" s="5" customFormat="1" x14ac:dyDescent="0.4"/>
    <row r="4197" s="5" customFormat="1" x14ac:dyDescent="0.4"/>
    <row r="4198" s="5" customFormat="1" x14ac:dyDescent="0.4"/>
    <row r="4199" s="5" customFormat="1" x14ac:dyDescent="0.4"/>
    <row r="4200" s="5" customFormat="1" x14ac:dyDescent="0.4"/>
    <row r="4201" s="5" customFormat="1" x14ac:dyDescent="0.4"/>
    <row r="4202" s="5" customFormat="1" x14ac:dyDescent="0.4"/>
    <row r="4203" s="5" customFormat="1" x14ac:dyDescent="0.4"/>
    <row r="4204" s="5" customFormat="1" x14ac:dyDescent="0.4"/>
    <row r="4205" s="5" customFormat="1" x14ac:dyDescent="0.4"/>
    <row r="4206" s="5" customFormat="1" x14ac:dyDescent="0.4"/>
    <row r="4207" s="5" customFormat="1" x14ac:dyDescent="0.4"/>
    <row r="4208" s="5" customFormat="1" x14ac:dyDescent="0.4"/>
    <row r="4209" s="5" customFormat="1" x14ac:dyDescent="0.4"/>
    <row r="4210" s="5" customFormat="1" x14ac:dyDescent="0.4"/>
    <row r="4211" s="5" customFormat="1" x14ac:dyDescent="0.4"/>
    <row r="4212" s="5" customFormat="1" x14ac:dyDescent="0.4"/>
    <row r="4213" s="5" customFormat="1" x14ac:dyDescent="0.4"/>
    <row r="4214" s="5" customFormat="1" x14ac:dyDescent="0.4"/>
    <row r="4215" s="5" customFormat="1" x14ac:dyDescent="0.4"/>
    <row r="4216" s="5" customFormat="1" x14ac:dyDescent="0.4"/>
    <row r="4217" s="5" customFormat="1" x14ac:dyDescent="0.4"/>
    <row r="4218" s="5" customFormat="1" x14ac:dyDescent="0.4"/>
    <row r="4219" s="5" customFormat="1" x14ac:dyDescent="0.4"/>
    <row r="4220" s="5" customFormat="1" x14ac:dyDescent="0.4"/>
    <row r="4221" s="5" customFormat="1" x14ac:dyDescent="0.4"/>
    <row r="4222" s="5" customFormat="1" x14ac:dyDescent="0.4"/>
    <row r="4223" s="5" customFormat="1" x14ac:dyDescent="0.4"/>
    <row r="4224" s="5" customFormat="1" x14ac:dyDescent="0.4"/>
    <row r="4225" s="5" customFormat="1" x14ac:dyDescent="0.4"/>
    <row r="4226" s="5" customFormat="1" x14ac:dyDescent="0.4"/>
    <row r="4227" s="5" customFormat="1" x14ac:dyDescent="0.4"/>
    <row r="4228" s="5" customFormat="1" x14ac:dyDescent="0.4"/>
    <row r="4229" s="5" customFormat="1" x14ac:dyDescent="0.4"/>
    <row r="4230" s="5" customFormat="1" x14ac:dyDescent="0.4"/>
    <row r="4231" s="5" customFormat="1" x14ac:dyDescent="0.4"/>
    <row r="4232" s="5" customFormat="1" x14ac:dyDescent="0.4"/>
    <row r="4233" s="5" customFormat="1" x14ac:dyDescent="0.4"/>
    <row r="4234" s="5" customFormat="1" x14ac:dyDescent="0.4"/>
    <row r="4235" s="5" customFormat="1" x14ac:dyDescent="0.4"/>
    <row r="4236" s="5" customFormat="1" x14ac:dyDescent="0.4"/>
    <row r="4237" s="5" customFormat="1" x14ac:dyDescent="0.4"/>
    <row r="4238" s="5" customFormat="1" x14ac:dyDescent="0.4"/>
    <row r="4239" s="5" customFormat="1" x14ac:dyDescent="0.4"/>
    <row r="4240" s="5" customFormat="1" x14ac:dyDescent="0.4"/>
    <row r="4241" s="5" customFormat="1" x14ac:dyDescent="0.4"/>
    <row r="4242" s="5" customFormat="1" x14ac:dyDescent="0.4"/>
    <row r="4243" s="5" customFormat="1" x14ac:dyDescent="0.4"/>
    <row r="4244" s="5" customFormat="1" x14ac:dyDescent="0.4"/>
    <row r="4245" s="5" customFormat="1" x14ac:dyDescent="0.4"/>
    <row r="4246" s="5" customFormat="1" x14ac:dyDescent="0.4"/>
    <row r="4247" s="5" customFormat="1" x14ac:dyDescent="0.4"/>
    <row r="4248" s="5" customFormat="1" x14ac:dyDescent="0.4"/>
    <row r="4249" s="5" customFormat="1" x14ac:dyDescent="0.4"/>
    <row r="4250" s="5" customFormat="1" x14ac:dyDescent="0.4"/>
    <row r="4251" s="5" customFormat="1" x14ac:dyDescent="0.4"/>
    <row r="4252" s="5" customFormat="1" x14ac:dyDescent="0.4"/>
    <row r="4253" s="5" customFormat="1" x14ac:dyDescent="0.4"/>
    <row r="4254" s="5" customFormat="1" x14ac:dyDescent="0.4"/>
    <row r="4255" s="5" customFormat="1" x14ac:dyDescent="0.4"/>
    <row r="4256" s="5" customFormat="1" x14ac:dyDescent="0.4"/>
    <row r="4257" s="5" customFormat="1" x14ac:dyDescent="0.4"/>
    <row r="4258" s="5" customFormat="1" x14ac:dyDescent="0.4"/>
    <row r="4259" s="5" customFormat="1" x14ac:dyDescent="0.4"/>
    <row r="4260" s="5" customFormat="1" x14ac:dyDescent="0.4"/>
    <row r="4261" s="5" customFormat="1" x14ac:dyDescent="0.4"/>
    <row r="4262" s="5" customFormat="1" x14ac:dyDescent="0.4"/>
    <row r="4263" s="5" customFormat="1" x14ac:dyDescent="0.4"/>
    <row r="4264" s="5" customFormat="1" x14ac:dyDescent="0.4"/>
    <row r="4265" s="5" customFormat="1" x14ac:dyDescent="0.4"/>
    <row r="4266" s="5" customFormat="1" x14ac:dyDescent="0.4"/>
    <row r="4267" s="5" customFormat="1" x14ac:dyDescent="0.4"/>
    <row r="4268" s="5" customFormat="1" x14ac:dyDescent="0.4"/>
    <row r="4269" s="5" customFormat="1" x14ac:dyDescent="0.4"/>
    <row r="4270" s="5" customFormat="1" x14ac:dyDescent="0.4"/>
    <row r="4271" s="5" customFormat="1" x14ac:dyDescent="0.4"/>
    <row r="4272" s="5" customFormat="1" x14ac:dyDescent="0.4"/>
    <row r="4273" s="5" customFormat="1" x14ac:dyDescent="0.4"/>
    <row r="4274" s="5" customFormat="1" x14ac:dyDescent="0.4"/>
    <row r="4275" s="5" customFormat="1" x14ac:dyDescent="0.4"/>
    <row r="4276" s="5" customFormat="1" x14ac:dyDescent="0.4"/>
    <row r="4277" s="5" customFormat="1" x14ac:dyDescent="0.4"/>
    <row r="4278" s="5" customFormat="1" x14ac:dyDescent="0.4"/>
    <row r="4279" s="5" customFormat="1" x14ac:dyDescent="0.4"/>
    <row r="4280" s="5" customFormat="1" x14ac:dyDescent="0.4"/>
    <row r="4281" s="5" customFormat="1" x14ac:dyDescent="0.4"/>
    <row r="4282" s="5" customFormat="1" x14ac:dyDescent="0.4"/>
    <row r="4283" s="5" customFormat="1" x14ac:dyDescent="0.4"/>
    <row r="4284" s="5" customFormat="1" x14ac:dyDescent="0.4"/>
    <row r="4285" s="5" customFormat="1" x14ac:dyDescent="0.4"/>
    <row r="4286" s="5" customFormat="1" x14ac:dyDescent="0.4"/>
    <row r="4287" s="5" customFormat="1" x14ac:dyDescent="0.4"/>
    <row r="4288" s="5" customFormat="1" x14ac:dyDescent="0.4"/>
    <row r="4289" s="5" customFormat="1" x14ac:dyDescent="0.4"/>
    <row r="4290" s="5" customFormat="1" x14ac:dyDescent="0.4"/>
    <row r="4291" s="5" customFormat="1" x14ac:dyDescent="0.4"/>
    <row r="4292" s="5" customFormat="1" x14ac:dyDescent="0.4"/>
    <row r="4293" s="5" customFormat="1" x14ac:dyDescent="0.4"/>
    <row r="4294" s="5" customFormat="1" x14ac:dyDescent="0.4"/>
    <row r="4295" s="5" customFormat="1" x14ac:dyDescent="0.4"/>
    <row r="4296" s="5" customFormat="1" x14ac:dyDescent="0.4"/>
    <row r="4297" s="5" customFormat="1" x14ac:dyDescent="0.4"/>
    <row r="4298" s="5" customFormat="1" x14ac:dyDescent="0.4"/>
    <row r="4299" s="5" customFormat="1" x14ac:dyDescent="0.4"/>
    <row r="4300" s="5" customFormat="1" x14ac:dyDescent="0.4"/>
    <row r="4301" s="5" customFormat="1" x14ac:dyDescent="0.4"/>
    <row r="4302" s="5" customFormat="1" x14ac:dyDescent="0.4"/>
    <row r="4303" s="5" customFormat="1" x14ac:dyDescent="0.4"/>
    <row r="4304" s="5" customFormat="1" x14ac:dyDescent="0.4"/>
    <row r="4305" s="5" customFormat="1" x14ac:dyDescent="0.4"/>
    <row r="4306" s="5" customFormat="1" x14ac:dyDescent="0.4"/>
    <row r="4307" s="5" customFormat="1" x14ac:dyDescent="0.4"/>
    <row r="4308" s="5" customFormat="1" x14ac:dyDescent="0.4"/>
    <row r="4309" s="5" customFormat="1" x14ac:dyDescent="0.4"/>
    <row r="4310" s="5" customFormat="1" x14ac:dyDescent="0.4"/>
    <row r="4311" s="5" customFormat="1" x14ac:dyDescent="0.4"/>
    <row r="4312" s="5" customFormat="1" x14ac:dyDescent="0.4"/>
    <row r="4313" s="5" customFormat="1" x14ac:dyDescent="0.4"/>
    <row r="4314" s="5" customFormat="1" x14ac:dyDescent="0.4"/>
    <row r="4315" s="5" customFormat="1" x14ac:dyDescent="0.4"/>
    <row r="4316" s="5" customFormat="1" x14ac:dyDescent="0.4"/>
    <row r="4317" s="5" customFormat="1" x14ac:dyDescent="0.4"/>
    <row r="4318" s="5" customFormat="1" x14ac:dyDescent="0.4"/>
    <row r="4319" s="5" customFormat="1" x14ac:dyDescent="0.4"/>
    <row r="4320" s="5" customFormat="1" x14ac:dyDescent="0.4"/>
    <row r="4321" s="5" customFormat="1" x14ac:dyDescent="0.4"/>
    <row r="4322" s="5" customFormat="1" x14ac:dyDescent="0.4"/>
    <row r="4323" s="5" customFormat="1" x14ac:dyDescent="0.4"/>
    <row r="4324" s="5" customFormat="1" x14ac:dyDescent="0.4"/>
    <row r="4325" s="5" customFormat="1" x14ac:dyDescent="0.4"/>
    <row r="4326" s="5" customFormat="1" x14ac:dyDescent="0.4"/>
    <row r="4327" s="5" customFormat="1" x14ac:dyDescent="0.4"/>
    <row r="4328" s="5" customFormat="1" x14ac:dyDescent="0.4"/>
    <row r="4329" s="5" customFormat="1" x14ac:dyDescent="0.4"/>
    <row r="4330" s="5" customFormat="1" x14ac:dyDescent="0.4"/>
    <row r="4331" s="5" customFormat="1" x14ac:dyDescent="0.4"/>
    <row r="4332" s="5" customFormat="1" x14ac:dyDescent="0.4"/>
    <row r="4333" s="5" customFormat="1" x14ac:dyDescent="0.4"/>
    <row r="4334" s="5" customFormat="1" x14ac:dyDescent="0.4"/>
    <row r="4335" s="5" customFormat="1" x14ac:dyDescent="0.4"/>
    <row r="4336" s="5" customFormat="1" x14ac:dyDescent="0.4"/>
    <row r="4337" s="5" customFormat="1" x14ac:dyDescent="0.4"/>
    <row r="4338" s="5" customFormat="1" x14ac:dyDescent="0.4"/>
    <row r="4339" s="5" customFormat="1" x14ac:dyDescent="0.4"/>
    <row r="4340" s="5" customFormat="1" x14ac:dyDescent="0.4"/>
    <row r="4341" s="5" customFormat="1" x14ac:dyDescent="0.4"/>
    <row r="4342" s="5" customFormat="1" x14ac:dyDescent="0.4"/>
    <row r="4343" s="5" customFormat="1" x14ac:dyDescent="0.4"/>
    <row r="4344" s="5" customFormat="1" x14ac:dyDescent="0.4"/>
    <row r="4345" s="5" customFormat="1" x14ac:dyDescent="0.4"/>
    <row r="4346" s="5" customFormat="1" x14ac:dyDescent="0.4"/>
    <row r="4347" s="5" customFormat="1" x14ac:dyDescent="0.4"/>
    <row r="4348" s="5" customFormat="1" x14ac:dyDescent="0.4"/>
    <row r="4349" s="5" customFormat="1" x14ac:dyDescent="0.4"/>
    <row r="4350" s="5" customFormat="1" x14ac:dyDescent="0.4"/>
    <row r="4351" s="5" customFormat="1" x14ac:dyDescent="0.4"/>
    <row r="4352" s="5" customFormat="1" x14ac:dyDescent="0.4"/>
    <row r="4353" s="5" customFormat="1" x14ac:dyDescent="0.4"/>
    <row r="4354" s="5" customFormat="1" x14ac:dyDescent="0.4"/>
    <row r="4355" s="5" customFormat="1" x14ac:dyDescent="0.4"/>
    <row r="4356" s="5" customFormat="1" x14ac:dyDescent="0.4"/>
    <row r="4357" s="5" customFormat="1" x14ac:dyDescent="0.4"/>
    <row r="4358" s="5" customFormat="1" x14ac:dyDescent="0.4"/>
    <row r="4359" s="5" customFormat="1" x14ac:dyDescent="0.4"/>
    <row r="4360" s="5" customFormat="1" x14ac:dyDescent="0.4"/>
    <row r="4361" s="5" customFormat="1" x14ac:dyDescent="0.4"/>
    <row r="4362" s="5" customFormat="1" x14ac:dyDescent="0.4"/>
    <row r="4363" s="5" customFormat="1" x14ac:dyDescent="0.4"/>
    <row r="4364" s="5" customFormat="1" x14ac:dyDescent="0.4"/>
    <row r="4365" s="5" customFormat="1" x14ac:dyDescent="0.4"/>
    <row r="4366" s="5" customFormat="1" x14ac:dyDescent="0.4"/>
    <row r="4367" s="5" customFormat="1" x14ac:dyDescent="0.4"/>
    <row r="4368" s="5" customFormat="1" x14ac:dyDescent="0.4"/>
    <row r="4369" s="5" customFormat="1" x14ac:dyDescent="0.4"/>
    <row r="4370" s="5" customFormat="1" x14ac:dyDescent="0.4"/>
    <row r="4371" s="5" customFormat="1" x14ac:dyDescent="0.4"/>
    <row r="4372" s="5" customFormat="1" x14ac:dyDescent="0.4"/>
    <row r="4373" s="5" customFormat="1" x14ac:dyDescent="0.4"/>
    <row r="4374" s="5" customFormat="1" x14ac:dyDescent="0.4"/>
    <row r="4375" s="5" customFormat="1" x14ac:dyDescent="0.4"/>
    <row r="4376" s="5" customFormat="1" x14ac:dyDescent="0.4"/>
    <row r="4377" s="5" customFormat="1" x14ac:dyDescent="0.4"/>
    <row r="4378" s="5" customFormat="1" x14ac:dyDescent="0.4"/>
    <row r="4379" s="5" customFormat="1" x14ac:dyDescent="0.4"/>
    <row r="4380" s="5" customFormat="1" x14ac:dyDescent="0.4"/>
    <row r="4381" s="5" customFormat="1" x14ac:dyDescent="0.4"/>
    <row r="4382" s="5" customFormat="1" x14ac:dyDescent="0.4"/>
    <row r="4383" s="5" customFormat="1" x14ac:dyDescent="0.4"/>
    <row r="4384" s="5" customFormat="1" x14ac:dyDescent="0.4"/>
    <row r="4385" s="5" customFormat="1" x14ac:dyDescent="0.4"/>
    <row r="4386" s="5" customFormat="1" x14ac:dyDescent="0.4"/>
    <row r="4387" s="5" customFormat="1" x14ac:dyDescent="0.4"/>
    <row r="4388" s="5" customFormat="1" x14ac:dyDescent="0.4"/>
    <row r="4389" s="5" customFormat="1" x14ac:dyDescent="0.4"/>
    <row r="4390" s="5" customFormat="1" x14ac:dyDescent="0.4"/>
    <row r="4391" s="5" customFormat="1" x14ac:dyDescent="0.4"/>
    <row r="4392" s="5" customFormat="1" x14ac:dyDescent="0.4"/>
    <row r="4393" s="5" customFormat="1" x14ac:dyDescent="0.4"/>
    <row r="4394" s="5" customFormat="1" x14ac:dyDescent="0.4"/>
    <row r="4395" s="5" customFormat="1" x14ac:dyDescent="0.4"/>
    <row r="4396" s="5" customFormat="1" x14ac:dyDescent="0.4"/>
    <row r="4397" s="5" customFormat="1" x14ac:dyDescent="0.4"/>
    <row r="4398" s="5" customFormat="1" x14ac:dyDescent="0.4"/>
    <row r="4399" s="5" customFormat="1" x14ac:dyDescent="0.4"/>
    <row r="4400" s="5" customFormat="1" x14ac:dyDescent="0.4"/>
    <row r="4401" s="5" customFormat="1" x14ac:dyDescent="0.4"/>
    <row r="4402" s="5" customFormat="1" x14ac:dyDescent="0.4"/>
    <row r="4403" s="5" customFormat="1" x14ac:dyDescent="0.4"/>
    <row r="4404" s="5" customFormat="1" x14ac:dyDescent="0.4"/>
    <row r="4405" s="5" customFormat="1" x14ac:dyDescent="0.4"/>
    <row r="4406" s="5" customFormat="1" x14ac:dyDescent="0.4"/>
    <row r="4407" s="5" customFormat="1" x14ac:dyDescent="0.4"/>
    <row r="4408" s="5" customFormat="1" x14ac:dyDescent="0.4"/>
    <row r="4409" s="5" customFormat="1" x14ac:dyDescent="0.4"/>
    <row r="4410" s="5" customFormat="1" x14ac:dyDescent="0.4"/>
    <row r="4411" s="5" customFormat="1" x14ac:dyDescent="0.4"/>
    <row r="4412" s="5" customFormat="1" x14ac:dyDescent="0.4"/>
    <row r="4413" s="5" customFormat="1" x14ac:dyDescent="0.4"/>
    <row r="4414" s="5" customFormat="1" x14ac:dyDescent="0.4"/>
    <row r="4415" s="5" customFormat="1" x14ac:dyDescent="0.4"/>
    <row r="4416" s="5" customFormat="1" x14ac:dyDescent="0.4"/>
    <row r="4417" s="5" customFormat="1" x14ac:dyDescent="0.4"/>
    <row r="4418" s="5" customFormat="1" x14ac:dyDescent="0.4"/>
    <row r="4419" s="5" customFormat="1" x14ac:dyDescent="0.4"/>
    <row r="4420" s="5" customFormat="1" x14ac:dyDescent="0.4"/>
    <row r="4421" s="5" customFormat="1" x14ac:dyDescent="0.4"/>
    <row r="4422" s="5" customFormat="1" x14ac:dyDescent="0.4"/>
    <row r="4423" s="5" customFormat="1" x14ac:dyDescent="0.4"/>
    <row r="4424" s="5" customFormat="1" x14ac:dyDescent="0.4"/>
    <row r="4425" s="5" customFormat="1" x14ac:dyDescent="0.4"/>
    <row r="4426" s="5" customFormat="1" x14ac:dyDescent="0.4"/>
    <row r="4427" s="5" customFormat="1" x14ac:dyDescent="0.4"/>
    <row r="4428" s="5" customFormat="1" x14ac:dyDescent="0.4"/>
    <row r="4429" s="5" customFormat="1" x14ac:dyDescent="0.4"/>
    <row r="4430" s="5" customFormat="1" x14ac:dyDescent="0.4"/>
    <row r="4431" s="5" customFormat="1" x14ac:dyDescent="0.4"/>
    <row r="4432" s="5" customFormat="1" x14ac:dyDescent="0.4"/>
    <row r="4433" s="5" customFormat="1" x14ac:dyDescent="0.4"/>
    <row r="4434" s="5" customFormat="1" x14ac:dyDescent="0.4"/>
    <row r="4435" s="5" customFormat="1" x14ac:dyDescent="0.4"/>
    <row r="4436" s="5" customFormat="1" x14ac:dyDescent="0.4"/>
    <row r="4437" s="5" customFormat="1" x14ac:dyDescent="0.4"/>
    <row r="4438" s="5" customFormat="1" x14ac:dyDescent="0.4"/>
    <row r="4439" s="5" customFormat="1" x14ac:dyDescent="0.4"/>
    <row r="4440" s="5" customFormat="1" x14ac:dyDescent="0.4"/>
    <row r="4441" s="5" customFormat="1" x14ac:dyDescent="0.4"/>
    <row r="4442" s="5" customFormat="1" x14ac:dyDescent="0.4"/>
    <row r="4443" s="5" customFormat="1" x14ac:dyDescent="0.4"/>
    <row r="4444" s="5" customFormat="1" x14ac:dyDescent="0.4"/>
    <row r="4445" s="5" customFormat="1" x14ac:dyDescent="0.4"/>
    <row r="4446" s="5" customFormat="1" x14ac:dyDescent="0.4"/>
    <row r="4447" s="5" customFormat="1" x14ac:dyDescent="0.4"/>
    <row r="4448" s="5" customFormat="1" x14ac:dyDescent="0.4"/>
    <row r="4449" s="5" customFormat="1" x14ac:dyDescent="0.4"/>
    <row r="4450" s="5" customFormat="1" x14ac:dyDescent="0.4"/>
    <row r="4451" s="5" customFormat="1" x14ac:dyDescent="0.4"/>
    <row r="4452" s="5" customFormat="1" x14ac:dyDescent="0.4"/>
    <row r="4453" s="5" customFormat="1" x14ac:dyDescent="0.4"/>
    <row r="4454" s="5" customFormat="1" x14ac:dyDescent="0.4"/>
    <row r="4455" s="5" customFormat="1" x14ac:dyDescent="0.4"/>
    <row r="4456" s="5" customFormat="1" x14ac:dyDescent="0.4"/>
    <row r="4457" s="5" customFormat="1" x14ac:dyDescent="0.4"/>
    <row r="4458" s="5" customFormat="1" x14ac:dyDescent="0.4"/>
    <row r="4459" s="5" customFormat="1" x14ac:dyDescent="0.4"/>
    <row r="4460" s="5" customFormat="1" x14ac:dyDescent="0.4"/>
    <row r="4461" s="5" customFormat="1" x14ac:dyDescent="0.4"/>
    <row r="4462" s="5" customFormat="1" x14ac:dyDescent="0.4"/>
    <row r="4463" s="5" customFormat="1" x14ac:dyDescent="0.4"/>
    <row r="4464" s="5" customFormat="1" x14ac:dyDescent="0.4"/>
    <row r="4465" s="5" customFormat="1" x14ac:dyDescent="0.4"/>
    <row r="4466" s="5" customFormat="1" x14ac:dyDescent="0.4"/>
    <row r="4467" s="5" customFormat="1" x14ac:dyDescent="0.4"/>
    <row r="4468" s="5" customFormat="1" x14ac:dyDescent="0.4"/>
    <row r="4469" s="5" customFormat="1" x14ac:dyDescent="0.4"/>
    <row r="4470" s="5" customFormat="1" x14ac:dyDescent="0.4"/>
    <row r="4471" s="5" customFormat="1" x14ac:dyDescent="0.4"/>
    <row r="4472" s="5" customFormat="1" x14ac:dyDescent="0.4"/>
    <row r="4473" s="5" customFormat="1" x14ac:dyDescent="0.4"/>
    <row r="4474" s="5" customFormat="1" x14ac:dyDescent="0.4"/>
    <row r="4475" s="5" customFormat="1" x14ac:dyDescent="0.4"/>
    <row r="4476" s="5" customFormat="1" x14ac:dyDescent="0.4"/>
    <row r="4477" s="5" customFormat="1" x14ac:dyDescent="0.4"/>
    <row r="4478" s="5" customFormat="1" x14ac:dyDescent="0.4"/>
    <row r="4479" s="5" customFormat="1" x14ac:dyDescent="0.4"/>
    <row r="4480" s="5" customFormat="1" x14ac:dyDescent="0.4"/>
    <row r="4481" s="5" customFormat="1" x14ac:dyDescent="0.4"/>
    <row r="4482" s="5" customFormat="1" x14ac:dyDescent="0.4"/>
    <row r="4483" s="5" customFormat="1" x14ac:dyDescent="0.4"/>
    <row r="4484" s="5" customFormat="1" x14ac:dyDescent="0.4"/>
    <row r="4485" s="5" customFormat="1" x14ac:dyDescent="0.4"/>
    <row r="4486" s="5" customFormat="1" x14ac:dyDescent="0.4"/>
    <row r="4487" s="5" customFormat="1" x14ac:dyDescent="0.4"/>
    <row r="4488" s="5" customFormat="1" x14ac:dyDescent="0.4"/>
    <row r="4489" s="5" customFormat="1" x14ac:dyDescent="0.4"/>
    <row r="4490" s="5" customFormat="1" x14ac:dyDescent="0.4"/>
    <row r="4491" s="5" customFormat="1" x14ac:dyDescent="0.4"/>
    <row r="4492" s="5" customFormat="1" x14ac:dyDescent="0.4"/>
    <row r="4493" s="5" customFormat="1" x14ac:dyDescent="0.4"/>
    <row r="4494" s="5" customFormat="1" x14ac:dyDescent="0.4"/>
    <row r="4495" s="5" customFormat="1" x14ac:dyDescent="0.4"/>
    <row r="4496" s="5" customFormat="1" x14ac:dyDescent="0.4"/>
    <row r="4497" s="5" customFormat="1" x14ac:dyDescent="0.4"/>
    <row r="4498" s="5" customFormat="1" x14ac:dyDescent="0.4"/>
    <row r="4499" s="5" customFormat="1" x14ac:dyDescent="0.4"/>
    <row r="4500" s="5" customFormat="1" x14ac:dyDescent="0.4"/>
    <row r="4501" s="5" customFormat="1" x14ac:dyDescent="0.4"/>
    <row r="4502" s="5" customFormat="1" x14ac:dyDescent="0.4"/>
    <row r="4503" s="5" customFormat="1" x14ac:dyDescent="0.4"/>
    <row r="4504" s="5" customFormat="1" x14ac:dyDescent="0.4"/>
    <row r="4505" s="5" customFormat="1" x14ac:dyDescent="0.4"/>
    <row r="4506" s="5" customFormat="1" x14ac:dyDescent="0.4"/>
    <row r="4507" s="5" customFormat="1" x14ac:dyDescent="0.4"/>
    <row r="4508" s="5" customFormat="1" x14ac:dyDescent="0.4"/>
    <row r="4509" s="5" customFormat="1" x14ac:dyDescent="0.4"/>
    <row r="4510" s="5" customFormat="1" x14ac:dyDescent="0.4"/>
    <row r="4511" s="5" customFormat="1" x14ac:dyDescent="0.4"/>
    <row r="4512" s="5" customFormat="1" x14ac:dyDescent="0.4"/>
    <row r="4513" s="5" customFormat="1" x14ac:dyDescent="0.4"/>
    <row r="4514" s="5" customFormat="1" x14ac:dyDescent="0.4"/>
    <row r="4515" s="5" customFormat="1" x14ac:dyDescent="0.4"/>
    <row r="4516" s="5" customFormat="1" x14ac:dyDescent="0.4"/>
    <row r="4517" s="5" customFormat="1" x14ac:dyDescent="0.4"/>
    <row r="4518" s="5" customFormat="1" x14ac:dyDescent="0.4"/>
    <row r="4519" s="5" customFormat="1" x14ac:dyDescent="0.4"/>
    <row r="4520" s="5" customFormat="1" x14ac:dyDescent="0.4"/>
    <row r="4521" s="5" customFormat="1" x14ac:dyDescent="0.4"/>
    <row r="4522" s="5" customFormat="1" x14ac:dyDescent="0.4"/>
    <row r="4523" s="5" customFormat="1" x14ac:dyDescent="0.4"/>
    <row r="4524" s="5" customFormat="1" x14ac:dyDescent="0.4"/>
    <row r="4525" s="5" customFormat="1" x14ac:dyDescent="0.4"/>
    <row r="4526" s="5" customFormat="1" x14ac:dyDescent="0.4"/>
    <row r="4527" s="5" customFormat="1" x14ac:dyDescent="0.4"/>
    <row r="4528" s="5" customFormat="1" x14ac:dyDescent="0.4"/>
    <row r="4529" s="5" customFormat="1" x14ac:dyDescent="0.4"/>
    <row r="4530" s="5" customFormat="1" x14ac:dyDescent="0.4"/>
    <row r="4531" s="5" customFormat="1" x14ac:dyDescent="0.4"/>
    <row r="4532" s="5" customFormat="1" x14ac:dyDescent="0.4"/>
    <row r="4533" s="5" customFormat="1" x14ac:dyDescent="0.4"/>
    <row r="4534" s="5" customFormat="1" x14ac:dyDescent="0.4"/>
    <row r="4535" s="5" customFormat="1" x14ac:dyDescent="0.4"/>
    <row r="4536" s="5" customFormat="1" x14ac:dyDescent="0.4"/>
    <row r="4537" s="5" customFormat="1" x14ac:dyDescent="0.4"/>
    <row r="4538" s="5" customFormat="1" x14ac:dyDescent="0.4"/>
    <row r="4539" s="5" customFormat="1" x14ac:dyDescent="0.4"/>
    <row r="4540" s="5" customFormat="1" x14ac:dyDescent="0.4"/>
    <row r="4541" s="5" customFormat="1" x14ac:dyDescent="0.4"/>
    <row r="4542" s="5" customFormat="1" x14ac:dyDescent="0.4"/>
    <row r="4543" s="5" customFormat="1" x14ac:dyDescent="0.4"/>
    <row r="4544" s="5" customFormat="1" x14ac:dyDescent="0.4"/>
    <row r="4545" s="5" customFormat="1" x14ac:dyDescent="0.4"/>
    <row r="4546" s="5" customFormat="1" x14ac:dyDescent="0.4"/>
    <row r="4547" s="5" customFormat="1" x14ac:dyDescent="0.4"/>
    <row r="4548" s="5" customFormat="1" x14ac:dyDescent="0.4"/>
    <row r="4549" s="5" customFormat="1" x14ac:dyDescent="0.4"/>
    <row r="4550" s="5" customFormat="1" x14ac:dyDescent="0.4"/>
    <row r="4551" s="5" customFormat="1" x14ac:dyDescent="0.4"/>
    <row r="4552" s="5" customFormat="1" x14ac:dyDescent="0.4"/>
    <row r="4553" s="5" customFormat="1" x14ac:dyDescent="0.4"/>
    <row r="4554" s="5" customFormat="1" x14ac:dyDescent="0.4"/>
    <row r="4555" s="5" customFormat="1" x14ac:dyDescent="0.4"/>
    <row r="4556" s="5" customFormat="1" x14ac:dyDescent="0.4"/>
    <row r="4557" s="5" customFormat="1" x14ac:dyDescent="0.4"/>
    <row r="4558" s="5" customFormat="1" x14ac:dyDescent="0.4"/>
    <row r="4559" s="5" customFormat="1" x14ac:dyDescent="0.4"/>
    <row r="4560" s="5" customFormat="1" x14ac:dyDescent="0.4"/>
    <row r="4561" s="5" customFormat="1" x14ac:dyDescent="0.4"/>
    <row r="4562" s="5" customFormat="1" x14ac:dyDescent="0.4"/>
    <row r="4563" s="5" customFormat="1" x14ac:dyDescent="0.4"/>
    <row r="4564" s="5" customFormat="1" x14ac:dyDescent="0.4"/>
    <row r="4565" s="5" customFormat="1" x14ac:dyDescent="0.4"/>
    <row r="4566" s="5" customFormat="1" x14ac:dyDescent="0.4"/>
    <row r="4567" s="5" customFormat="1" x14ac:dyDescent="0.4"/>
    <row r="4568" s="5" customFormat="1" x14ac:dyDescent="0.4"/>
    <row r="4569" s="5" customFormat="1" x14ac:dyDescent="0.4"/>
    <row r="4570" s="5" customFormat="1" x14ac:dyDescent="0.4"/>
    <row r="4571" s="5" customFormat="1" x14ac:dyDescent="0.4"/>
    <row r="4572" s="5" customFormat="1" x14ac:dyDescent="0.4"/>
    <row r="4573" s="5" customFormat="1" x14ac:dyDescent="0.4"/>
    <row r="4574" s="5" customFormat="1" x14ac:dyDescent="0.4"/>
    <row r="4575" s="5" customFormat="1" x14ac:dyDescent="0.4"/>
    <row r="4576" s="5" customFormat="1" x14ac:dyDescent="0.4"/>
    <row r="4577" s="5" customFormat="1" x14ac:dyDescent="0.4"/>
    <row r="4578" s="5" customFormat="1" x14ac:dyDescent="0.4"/>
    <row r="4579" s="5" customFormat="1" x14ac:dyDescent="0.4"/>
    <row r="4580" s="5" customFormat="1" x14ac:dyDescent="0.4"/>
    <row r="4581" s="5" customFormat="1" x14ac:dyDescent="0.4"/>
    <row r="4582" s="5" customFormat="1" x14ac:dyDescent="0.4"/>
    <row r="4583" s="5" customFormat="1" x14ac:dyDescent="0.4"/>
    <row r="4584" s="5" customFormat="1" x14ac:dyDescent="0.4"/>
    <row r="4585" s="5" customFormat="1" x14ac:dyDescent="0.4"/>
    <row r="4586" s="5" customFormat="1" x14ac:dyDescent="0.4"/>
    <row r="4587" s="5" customFormat="1" x14ac:dyDescent="0.4"/>
    <row r="4588" s="5" customFormat="1" x14ac:dyDescent="0.4"/>
    <row r="4589" s="5" customFormat="1" x14ac:dyDescent="0.4"/>
    <row r="4590" s="5" customFormat="1" x14ac:dyDescent="0.4"/>
    <row r="4591" s="5" customFormat="1" x14ac:dyDescent="0.4"/>
    <row r="4592" s="5" customFormat="1" x14ac:dyDescent="0.4"/>
    <row r="4593" s="5" customFormat="1" x14ac:dyDescent="0.4"/>
    <row r="4594" s="5" customFormat="1" x14ac:dyDescent="0.4"/>
    <row r="4595" s="5" customFormat="1" x14ac:dyDescent="0.4"/>
    <row r="4596" s="5" customFormat="1" x14ac:dyDescent="0.4"/>
    <row r="4597" s="5" customFormat="1" x14ac:dyDescent="0.4"/>
    <row r="4598" s="5" customFormat="1" x14ac:dyDescent="0.4"/>
    <row r="4599" s="5" customFormat="1" x14ac:dyDescent="0.4"/>
    <row r="4600" s="5" customFormat="1" x14ac:dyDescent="0.4"/>
    <row r="4601" s="5" customFormat="1" x14ac:dyDescent="0.4"/>
    <row r="4602" s="5" customFormat="1" x14ac:dyDescent="0.4"/>
    <row r="4603" s="5" customFormat="1" x14ac:dyDescent="0.4"/>
    <row r="4604" s="5" customFormat="1" x14ac:dyDescent="0.4"/>
    <row r="4605" s="5" customFormat="1" x14ac:dyDescent="0.4"/>
    <row r="4606" s="5" customFormat="1" x14ac:dyDescent="0.4"/>
    <row r="4607" s="5" customFormat="1" x14ac:dyDescent="0.4"/>
    <row r="4608" s="5" customFormat="1" x14ac:dyDescent="0.4"/>
    <row r="4609" s="5" customFormat="1" x14ac:dyDescent="0.4"/>
    <row r="4610" s="5" customFormat="1" x14ac:dyDescent="0.4"/>
    <row r="4611" s="5" customFormat="1" x14ac:dyDescent="0.4"/>
    <row r="4612" s="5" customFormat="1" x14ac:dyDescent="0.4"/>
    <row r="4613" s="5" customFormat="1" x14ac:dyDescent="0.4"/>
    <row r="4614" s="5" customFormat="1" x14ac:dyDescent="0.4"/>
    <row r="4615" s="5" customFormat="1" x14ac:dyDescent="0.4"/>
    <row r="4616" s="5" customFormat="1" x14ac:dyDescent="0.4"/>
    <row r="4617" s="5" customFormat="1" x14ac:dyDescent="0.4"/>
    <row r="4618" s="5" customFormat="1" x14ac:dyDescent="0.4"/>
    <row r="4619" s="5" customFormat="1" x14ac:dyDescent="0.4"/>
    <row r="4620" s="5" customFormat="1" x14ac:dyDescent="0.4"/>
    <row r="4621" s="5" customFormat="1" x14ac:dyDescent="0.4"/>
    <row r="4622" s="5" customFormat="1" x14ac:dyDescent="0.4"/>
    <row r="4623" s="5" customFormat="1" x14ac:dyDescent="0.4"/>
    <row r="4624" s="5" customFormat="1" x14ac:dyDescent="0.4"/>
    <row r="4625" s="5" customFormat="1" x14ac:dyDescent="0.4"/>
    <row r="4626" s="5" customFormat="1" x14ac:dyDescent="0.4"/>
    <row r="4627" s="5" customFormat="1" x14ac:dyDescent="0.4"/>
    <row r="4628" s="5" customFormat="1" x14ac:dyDescent="0.4"/>
    <row r="4629" s="5" customFormat="1" x14ac:dyDescent="0.4"/>
    <row r="4630" s="5" customFormat="1" x14ac:dyDescent="0.4"/>
    <row r="4631" s="5" customFormat="1" x14ac:dyDescent="0.4"/>
    <row r="4632" s="5" customFormat="1" x14ac:dyDescent="0.4"/>
    <row r="4633" s="5" customFormat="1" x14ac:dyDescent="0.4"/>
    <row r="4634" s="5" customFormat="1" x14ac:dyDescent="0.4"/>
    <row r="4635" s="5" customFormat="1" x14ac:dyDescent="0.4"/>
    <row r="4636" s="5" customFormat="1" x14ac:dyDescent="0.4"/>
    <row r="4637" s="5" customFormat="1" x14ac:dyDescent="0.4"/>
    <row r="4638" s="5" customFormat="1" x14ac:dyDescent="0.4"/>
    <row r="4639" s="5" customFormat="1" x14ac:dyDescent="0.4"/>
    <row r="4640" s="5" customFormat="1" x14ac:dyDescent="0.4"/>
    <row r="4641" s="5" customFormat="1" x14ac:dyDescent="0.4"/>
    <row r="4642" s="5" customFormat="1" x14ac:dyDescent="0.4"/>
    <row r="4643" s="5" customFormat="1" x14ac:dyDescent="0.4"/>
    <row r="4644" s="5" customFormat="1" x14ac:dyDescent="0.4"/>
    <row r="4645" s="5" customFormat="1" x14ac:dyDescent="0.4"/>
    <row r="4646" s="5" customFormat="1" x14ac:dyDescent="0.4"/>
    <row r="4647" s="5" customFormat="1" x14ac:dyDescent="0.4"/>
    <row r="4648" s="5" customFormat="1" x14ac:dyDescent="0.4"/>
    <row r="4649" s="5" customFormat="1" x14ac:dyDescent="0.4"/>
    <row r="4650" s="5" customFormat="1" x14ac:dyDescent="0.4"/>
    <row r="4651" s="5" customFormat="1" x14ac:dyDescent="0.4"/>
    <row r="4652" s="5" customFormat="1" x14ac:dyDescent="0.4"/>
    <row r="4653" s="5" customFormat="1" x14ac:dyDescent="0.4"/>
    <row r="4654" s="5" customFormat="1" x14ac:dyDescent="0.4"/>
    <row r="4655" s="5" customFormat="1" x14ac:dyDescent="0.4"/>
    <row r="4656" s="5" customFormat="1" x14ac:dyDescent="0.4"/>
    <row r="4657" s="5" customFormat="1" x14ac:dyDescent="0.4"/>
    <row r="4658" s="5" customFormat="1" x14ac:dyDescent="0.4"/>
    <row r="4659" s="5" customFormat="1" x14ac:dyDescent="0.4"/>
    <row r="4660" s="5" customFormat="1" x14ac:dyDescent="0.4"/>
    <row r="4661" s="5" customFormat="1" x14ac:dyDescent="0.4"/>
    <row r="4662" s="5" customFormat="1" x14ac:dyDescent="0.4"/>
    <row r="4663" s="5" customFormat="1" x14ac:dyDescent="0.4"/>
    <row r="4664" s="5" customFormat="1" x14ac:dyDescent="0.4"/>
    <row r="4665" s="5" customFormat="1" x14ac:dyDescent="0.4"/>
    <row r="4666" s="5" customFormat="1" x14ac:dyDescent="0.4"/>
    <row r="4667" s="5" customFormat="1" x14ac:dyDescent="0.4"/>
    <row r="4668" s="5" customFormat="1" x14ac:dyDescent="0.4"/>
    <row r="4669" s="5" customFormat="1" x14ac:dyDescent="0.4"/>
    <row r="4670" s="5" customFormat="1" x14ac:dyDescent="0.4"/>
    <row r="4671" s="5" customFormat="1" x14ac:dyDescent="0.4"/>
    <row r="4672" s="5" customFormat="1" x14ac:dyDescent="0.4"/>
    <row r="4673" s="5" customFormat="1" x14ac:dyDescent="0.4"/>
    <row r="4674" s="5" customFormat="1" x14ac:dyDescent="0.4"/>
    <row r="4675" s="5" customFormat="1" x14ac:dyDescent="0.4"/>
    <row r="4676" s="5" customFormat="1" x14ac:dyDescent="0.4"/>
    <row r="4677" s="5" customFormat="1" x14ac:dyDescent="0.4"/>
    <row r="4678" s="5" customFormat="1" x14ac:dyDescent="0.4"/>
    <row r="4679" s="5" customFormat="1" x14ac:dyDescent="0.4"/>
    <row r="4680" s="5" customFormat="1" x14ac:dyDescent="0.4"/>
    <row r="4681" s="5" customFormat="1" x14ac:dyDescent="0.4"/>
    <row r="4682" s="5" customFormat="1" x14ac:dyDescent="0.4"/>
    <row r="4683" s="5" customFormat="1" x14ac:dyDescent="0.4"/>
    <row r="4684" s="5" customFormat="1" x14ac:dyDescent="0.4"/>
    <row r="4685" s="5" customFormat="1" x14ac:dyDescent="0.4"/>
    <row r="4686" s="5" customFormat="1" x14ac:dyDescent="0.4"/>
    <row r="4687" s="5" customFormat="1" x14ac:dyDescent="0.4"/>
    <row r="4688" s="5" customFormat="1" x14ac:dyDescent="0.4"/>
    <row r="4689" s="5" customFormat="1" x14ac:dyDescent="0.4"/>
    <row r="4690" s="5" customFormat="1" x14ac:dyDescent="0.4"/>
    <row r="4691" s="5" customFormat="1" x14ac:dyDescent="0.4"/>
    <row r="4692" s="5" customFormat="1" x14ac:dyDescent="0.4"/>
    <row r="4693" s="5" customFormat="1" x14ac:dyDescent="0.4"/>
    <row r="4694" s="5" customFormat="1" x14ac:dyDescent="0.4"/>
    <row r="4695" s="5" customFormat="1" x14ac:dyDescent="0.4"/>
    <row r="4696" s="5" customFormat="1" x14ac:dyDescent="0.4"/>
    <row r="4697" s="5" customFormat="1" x14ac:dyDescent="0.4"/>
    <row r="4698" s="5" customFormat="1" x14ac:dyDescent="0.4"/>
    <row r="4699" s="5" customFormat="1" x14ac:dyDescent="0.4"/>
    <row r="4700" s="5" customFormat="1" x14ac:dyDescent="0.4"/>
    <row r="4701" s="5" customFormat="1" x14ac:dyDescent="0.4"/>
    <row r="4702" s="5" customFormat="1" x14ac:dyDescent="0.4"/>
    <row r="4703" s="5" customFormat="1" x14ac:dyDescent="0.4"/>
    <row r="4704" s="5" customFormat="1" x14ac:dyDescent="0.4"/>
    <row r="4705" s="5" customFormat="1" x14ac:dyDescent="0.4"/>
    <row r="4706" s="5" customFormat="1" x14ac:dyDescent="0.4"/>
    <row r="4707" s="5" customFormat="1" x14ac:dyDescent="0.4"/>
    <row r="4708" s="5" customFormat="1" x14ac:dyDescent="0.4"/>
    <row r="4709" s="5" customFormat="1" x14ac:dyDescent="0.4"/>
    <row r="4710" s="5" customFormat="1" x14ac:dyDescent="0.4"/>
    <row r="4711" s="5" customFormat="1" x14ac:dyDescent="0.4"/>
    <row r="4712" s="5" customFormat="1" x14ac:dyDescent="0.4"/>
    <row r="4713" s="5" customFormat="1" x14ac:dyDescent="0.4"/>
    <row r="4714" s="5" customFormat="1" x14ac:dyDescent="0.4"/>
    <row r="4715" s="5" customFormat="1" x14ac:dyDescent="0.4"/>
    <row r="4716" s="5" customFormat="1" x14ac:dyDescent="0.4"/>
    <row r="4717" s="5" customFormat="1" x14ac:dyDescent="0.4"/>
    <row r="4718" s="5" customFormat="1" x14ac:dyDescent="0.4"/>
    <row r="4719" s="5" customFormat="1" x14ac:dyDescent="0.4"/>
    <row r="4720" s="5" customFormat="1" x14ac:dyDescent="0.4"/>
    <row r="4721" s="5" customFormat="1" x14ac:dyDescent="0.4"/>
    <row r="4722" s="5" customFormat="1" x14ac:dyDescent="0.4"/>
    <row r="4723" s="5" customFormat="1" x14ac:dyDescent="0.4"/>
    <row r="4724" s="5" customFormat="1" x14ac:dyDescent="0.4"/>
    <row r="4725" s="5" customFormat="1" x14ac:dyDescent="0.4"/>
    <row r="4726" s="5" customFormat="1" x14ac:dyDescent="0.4"/>
    <row r="4727" s="5" customFormat="1" x14ac:dyDescent="0.4"/>
    <row r="4728" s="5" customFormat="1" x14ac:dyDescent="0.4"/>
    <row r="4729" s="5" customFormat="1" x14ac:dyDescent="0.4"/>
    <row r="4730" s="5" customFormat="1" x14ac:dyDescent="0.4"/>
    <row r="4731" s="5" customFormat="1" x14ac:dyDescent="0.4"/>
    <row r="4732" s="5" customFormat="1" x14ac:dyDescent="0.4"/>
    <row r="4733" s="5" customFormat="1" x14ac:dyDescent="0.4"/>
    <row r="4734" s="5" customFormat="1" x14ac:dyDescent="0.4"/>
    <row r="4735" s="5" customFormat="1" x14ac:dyDescent="0.4"/>
    <row r="4736" s="5" customFormat="1" x14ac:dyDescent="0.4"/>
    <row r="4737" s="5" customFormat="1" x14ac:dyDescent="0.4"/>
    <row r="4738" s="5" customFormat="1" x14ac:dyDescent="0.4"/>
    <row r="4739" s="5" customFormat="1" x14ac:dyDescent="0.4"/>
    <row r="4740" s="5" customFormat="1" x14ac:dyDescent="0.4"/>
    <row r="4741" s="5" customFormat="1" x14ac:dyDescent="0.4"/>
    <row r="4742" s="5" customFormat="1" x14ac:dyDescent="0.4"/>
    <row r="4743" s="5" customFormat="1" x14ac:dyDescent="0.4"/>
    <row r="4744" s="5" customFormat="1" x14ac:dyDescent="0.4"/>
    <row r="4745" s="5" customFormat="1" x14ac:dyDescent="0.4"/>
    <row r="4746" s="5" customFormat="1" x14ac:dyDescent="0.4"/>
    <row r="4747" s="5" customFormat="1" x14ac:dyDescent="0.4"/>
    <row r="4748" s="5" customFormat="1" x14ac:dyDescent="0.4"/>
    <row r="4749" s="5" customFormat="1" x14ac:dyDescent="0.4"/>
    <row r="4750" s="5" customFormat="1" x14ac:dyDescent="0.4"/>
    <row r="4751" s="5" customFormat="1" x14ac:dyDescent="0.4"/>
    <row r="4752" s="5" customFormat="1" x14ac:dyDescent="0.4"/>
    <row r="4753" s="5" customFormat="1" x14ac:dyDescent="0.4"/>
    <row r="4754" s="5" customFormat="1" x14ac:dyDescent="0.4"/>
    <row r="4755" s="5" customFormat="1" x14ac:dyDescent="0.4"/>
    <row r="4756" s="5" customFormat="1" x14ac:dyDescent="0.4"/>
    <row r="4757" s="5" customFormat="1" x14ac:dyDescent="0.4"/>
    <row r="4758" s="5" customFormat="1" x14ac:dyDescent="0.4"/>
    <row r="4759" s="5" customFormat="1" x14ac:dyDescent="0.4"/>
    <row r="4760" s="5" customFormat="1" x14ac:dyDescent="0.4"/>
    <row r="4761" s="5" customFormat="1" x14ac:dyDescent="0.4"/>
    <row r="4762" s="5" customFormat="1" x14ac:dyDescent="0.4"/>
    <row r="4763" s="5" customFormat="1" x14ac:dyDescent="0.4"/>
    <row r="4764" s="5" customFormat="1" x14ac:dyDescent="0.4"/>
    <row r="4765" s="5" customFormat="1" x14ac:dyDescent="0.4"/>
    <row r="4766" s="5" customFormat="1" x14ac:dyDescent="0.4"/>
    <row r="4767" s="5" customFormat="1" x14ac:dyDescent="0.4"/>
    <row r="4768" s="5" customFormat="1" x14ac:dyDescent="0.4"/>
    <row r="4769" s="5" customFormat="1" x14ac:dyDescent="0.4"/>
    <row r="4770" s="5" customFormat="1" x14ac:dyDescent="0.4"/>
    <row r="4771" s="5" customFormat="1" x14ac:dyDescent="0.4"/>
    <row r="4772" s="5" customFormat="1" x14ac:dyDescent="0.4"/>
    <row r="4773" s="5" customFormat="1" x14ac:dyDescent="0.4"/>
    <row r="4774" s="5" customFormat="1" x14ac:dyDescent="0.4"/>
    <row r="4775" s="5" customFormat="1" x14ac:dyDescent="0.4"/>
    <row r="4776" s="5" customFormat="1" x14ac:dyDescent="0.4"/>
    <row r="4777" s="5" customFormat="1" x14ac:dyDescent="0.4"/>
    <row r="4778" s="5" customFormat="1" x14ac:dyDescent="0.4"/>
    <row r="4779" s="5" customFormat="1" x14ac:dyDescent="0.4"/>
    <row r="4780" s="5" customFormat="1" x14ac:dyDescent="0.4"/>
    <row r="4781" s="5" customFormat="1" x14ac:dyDescent="0.4"/>
    <row r="4782" s="5" customFormat="1" x14ac:dyDescent="0.4"/>
    <row r="4783" s="5" customFormat="1" x14ac:dyDescent="0.4"/>
    <row r="4784" s="5" customFormat="1" x14ac:dyDescent="0.4"/>
    <row r="4785" s="5" customFormat="1" x14ac:dyDescent="0.4"/>
    <row r="4786" s="5" customFormat="1" x14ac:dyDescent="0.4"/>
    <row r="4787" s="5" customFormat="1" x14ac:dyDescent="0.4"/>
    <row r="4788" s="5" customFormat="1" x14ac:dyDescent="0.4"/>
    <row r="4789" s="5" customFormat="1" x14ac:dyDescent="0.4"/>
    <row r="4790" s="5" customFormat="1" x14ac:dyDescent="0.4"/>
    <row r="4791" s="5" customFormat="1" x14ac:dyDescent="0.4"/>
    <row r="4792" s="5" customFormat="1" x14ac:dyDescent="0.4"/>
    <row r="4793" s="5" customFormat="1" x14ac:dyDescent="0.4"/>
    <row r="4794" s="5" customFormat="1" x14ac:dyDescent="0.4"/>
    <row r="4795" s="5" customFormat="1" x14ac:dyDescent="0.4"/>
    <row r="4796" s="5" customFormat="1" x14ac:dyDescent="0.4"/>
    <row r="4797" s="5" customFormat="1" x14ac:dyDescent="0.4"/>
    <row r="4798" s="5" customFormat="1" x14ac:dyDescent="0.4"/>
    <row r="4799" s="5" customFormat="1" x14ac:dyDescent="0.4"/>
    <row r="4800" s="5" customFormat="1" x14ac:dyDescent="0.4"/>
    <row r="4801" s="5" customFormat="1" x14ac:dyDescent="0.4"/>
    <row r="4802" s="5" customFormat="1" x14ac:dyDescent="0.4"/>
    <row r="4803" s="5" customFormat="1" x14ac:dyDescent="0.4"/>
    <row r="4804" s="5" customFormat="1" x14ac:dyDescent="0.4"/>
    <row r="4805" s="5" customFormat="1" x14ac:dyDescent="0.4"/>
    <row r="4806" s="5" customFormat="1" x14ac:dyDescent="0.4"/>
    <row r="4807" s="5" customFormat="1" x14ac:dyDescent="0.4"/>
    <row r="4808" s="5" customFormat="1" x14ac:dyDescent="0.4"/>
    <row r="4809" s="5" customFormat="1" x14ac:dyDescent="0.4"/>
    <row r="4810" s="5" customFormat="1" x14ac:dyDescent="0.4"/>
    <row r="4811" s="5" customFormat="1" x14ac:dyDescent="0.4"/>
    <row r="4812" s="5" customFormat="1" x14ac:dyDescent="0.4"/>
    <row r="4813" s="5" customFormat="1" x14ac:dyDescent="0.4"/>
    <row r="4814" s="5" customFormat="1" x14ac:dyDescent="0.4"/>
    <row r="4815" s="5" customFormat="1" x14ac:dyDescent="0.4"/>
    <row r="4816" s="5" customFormat="1" x14ac:dyDescent="0.4"/>
    <row r="4817" s="5" customFormat="1" x14ac:dyDescent="0.4"/>
    <row r="4818" s="5" customFormat="1" x14ac:dyDescent="0.4"/>
    <row r="4819" s="5" customFormat="1" x14ac:dyDescent="0.4"/>
    <row r="4820" s="5" customFormat="1" x14ac:dyDescent="0.4"/>
    <row r="4821" s="5" customFormat="1" x14ac:dyDescent="0.4"/>
    <row r="4822" s="5" customFormat="1" x14ac:dyDescent="0.4"/>
    <row r="4823" s="5" customFormat="1" x14ac:dyDescent="0.4"/>
    <row r="4824" s="5" customFormat="1" x14ac:dyDescent="0.4"/>
    <row r="4825" s="5" customFormat="1" x14ac:dyDescent="0.4"/>
    <row r="4826" s="5" customFormat="1" x14ac:dyDescent="0.4"/>
    <row r="4827" s="5" customFormat="1" x14ac:dyDescent="0.4"/>
    <row r="4828" s="5" customFormat="1" x14ac:dyDescent="0.4"/>
    <row r="4829" s="5" customFormat="1" x14ac:dyDescent="0.4"/>
    <row r="4830" s="5" customFormat="1" x14ac:dyDescent="0.4"/>
    <row r="4831" s="5" customFormat="1" x14ac:dyDescent="0.4"/>
    <row r="4832" s="5" customFormat="1" x14ac:dyDescent="0.4"/>
    <row r="4833" s="5" customFormat="1" x14ac:dyDescent="0.4"/>
    <row r="4834" s="5" customFormat="1" x14ac:dyDescent="0.4"/>
    <row r="4835" s="5" customFormat="1" x14ac:dyDescent="0.4"/>
    <row r="4836" s="5" customFormat="1" x14ac:dyDescent="0.4"/>
    <row r="4837" s="5" customFormat="1" x14ac:dyDescent="0.4"/>
    <row r="4838" s="5" customFormat="1" x14ac:dyDescent="0.4"/>
    <row r="4839" s="5" customFormat="1" x14ac:dyDescent="0.4"/>
    <row r="4840" s="5" customFormat="1" x14ac:dyDescent="0.4"/>
    <row r="4841" s="5" customFormat="1" x14ac:dyDescent="0.4"/>
    <row r="4842" s="5" customFormat="1" x14ac:dyDescent="0.4"/>
    <row r="4843" s="5" customFormat="1" x14ac:dyDescent="0.4"/>
    <row r="4844" s="5" customFormat="1" x14ac:dyDescent="0.4"/>
    <row r="4845" s="5" customFormat="1" x14ac:dyDescent="0.4"/>
    <row r="4846" s="5" customFormat="1" x14ac:dyDescent="0.4"/>
    <row r="4847" s="5" customFormat="1" x14ac:dyDescent="0.4"/>
    <row r="4848" s="5" customFormat="1" x14ac:dyDescent="0.4"/>
    <row r="4849" s="5" customFormat="1" x14ac:dyDescent="0.4"/>
    <row r="4850" s="5" customFormat="1" x14ac:dyDescent="0.4"/>
    <row r="4851" s="5" customFormat="1" x14ac:dyDescent="0.4"/>
    <row r="4852" s="5" customFormat="1" x14ac:dyDescent="0.4"/>
    <row r="4853" s="5" customFormat="1" x14ac:dyDescent="0.4"/>
    <row r="4854" s="5" customFormat="1" x14ac:dyDescent="0.4"/>
    <row r="4855" s="5" customFormat="1" x14ac:dyDescent="0.4"/>
    <row r="4856" s="5" customFormat="1" x14ac:dyDescent="0.4"/>
    <row r="4857" s="5" customFormat="1" x14ac:dyDescent="0.4"/>
    <row r="4858" s="5" customFormat="1" x14ac:dyDescent="0.4"/>
    <row r="4859" s="5" customFormat="1" x14ac:dyDescent="0.4"/>
    <row r="4860" s="5" customFormat="1" x14ac:dyDescent="0.4"/>
    <row r="4861" s="5" customFormat="1" x14ac:dyDescent="0.4"/>
    <row r="4862" s="5" customFormat="1" x14ac:dyDescent="0.4"/>
    <row r="4863" s="5" customFormat="1" x14ac:dyDescent="0.4"/>
    <row r="4864" s="5" customFormat="1" x14ac:dyDescent="0.4"/>
    <row r="4865" s="5" customFormat="1" x14ac:dyDescent="0.4"/>
    <row r="4866" s="5" customFormat="1" x14ac:dyDescent="0.4"/>
    <row r="4867" s="5" customFormat="1" x14ac:dyDescent="0.4"/>
    <row r="4868" s="5" customFormat="1" x14ac:dyDescent="0.4"/>
    <row r="4869" s="5" customFormat="1" x14ac:dyDescent="0.4"/>
    <row r="4870" s="5" customFormat="1" x14ac:dyDescent="0.4"/>
    <row r="4871" s="5" customFormat="1" x14ac:dyDescent="0.4"/>
    <row r="4872" s="5" customFormat="1" x14ac:dyDescent="0.4"/>
    <row r="4873" s="5" customFormat="1" x14ac:dyDescent="0.4"/>
    <row r="4874" s="5" customFormat="1" x14ac:dyDescent="0.4"/>
    <row r="4875" s="5" customFormat="1" x14ac:dyDescent="0.4"/>
    <row r="4876" s="5" customFormat="1" x14ac:dyDescent="0.4"/>
    <row r="4877" s="5" customFormat="1" x14ac:dyDescent="0.4"/>
    <row r="4878" s="5" customFormat="1" x14ac:dyDescent="0.4"/>
    <row r="4879" s="5" customFormat="1" x14ac:dyDescent="0.4"/>
    <row r="4880" s="5" customFormat="1" x14ac:dyDescent="0.4"/>
    <row r="4881" s="5" customFormat="1" x14ac:dyDescent="0.4"/>
    <row r="4882" s="5" customFormat="1" x14ac:dyDescent="0.4"/>
    <row r="4883" s="5" customFormat="1" x14ac:dyDescent="0.4"/>
    <row r="4884" s="5" customFormat="1" x14ac:dyDescent="0.4"/>
    <row r="4885" s="5" customFormat="1" x14ac:dyDescent="0.4"/>
    <row r="4886" s="5" customFormat="1" x14ac:dyDescent="0.4"/>
    <row r="4887" s="5" customFormat="1" x14ac:dyDescent="0.4"/>
    <row r="4888" s="5" customFormat="1" x14ac:dyDescent="0.4"/>
    <row r="4889" s="5" customFormat="1" x14ac:dyDescent="0.4"/>
    <row r="4890" s="5" customFormat="1" x14ac:dyDescent="0.4"/>
    <row r="4891" s="5" customFormat="1" x14ac:dyDescent="0.4"/>
    <row r="4892" s="5" customFormat="1" x14ac:dyDescent="0.4"/>
    <row r="4893" s="5" customFormat="1" x14ac:dyDescent="0.4"/>
    <row r="4894" s="5" customFormat="1" x14ac:dyDescent="0.4"/>
    <row r="4895" s="5" customFormat="1" x14ac:dyDescent="0.4"/>
    <row r="4896" s="5" customFormat="1" x14ac:dyDescent="0.4"/>
    <row r="4897" s="5" customFormat="1" x14ac:dyDescent="0.4"/>
    <row r="4898" s="5" customFormat="1" x14ac:dyDescent="0.4"/>
    <row r="4899" s="5" customFormat="1" x14ac:dyDescent="0.4"/>
    <row r="4900" s="5" customFormat="1" x14ac:dyDescent="0.4"/>
    <row r="4901" s="5" customFormat="1" x14ac:dyDescent="0.4"/>
    <row r="4902" s="5" customFormat="1" x14ac:dyDescent="0.4"/>
    <row r="4903" s="5" customFormat="1" x14ac:dyDescent="0.4"/>
    <row r="4904" s="5" customFormat="1" x14ac:dyDescent="0.4"/>
    <row r="4905" s="5" customFormat="1" x14ac:dyDescent="0.4"/>
    <row r="4906" s="5" customFormat="1" x14ac:dyDescent="0.4"/>
    <row r="4907" s="5" customFormat="1" x14ac:dyDescent="0.4"/>
    <row r="4908" s="5" customFormat="1" x14ac:dyDescent="0.4"/>
    <row r="4909" s="5" customFormat="1" x14ac:dyDescent="0.4"/>
    <row r="4910" s="5" customFormat="1" x14ac:dyDescent="0.4"/>
    <row r="4911" s="5" customFormat="1" x14ac:dyDescent="0.4"/>
    <row r="4912" s="5" customFormat="1" x14ac:dyDescent="0.4"/>
    <row r="4913" s="5" customFormat="1" x14ac:dyDescent="0.4"/>
    <row r="4914" s="5" customFormat="1" x14ac:dyDescent="0.4"/>
    <row r="4915" s="5" customFormat="1" x14ac:dyDescent="0.4"/>
    <row r="4916" s="5" customFormat="1" x14ac:dyDescent="0.4"/>
    <row r="4917" s="5" customFormat="1" x14ac:dyDescent="0.4"/>
    <row r="4918" s="5" customFormat="1" x14ac:dyDescent="0.4"/>
    <row r="4919" s="5" customFormat="1" x14ac:dyDescent="0.4"/>
    <row r="4920" s="5" customFormat="1" x14ac:dyDescent="0.4"/>
    <row r="4921" s="5" customFormat="1" x14ac:dyDescent="0.4"/>
    <row r="4922" s="5" customFormat="1" x14ac:dyDescent="0.4"/>
    <row r="4923" s="5" customFormat="1" x14ac:dyDescent="0.4"/>
    <row r="4924" s="5" customFormat="1" x14ac:dyDescent="0.4"/>
    <row r="4925" s="5" customFormat="1" x14ac:dyDescent="0.4"/>
    <row r="4926" s="5" customFormat="1" x14ac:dyDescent="0.4"/>
    <row r="4927" s="5" customFormat="1" x14ac:dyDescent="0.4"/>
    <row r="4928" s="5" customFormat="1" x14ac:dyDescent="0.4"/>
    <row r="4929" s="5" customFormat="1" x14ac:dyDescent="0.4"/>
    <row r="4930" s="5" customFormat="1" x14ac:dyDescent="0.4"/>
    <row r="4931" s="5" customFormat="1" x14ac:dyDescent="0.4"/>
    <row r="4932" s="5" customFormat="1" x14ac:dyDescent="0.4"/>
    <row r="4933" s="5" customFormat="1" x14ac:dyDescent="0.4"/>
    <row r="4934" s="5" customFormat="1" x14ac:dyDescent="0.4"/>
    <row r="4935" s="5" customFormat="1" x14ac:dyDescent="0.4"/>
    <row r="4936" s="5" customFormat="1" x14ac:dyDescent="0.4"/>
    <row r="4937" s="5" customFormat="1" x14ac:dyDescent="0.4"/>
    <row r="4938" s="5" customFormat="1" x14ac:dyDescent="0.4"/>
    <row r="4939" s="5" customFormat="1" x14ac:dyDescent="0.4"/>
    <row r="4940" s="5" customFormat="1" x14ac:dyDescent="0.4"/>
    <row r="4941" s="5" customFormat="1" x14ac:dyDescent="0.4"/>
    <row r="4942" s="5" customFormat="1" x14ac:dyDescent="0.4"/>
    <row r="4943" s="5" customFormat="1" x14ac:dyDescent="0.4"/>
    <row r="4944" s="5" customFormat="1" x14ac:dyDescent="0.4"/>
    <row r="4945" s="5" customFormat="1" x14ac:dyDescent="0.4"/>
    <row r="4946" s="5" customFormat="1" x14ac:dyDescent="0.4"/>
    <row r="4947" s="5" customFormat="1" x14ac:dyDescent="0.4"/>
    <row r="4948" s="5" customFormat="1" x14ac:dyDescent="0.4"/>
    <row r="4949" s="5" customFormat="1" x14ac:dyDescent="0.4"/>
    <row r="4950" s="5" customFormat="1" x14ac:dyDescent="0.4"/>
    <row r="4951" s="5" customFormat="1" x14ac:dyDescent="0.4"/>
    <row r="4952" s="5" customFormat="1" x14ac:dyDescent="0.4"/>
    <row r="4953" s="5" customFormat="1" x14ac:dyDescent="0.4"/>
    <row r="4954" s="5" customFormat="1" x14ac:dyDescent="0.4"/>
    <row r="4955" s="5" customFormat="1" x14ac:dyDescent="0.4"/>
    <row r="4956" s="5" customFormat="1" x14ac:dyDescent="0.4"/>
    <row r="4957" s="5" customFormat="1" x14ac:dyDescent="0.4"/>
    <row r="4958" s="5" customFormat="1" x14ac:dyDescent="0.4"/>
    <row r="4959" s="5" customFormat="1" x14ac:dyDescent="0.4"/>
    <row r="4960" s="5" customFormat="1" x14ac:dyDescent="0.4"/>
    <row r="4961" s="5" customFormat="1" x14ac:dyDescent="0.4"/>
    <row r="4962" s="5" customFormat="1" x14ac:dyDescent="0.4"/>
    <row r="4963" s="5" customFormat="1" x14ac:dyDescent="0.4"/>
    <row r="4964" s="5" customFormat="1" x14ac:dyDescent="0.4"/>
    <row r="4965" s="5" customFormat="1" x14ac:dyDescent="0.4"/>
    <row r="4966" s="5" customFormat="1" x14ac:dyDescent="0.4"/>
    <row r="4967" s="5" customFormat="1" x14ac:dyDescent="0.4"/>
    <row r="4968" s="5" customFormat="1" x14ac:dyDescent="0.4"/>
    <row r="4969" s="5" customFormat="1" x14ac:dyDescent="0.4"/>
    <row r="4970" s="5" customFormat="1" x14ac:dyDescent="0.4"/>
    <row r="4971" s="5" customFormat="1" x14ac:dyDescent="0.4"/>
    <row r="4972" s="5" customFormat="1" x14ac:dyDescent="0.4"/>
    <row r="4973" s="5" customFormat="1" x14ac:dyDescent="0.4"/>
    <row r="4974" s="5" customFormat="1" x14ac:dyDescent="0.4"/>
    <row r="4975" s="5" customFormat="1" x14ac:dyDescent="0.4"/>
    <row r="4976" s="5" customFormat="1" x14ac:dyDescent="0.4"/>
    <row r="4977" s="5" customFormat="1" x14ac:dyDescent="0.4"/>
    <row r="4978" s="5" customFormat="1" x14ac:dyDescent="0.4"/>
    <row r="4979" s="5" customFormat="1" x14ac:dyDescent="0.4"/>
    <row r="4980" s="5" customFormat="1" x14ac:dyDescent="0.4"/>
    <row r="4981" s="5" customFormat="1" x14ac:dyDescent="0.4"/>
    <row r="4982" s="5" customFormat="1" x14ac:dyDescent="0.4"/>
    <row r="4983" s="5" customFormat="1" x14ac:dyDescent="0.4"/>
    <row r="4984" s="5" customFormat="1" x14ac:dyDescent="0.4"/>
    <row r="4985" s="5" customFormat="1" x14ac:dyDescent="0.4"/>
    <row r="4986" s="5" customFormat="1" x14ac:dyDescent="0.4"/>
    <row r="4987" s="5" customFormat="1" x14ac:dyDescent="0.4"/>
    <row r="4988" s="5" customFormat="1" x14ac:dyDescent="0.4"/>
    <row r="4989" s="5" customFormat="1" x14ac:dyDescent="0.4"/>
    <row r="4990" s="5" customFormat="1" x14ac:dyDescent="0.4"/>
    <row r="4991" s="5" customFormat="1" x14ac:dyDescent="0.4"/>
    <row r="4992" s="5" customFormat="1" x14ac:dyDescent="0.4"/>
    <row r="4993" s="5" customFormat="1" x14ac:dyDescent="0.4"/>
    <row r="4994" s="5" customFormat="1" x14ac:dyDescent="0.4"/>
    <row r="4995" s="5" customFormat="1" x14ac:dyDescent="0.4"/>
    <row r="4996" s="5" customFormat="1" x14ac:dyDescent="0.4"/>
    <row r="4997" s="5" customFormat="1" x14ac:dyDescent="0.4"/>
    <row r="4998" s="5" customFormat="1" x14ac:dyDescent="0.4"/>
    <row r="4999" s="5" customFormat="1" x14ac:dyDescent="0.4"/>
    <row r="5000" s="5" customFormat="1" x14ac:dyDescent="0.4"/>
    <row r="5001" s="5" customFormat="1" x14ac:dyDescent="0.4"/>
    <row r="5002" s="5" customFormat="1" x14ac:dyDescent="0.4"/>
    <row r="5003" s="5" customFormat="1" x14ac:dyDescent="0.4"/>
    <row r="5004" s="5" customFormat="1" x14ac:dyDescent="0.4"/>
    <row r="5005" s="5" customFormat="1" x14ac:dyDescent="0.4"/>
    <row r="5006" s="5" customFormat="1" x14ac:dyDescent="0.4"/>
    <row r="5007" s="5" customFormat="1" x14ac:dyDescent="0.4"/>
    <row r="5008" s="5" customFormat="1" x14ac:dyDescent="0.4"/>
    <row r="5009" s="5" customFormat="1" x14ac:dyDescent="0.4"/>
    <row r="5010" s="5" customFormat="1" x14ac:dyDescent="0.4"/>
    <row r="5011" s="5" customFormat="1" x14ac:dyDescent="0.4"/>
    <row r="5012" s="5" customFormat="1" x14ac:dyDescent="0.4"/>
    <row r="5013" s="5" customFormat="1" x14ac:dyDescent="0.4"/>
    <row r="5014" s="5" customFormat="1" x14ac:dyDescent="0.4"/>
    <row r="5015" s="5" customFormat="1" x14ac:dyDescent="0.4"/>
    <row r="5016" s="5" customFormat="1" x14ac:dyDescent="0.4"/>
    <row r="5017" s="5" customFormat="1" x14ac:dyDescent="0.4"/>
    <row r="5018" s="5" customFormat="1" x14ac:dyDescent="0.4"/>
    <row r="5019" s="5" customFormat="1" x14ac:dyDescent="0.4"/>
    <row r="5020" s="5" customFormat="1" x14ac:dyDescent="0.4"/>
    <row r="5021" s="5" customFormat="1" x14ac:dyDescent="0.4"/>
    <row r="5022" s="5" customFormat="1" x14ac:dyDescent="0.4"/>
    <row r="5023" s="5" customFormat="1" x14ac:dyDescent="0.4"/>
    <row r="5024" s="5" customFormat="1" x14ac:dyDescent="0.4"/>
    <row r="5025" s="5" customFormat="1" x14ac:dyDescent="0.4"/>
    <row r="5026" s="5" customFormat="1" x14ac:dyDescent="0.4"/>
    <row r="5027" s="5" customFormat="1" x14ac:dyDescent="0.4"/>
    <row r="5028" s="5" customFormat="1" x14ac:dyDescent="0.4"/>
    <row r="5029" s="5" customFormat="1" x14ac:dyDescent="0.4"/>
    <row r="5030" s="5" customFormat="1" x14ac:dyDescent="0.4"/>
    <row r="5031" s="5" customFormat="1" x14ac:dyDescent="0.4"/>
    <row r="5032" s="5" customFormat="1" x14ac:dyDescent="0.4"/>
    <row r="5033" s="5" customFormat="1" x14ac:dyDescent="0.4"/>
    <row r="5034" s="5" customFormat="1" x14ac:dyDescent="0.4"/>
    <row r="5035" s="5" customFormat="1" x14ac:dyDescent="0.4"/>
    <row r="5036" s="5" customFormat="1" x14ac:dyDescent="0.4"/>
    <row r="5037" s="5" customFormat="1" x14ac:dyDescent="0.4"/>
    <row r="5038" s="5" customFormat="1" x14ac:dyDescent="0.4"/>
    <row r="5039" s="5" customFormat="1" x14ac:dyDescent="0.4"/>
    <row r="5040" s="5" customFormat="1" x14ac:dyDescent="0.4"/>
    <row r="5041" s="5" customFormat="1" x14ac:dyDescent="0.4"/>
    <row r="5042" s="5" customFormat="1" x14ac:dyDescent="0.4"/>
    <row r="5043" s="5" customFormat="1" x14ac:dyDescent="0.4"/>
    <row r="5044" s="5" customFormat="1" x14ac:dyDescent="0.4"/>
    <row r="5045" s="5" customFormat="1" x14ac:dyDescent="0.4"/>
    <row r="5046" s="5" customFormat="1" x14ac:dyDescent="0.4"/>
    <row r="5047" s="5" customFormat="1" x14ac:dyDescent="0.4"/>
    <row r="5048" s="5" customFormat="1" x14ac:dyDescent="0.4"/>
    <row r="5049" s="5" customFormat="1" x14ac:dyDescent="0.4"/>
    <row r="5050" s="5" customFormat="1" x14ac:dyDescent="0.4"/>
    <row r="5051" s="5" customFormat="1" x14ac:dyDescent="0.4"/>
    <row r="5052" s="5" customFormat="1" x14ac:dyDescent="0.4"/>
    <row r="5053" s="5" customFormat="1" x14ac:dyDescent="0.4"/>
    <row r="5054" s="5" customFormat="1" x14ac:dyDescent="0.4"/>
    <row r="5055" s="5" customFormat="1" x14ac:dyDescent="0.4"/>
    <row r="5056" s="5" customFormat="1" x14ac:dyDescent="0.4"/>
    <row r="5057" s="5" customFormat="1" x14ac:dyDescent="0.4"/>
    <row r="5058" s="5" customFormat="1" x14ac:dyDescent="0.4"/>
    <row r="5059" s="5" customFormat="1" x14ac:dyDescent="0.4"/>
    <row r="5060" s="5" customFormat="1" x14ac:dyDescent="0.4"/>
    <row r="5061" s="5" customFormat="1" x14ac:dyDescent="0.4"/>
    <row r="5062" s="5" customFormat="1" x14ac:dyDescent="0.4"/>
    <row r="5063" s="5" customFormat="1" x14ac:dyDescent="0.4"/>
    <row r="5064" s="5" customFormat="1" x14ac:dyDescent="0.4"/>
    <row r="5065" s="5" customFormat="1" x14ac:dyDescent="0.4"/>
    <row r="5066" s="5" customFormat="1" x14ac:dyDescent="0.4"/>
    <row r="5067" s="5" customFormat="1" x14ac:dyDescent="0.4"/>
    <row r="5068" s="5" customFormat="1" x14ac:dyDescent="0.4"/>
    <row r="5069" s="5" customFormat="1" x14ac:dyDescent="0.4"/>
    <row r="5070" s="5" customFormat="1" x14ac:dyDescent="0.4"/>
    <row r="5071" s="5" customFormat="1" x14ac:dyDescent="0.4"/>
    <row r="5072" s="5" customFormat="1" x14ac:dyDescent="0.4"/>
    <row r="5073" s="5" customFormat="1" x14ac:dyDescent="0.4"/>
    <row r="5074" s="5" customFormat="1" x14ac:dyDescent="0.4"/>
    <row r="5075" s="5" customFormat="1" x14ac:dyDescent="0.4"/>
    <row r="5076" s="5" customFormat="1" x14ac:dyDescent="0.4"/>
    <row r="5077" s="5" customFormat="1" x14ac:dyDescent="0.4"/>
    <row r="5078" s="5" customFormat="1" x14ac:dyDescent="0.4"/>
    <row r="5079" s="5" customFormat="1" x14ac:dyDescent="0.4"/>
    <row r="5080" s="5" customFormat="1" x14ac:dyDescent="0.4"/>
    <row r="5081" s="5" customFormat="1" x14ac:dyDescent="0.4"/>
    <row r="5082" s="5" customFormat="1" x14ac:dyDescent="0.4"/>
    <row r="5083" s="5" customFormat="1" x14ac:dyDescent="0.4"/>
    <row r="5084" s="5" customFormat="1" x14ac:dyDescent="0.4"/>
    <row r="5085" s="5" customFormat="1" x14ac:dyDescent="0.4"/>
    <row r="5086" s="5" customFormat="1" x14ac:dyDescent="0.4"/>
    <row r="5087" s="5" customFormat="1" x14ac:dyDescent="0.4"/>
    <row r="5088" s="5" customFormat="1" x14ac:dyDescent="0.4"/>
    <row r="5089" s="5" customFormat="1" x14ac:dyDescent="0.4"/>
    <row r="5090" s="5" customFormat="1" x14ac:dyDescent="0.4"/>
    <row r="5091" s="5" customFormat="1" x14ac:dyDescent="0.4"/>
    <row r="5092" s="5" customFormat="1" x14ac:dyDescent="0.4"/>
    <row r="5093" s="5" customFormat="1" x14ac:dyDescent="0.4"/>
    <row r="5094" s="5" customFormat="1" x14ac:dyDescent="0.4"/>
    <row r="5095" s="5" customFormat="1" x14ac:dyDescent="0.4"/>
    <row r="5096" s="5" customFormat="1" x14ac:dyDescent="0.4"/>
    <row r="5097" s="5" customFormat="1" x14ac:dyDescent="0.4"/>
    <row r="5098" s="5" customFormat="1" x14ac:dyDescent="0.4"/>
    <row r="5099" s="5" customFormat="1" x14ac:dyDescent="0.4"/>
    <row r="5100" s="5" customFormat="1" x14ac:dyDescent="0.4"/>
    <row r="5101" s="5" customFormat="1" x14ac:dyDescent="0.4"/>
    <row r="5102" s="5" customFormat="1" x14ac:dyDescent="0.4"/>
    <row r="5103" s="5" customFormat="1" x14ac:dyDescent="0.4"/>
    <row r="5104" s="5" customFormat="1" x14ac:dyDescent="0.4"/>
    <row r="5105" s="5" customFormat="1" x14ac:dyDescent="0.4"/>
    <row r="5106" s="5" customFormat="1" x14ac:dyDescent="0.4"/>
    <row r="5107" s="5" customFormat="1" x14ac:dyDescent="0.4"/>
    <row r="5108" s="5" customFormat="1" x14ac:dyDescent="0.4"/>
    <row r="5109" s="5" customFormat="1" x14ac:dyDescent="0.4"/>
    <row r="5110" s="5" customFormat="1" x14ac:dyDescent="0.4"/>
    <row r="5111" s="5" customFormat="1" x14ac:dyDescent="0.4"/>
    <row r="5112" s="5" customFormat="1" x14ac:dyDescent="0.4"/>
    <row r="5113" s="5" customFormat="1" x14ac:dyDescent="0.4"/>
    <row r="5114" s="5" customFormat="1" x14ac:dyDescent="0.4"/>
    <row r="5115" s="5" customFormat="1" x14ac:dyDescent="0.4"/>
    <row r="5116" s="5" customFormat="1" x14ac:dyDescent="0.4"/>
    <row r="5117" s="5" customFormat="1" x14ac:dyDescent="0.4"/>
    <row r="5118" s="5" customFormat="1" x14ac:dyDescent="0.4"/>
    <row r="5119" s="5" customFormat="1" x14ac:dyDescent="0.4"/>
    <row r="5120" s="5" customFormat="1" x14ac:dyDescent="0.4"/>
    <row r="5121" s="5" customFormat="1" x14ac:dyDescent="0.4"/>
    <row r="5122" s="5" customFormat="1" x14ac:dyDescent="0.4"/>
    <row r="5123" s="5" customFormat="1" x14ac:dyDescent="0.4"/>
    <row r="5124" s="5" customFormat="1" x14ac:dyDescent="0.4"/>
    <row r="5125" s="5" customFormat="1" x14ac:dyDescent="0.4"/>
    <row r="5126" s="5" customFormat="1" x14ac:dyDescent="0.4"/>
    <row r="5127" s="5" customFormat="1" x14ac:dyDescent="0.4"/>
    <row r="5128" s="5" customFormat="1" x14ac:dyDescent="0.4"/>
    <row r="5129" s="5" customFormat="1" x14ac:dyDescent="0.4"/>
    <row r="5130" s="5" customFormat="1" x14ac:dyDescent="0.4"/>
    <row r="5131" s="5" customFormat="1" x14ac:dyDescent="0.4"/>
    <row r="5132" s="5" customFormat="1" x14ac:dyDescent="0.4"/>
    <row r="5133" s="5" customFormat="1" x14ac:dyDescent="0.4"/>
    <row r="5134" s="5" customFormat="1" x14ac:dyDescent="0.4"/>
    <row r="5135" s="5" customFormat="1" x14ac:dyDescent="0.4"/>
    <row r="5136" s="5" customFormat="1" x14ac:dyDescent="0.4"/>
    <row r="5137" s="5" customFormat="1" x14ac:dyDescent="0.4"/>
    <row r="5138" s="5" customFormat="1" x14ac:dyDescent="0.4"/>
    <row r="5139" s="5" customFormat="1" x14ac:dyDescent="0.4"/>
    <row r="5140" s="5" customFormat="1" x14ac:dyDescent="0.4"/>
    <row r="5141" s="5" customFormat="1" x14ac:dyDescent="0.4"/>
    <row r="5142" s="5" customFormat="1" x14ac:dyDescent="0.4"/>
    <row r="5143" s="5" customFormat="1" x14ac:dyDescent="0.4"/>
    <row r="5144" s="5" customFormat="1" x14ac:dyDescent="0.4"/>
    <row r="5145" s="5" customFormat="1" x14ac:dyDescent="0.4"/>
    <row r="5146" s="5" customFormat="1" x14ac:dyDescent="0.4"/>
    <row r="5147" s="5" customFormat="1" x14ac:dyDescent="0.4"/>
    <row r="5148" s="5" customFormat="1" x14ac:dyDescent="0.4"/>
    <row r="5149" s="5" customFormat="1" x14ac:dyDescent="0.4"/>
    <row r="5150" s="5" customFormat="1" x14ac:dyDescent="0.4"/>
    <row r="5151" s="5" customFormat="1" x14ac:dyDescent="0.4"/>
    <row r="5152" s="5" customFormat="1" x14ac:dyDescent="0.4"/>
    <row r="5153" s="5" customFormat="1" x14ac:dyDescent="0.4"/>
    <row r="5154" s="5" customFormat="1" x14ac:dyDescent="0.4"/>
    <row r="5155" s="5" customFormat="1" x14ac:dyDescent="0.4"/>
    <row r="5156" s="5" customFormat="1" x14ac:dyDescent="0.4"/>
    <row r="5157" s="5" customFormat="1" x14ac:dyDescent="0.4"/>
    <row r="5158" s="5" customFormat="1" x14ac:dyDescent="0.4"/>
    <row r="5159" s="5" customFormat="1" x14ac:dyDescent="0.4"/>
    <row r="5160" s="5" customFormat="1" x14ac:dyDescent="0.4"/>
    <row r="5161" s="5" customFormat="1" x14ac:dyDescent="0.4"/>
    <row r="5162" s="5" customFormat="1" x14ac:dyDescent="0.4"/>
    <row r="5163" s="5" customFormat="1" x14ac:dyDescent="0.4"/>
    <row r="5164" s="5" customFormat="1" x14ac:dyDescent="0.4"/>
    <row r="5165" s="5" customFormat="1" x14ac:dyDescent="0.4"/>
    <row r="5166" s="5" customFormat="1" x14ac:dyDescent="0.4"/>
    <row r="5167" s="5" customFormat="1" x14ac:dyDescent="0.4"/>
    <row r="5168" s="5" customFormat="1" x14ac:dyDescent="0.4"/>
    <row r="5169" s="5" customFormat="1" x14ac:dyDescent="0.4"/>
    <row r="5170" s="5" customFormat="1" x14ac:dyDescent="0.4"/>
    <row r="5171" s="5" customFormat="1" x14ac:dyDescent="0.4"/>
    <row r="5172" s="5" customFormat="1" x14ac:dyDescent="0.4"/>
    <row r="5173" s="5" customFormat="1" x14ac:dyDescent="0.4"/>
    <row r="5174" s="5" customFormat="1" x14ac:dyDescent="0.4"/>
    <row r="5175" s="5" customFormat="1" x14ac:dyDescent="0.4"/>
    <row r="5176" s="5" customFormat="1" x14ac:dyDescent="0.4"/>
    <row r="5177" s="5" customFormat="1" x14ac:dyDescent="0.4"/>
    <row r="5178" s="5" customFormat="1" x14ac:dyDescent="0.4"/>
    <row r="5179" s="5" customFormat="1" x14ac:dyDescent="0.4"/>
    <row r="5180" s="5" customFormat="1" x14ac:dyDescent="0.4"/>
    <row r="5181" s="5" customFormat="1" x14ac:dyDescent="0.4"/>
    <row r="5182" s="5" customFormat="1" x14ac:dyDescent="0.4"/>
    <row r="5183" s="5" customFormat="1" x14ac:dyDescent="0.4"/>
    <row r="5184" s="5" customFormat="1" x14ac:dyDescent="0.4"/>
    <row r="5185" s="5" customFormat="1" x14ac:dyDescent="0.4"/>
    <row r="5186" s="5" customFormat="1" x14ac:dyDescent="0.4"/>
    <row r="5187" s="5" customFormat="1" x14ac:dyDescent="0.4"/>
    <row r="5188" s="5" customFormat="1" x14ac:dyDescent="0.4"/>
    <row r="5189" s="5" customFormat="1" x14ac:dyDescent="0.4"/>
    <row r="5190" s="5" customFormat="1" x14ac:dyDescent="0.4"/>
    <row r="5191" s="5" customFormat="1" x14ac:dyDescent="0.4"/>
    <row r="5192" s="5" customFormat="1" x14ac:dyDescent="0.4"/>
    <row r="5193" s="5" customFormat="1" x14ac:dyDescent="0.4"/>
    <row r="5194" s="5" customFormat="1" x14ac:dyDescent="0.4"/>
    <row r="5195" s="5" customFormat="1" x14ac:dyDescent="0.4"/>
    <row r="5196" s="5" customFormat="1" x14ac:dyDescent="0.4"/>
    <row r="5197" s="5" customFormat="1" x14ac:dyDescent="0.4"/>
    <row r="5198" s="5" customFormat="1" x14ac:dyDescent="0.4"/>
    <row r="5199" s="5" customFormat="1" x14ac:dyDescent="0.4"/>
    <row r="5200" s="5" customFormat="1" x14ac:dyDescent="0.4"/>
    <row r="5201" s="5" customFormat="1" x14ac:dyDescent="0.4"/>
    <row r="5202" s="5" customFormat="1" x14ac:dyDescent="0.4"/>
    <row r="5203" s="5" customFormat="1" x14ac:dyDescent="0.4"/>
    <row r="5204" s="5" customFormat="1" x14ac:dyDescent="0.4"/>
    <row r="5205" s="5" customFormat="1" x14ac:dyDescent="0.4"/>
    <row r="5206" s="5" customFormat="1" x14ac:dyDescent="0.4"/>
    <row r="5207" s="5" customFormat="1" x14ac:dyDescent="0.4"/>
    <row r="5208" s="5" customFormat="1" x14ac:dyDescent="0.4"/>
    <row r="5209" s="5" customFormat="1" x14ac:dyDescent="0.4"/>
    <row r="5210" s="5" customFormat="1" x14ac:dyDescent="0.4"/>
    <row r="5211" s="5" customFormat="1" x14ac:dyDescent="0.4"/>
    <row r="5212" s="5" customFormat="1" x14ac:dyDescent="0.4"/>
    <row r="5213" s="5" customFormat="1" x14ac:dyDescent="0.4"/>
    <row r="5214" s="5" customFormat="1" x14ac:dyDescent="0.4"/>
    <row r="5215" s="5" customFormat="1" x14ac:dyDescent="0.4"/>
    <row r="5216" s="5" customFormat="1" x14ac:dyDescent="0.4"/>
    <row r="5217" s="5" customFormat="1" x14ac:dyDescent="0.4"/>
    <row r="5218" s="5" customFormat="1" x14ac:dyDescent="0.4"/>
    <row r="5219" s="5" customFormat="1" x14ac:dyDescent="0.4"/>
    <row r="5220" s="5" customFormat="1" x14ac:dyDescent="0.4"/>
    <row r="5221" s="5" customFormat="1" x14ac:dyDescent="0.4"/>
    <row r="5222" s="5" customFormat="1" x14ac:dyDescent="0.4"/>
    <row r="5223" s="5" customFormat="1" x14ac:dyDescent="0.4"/>
    <row r="5224" s="5" customFormat="1" x14ac:dyDescent="0.4"/>
    <row r="5225" s="5" customFormat="1" x14ac:dyDescent="0.4"/>
    <row r="5226" s="5" customFormat="1" x14ac:dyDescent="0.4"/>
    <row r="5227" s="5" customFormat="1" x14ac:dyDescent="0.4"/>
    <row r="5228" s="5" customFormat="1" x14ac:dyDescent="0.4"/>
    <row r="5229" s="5" customFormat="1" x14ac:dyDescent="0.4"/>
    <row r="5230" s="5" customFormat="1" x14ac:dyDescent="0.4"/>
    <row r="5231" s="5" customFormat="1" x14ac:dyDescent="0.4"/>
    <row r="5232" s="5" customFormat="1" x14ac:dyDescent="0.4"/>
    <row r="5233" s="5" customFormat="1" x14ac:dyDescent="0.4"/>
    <row r="5234" s="5" customFormat="1" x14ac:dyDescent="0.4"/>
    <row r="5235" s="5" customFormat="1" x14ac:dyDescent="0.4"/>
    <row r="5236" s="5" customFormat="1" x14ac:dyDescent="0.4"/>
    <row r="5237" s="5" customFormat="1" x14ac:dyDescent="0.4"/>
    <row r="5238" s="5" customFormat="1" x14ac:dyDescent="0.4"/>
    <row r="5239" s="5" customFormat="1" x14ac:dyDescent="0.4"/>
    <row r="5240" s="5" customFormat="1" x14ac:dyDescent="0.4"/>
    <row r="5241" s="5" customFormat="1" x14ac:dyDescent="0.4"/>
    <row r="5242" s="5" customFormat="1" x14ac:dyDescent="0.4"/>
    <row r="5243" s="5" customFormat="1" x14ac:dyDescent="0.4"/>
    <row r="5244" s="5" customFormat="1" x14ac:dyDescent="0.4"/>
    <row r="5245" s="5" customFormat="1" x14ac:dyDescent="0.4"/>
    <row r="5246" s="5" customFormat="1" x14ac:dyDescent="0.4"/>
    <row r="5247" s="5" customFormat="1" x14ac:dyDescent="0.4"/>
    <row r="5248" s="5" customFormat="1" x14ac:dyDescent="0.4"/>
    <row r="5249" s="5" customFormat="1" x14ac:dyDescent="0.4"/>
    <row r="5250" s="5" customFormat="1" x14ac:dyDescent="0.4"/>
    <row r="5251" s="5" customFormat="1" x14ac:dyDescent="0.4"/>
    <row r="5252" s="5" customFormat="1" x14ac:dyDescent="0.4"/>
    <row r="5253" s="5" customFormat="1" x14ac:dyDescent="0.4"/>
    <row r="5254" s="5" customFormat="1" x14ac:dyDescent="0.4"/>
    <row r="5255" s="5" customFormat="1" x14ac:dyDescent="0.4"/>
    <row r="5256" s="5" customFormat="1" x14ac:dyDescent="0.4"/>
    <row r="5257" s="5" customFormat="1" x14ac:dyDescent="0.4"/>
    <row r="5258" s="5" customFormat="1" x14ac:dyDescent="0.4"/>
    <row r="5259" s="5" customFormat="1" x14ac:dyDescent="0.4"/>
    <row r="5260" s="5" customFormat="1" x14ac:dyDescent="0.4"/>
    <row r="5261" s="5" customFormat="1" x14ac:dyDescent="0.4"/>
    <row r="5262" s="5" customFormat="1" x14ac:dyDescent="0.4"/>
    <row r="5263" s="5" customFormat="1" x14ac:dyDescent="0.4"/>
    <row r="5264" s="5" customFormat="1" x14ac:dyDescent="0.4"/>
    <row r="5265" s="5" customFormat="1" x14ac:dyDescent="0.4"/>
    <row r="5266" s="5" customFormat="1" x14ac:dyDescent="0.4"/>
    <row r="5267" s="5" customFormat="1" x14ac:dyDescent="0.4"/>
    <row r="5268" s="5" customFormat="1" x14ac:dyDescent="0.4"/>
    <row r="5269" s="5" customFormat="1" x14ac:dyDescent="0.4"/>
    <row r="5270" s="5" customFormat="1" x14ac:dyDescent="0.4"/>
    <row r="5271" s="5" customFormat="1" x14ac:dyDescent="0.4"/>
    <row r="5272" s="5" customFormat="1" x14ac:dyDescent="0.4"/>
    <row r="5273" s="5" customFormat="1" x14ac:dyDescent="0.4"/>
    <row r="5274" s="5" customFormat="1" x14ac:dyDescent="0.4"/>
    <row r="5275" s="5" customFormat="1" x14ac:dyDescent="0.4"/>
    <row r="5276" s="5" customFormat="1" x14ac:dyDescent="0.4"/>
    <row r="5277" s="5" customFormat="1" x14ac:dyDescent="0.4"/>
    <row r="5278" s="5" customFormat="1" x14ac:dyDescent="0.4"/>
    <row r="5279" s="5" customFormat="1" x14ac:dyDescent="0.4"/>
    <row r="5280" s="5" customFormat="1" x14ac:dyDescent="0.4"/>
    <row r="5281" s="5" customFormat="1" x14ac:dyDescent="0.4"/>
    <row r="5282" s="5" customFormat="1" x14ac:dyDescent="0.4"/>
    <row r="5283" s="5" customFormat="1" x14ac:dyDescent="0.4"/>
    <row r="5284" s="5" customFormat="1" x14ac:dyDescent="0.4"/>
    <row r="5285" s="5" customFormat="1" x14ac:dyDescent="0.4"/>
    <row r="5286" s="5" customFormat="1" x14ac:dyDescent="0.4"/>
    <row r="5287" s="5" customFormat="1" x14ac:dyDescent="0.4"/>
    <row r="5288" s="5" customFormat="1" x14ac:dyDescent="0.4"/>
    <row r="5289" s="5" customFormat="1" x14ac:dyDescent="0.4"/>
    <row r="5290" s="5" customFormat="1" x14ac:dyDescent="0.4"/>
    <row r="5291" s="5" customFormat="1" x14ac:dyDescent="0.4"/>
    <row r="5292" s="5" customFormat="1" x14ac:dyDescent="0.4"/>
    <row r="5293" s="5" customFormat="1" x14ac:dyDescent="0.4"/>
    <row r="5294" s="5" customFormat="1" x14ac:dyDescent="0.4"/>
    <row r="5295" s="5" customFormat="1" x14ac:dyDescent="0.4"/>
    <row r="5296" s="5" customFormat="1" x14ac:dyDescent="0.4"/>
    <row r="5297" s="5" customFormat="1" x14ac:dyDescent="0.4"/>
    <row r="5298" s="5" customFormat="1" x14ac:dyDescent="0.4"/>
    <row r="5299" s="5" customFormat="1" x14ac:dyDescent="0.4"/>
    <row r="5300" s="5" customFormat="1" x14ac:dyDescent="0.4"/>
    <row r="5301" s="5" customFormat="1" x14ac:dyDescent="0.4"/>
    <row r="5302" s="5" customFormat="1" x14ac:dyDescent="0.4"/>
    <row r="5303" s="5" customFormat="1" x14ac:dyDescent="0.4"/>
    <row r="5304" s="5" customFormat="1" x14ac:dyDescent="0.4"/>
    <row r="5305" s="5" customFormat="1" x14ac:dyDescent="0.4"/>
    <row r="5306" s="5" customFormat="1" x14ac:dyDescent="0.4"/>
    <row r="5307" s="5" customFormat="1" x14ac:dyDescent="0.4"/>
    <row r="5308" s="5" customFormat="1" x14ac:dyDescent="0.4"/>
    <row r="5309" s="5" customFormat="1" x14ac:dyDescent="0.4"/>
    <row r="5310" s="5" customFormat="1" x14ac:dyDescent="0.4"/>
    <row r="5311" s="5" customFormat="1" x14ac:dyDescent="0.4"/>
    <row r="5312" s="5" customFormat="1" x14ac:dyDescent="0.4"/>
    <row r="5313" s="5" customFormat="1" x14ac:dyDescent="0.4"/>
    <row r="5314" s="5" customFormat="1" x14ac:dyDescent="0.4"/>
    <row r="5315" s="5" customFormat="1" x14ac:dyDescent="0.4"/>
    <row r="5316" s="5" customFormat="1" x14ac:dyDescent="0.4"/>
    <row r="5317" s="5" customFormat="1" x14ac:dyDescent="0.4"/>
    <row r="5318" s="5" customFormat="1" x14ac:dyDescent="0.4"/>
    <row r="5319" s="5" customFormat="1" x14ac:dyDescent="0.4"/>
    <row r="5320" s="5" customFormat="1" x14ac:dyDescent="0.4"/>
    <row r="5321" s="5" customFormat="1" x14ac:dyDescent="0.4"/>
    <row r="5322" s="5" customFormat="1" x14ac:dyDescent="0.4"/>
    <row r="5323" s="5" customFormat="1" x14ac:dyDescent="0.4"/>
    <row r="5324" s="5" customFormat="1" x14ac:dyDescent="0.4"/>
    <row r="5325" s="5" customFormat="1" x14ac:dyDescent="0.4"/>
    <row r="5326" s="5" customFormat="1" x14ac:dyDescent="0.4"/>
    <row r="5327" s="5" customFormat="1" x14ac:dyDescent="0.4"/>
    <row r="5328" s="5" customFormat="1" x14ac:dyDescent="0.4"/>
    <row r="5329" s="5" customFormat="1" x14ac:dyDescent="0.4"/>
    <row r="5330" s="5" customFormat="1" x14ac:dyDescent="0.4"/>
    <row r="5331" s="5" customFormat="1" x14ac:dyDescent="0.4"/>
    <row r="5332" s="5" customFormat="1" x14ac:dyDescent="0.4"/>
    <row r="5333" s="5" customFormat="1" x14ac:dyDescent="0.4"/>
    <row r="5334" s="5" customFormat="1" x14ac:dyDescent="0.4"/>
    <row r="5335" s="5" customFormat="1" x14ac:dyDescent="0.4"/>
    <row r="5336" s="5" customFormat="1" x14ac:dyDescent="0.4"/>
    <row r="5337" s="5" customFormat="1" x14ac:dyDescent="0.4"/>
    <row r="5338" s="5" customFormat="1" x14ac:dyDescent="0.4"/>
    <row r="5339" s="5" customFormat="1" x14ac:dyDescent="0.4"/>
    <row r="5340" s="5" customFormat="1" x14ac:dyDescent="0.4"/>
    <row r="5341" s="5" customFormat="1" x14ac:dyDescent="0.4"/>
    <row r="5342" s="5" customFormat="1" x14ac:dyDescent="0.4"/>
    <row r="5343" s="5" customFormat="1" x14ac:dyDescent="0.4"/>
    <row r="5344" s="5" customFormat="1" x14ac:dyDescent="0.4"/>
    <row r="5345" s="5" customFormat="1" x14ac:dyDescent="0.4"/>
    <row r="5346" s="5" customFormat="1" x14ac:dyDescent="0.4"/>
    <row r="5347" s="5" customFormat="1" x14ac:dyDescent="0.4"/>
    <row r="5348" s="5" customFormat="1" x14ac:dyDescent="0.4"/>
    <row r="5349" s="5" customFormat="1" x14ac:dyDescent="0.4"/>
    <row r="5350" s="5" customFormat="1" x14ac:dyDescent="0.4"/>
    <row r="5351" s="5" customFormat="1" x14ac:dyDescent="0.4"/>
    <row r="5352" s="5" customFormat="1" x14ac:dyDescent="0.4"/>
    <row r="5353" s="5" customFormat="1" x14ac:dyDescent="0.4"/>
    <row r="5354" s="5" customFormat="1" x14ac:dyDescent="0.4"/>
    <row r="5355" s="5" customFormat="1" x14ac:dyDescent="0.4"/>
    <row r="5356" s="5" customFormat="1" x14ac:dyDescent="0.4"/>
    <row r="5357" s="5" customFormat="1" x14ac:dyDescent="0.4"/>
    <row r="5358" s="5" customFormat="1" x14ac:dyDescent="0.4"/>
    <row r="5359" s="5" customFormat="1" x14ac:dyDescent="0.4"/>
    <row r="5360" s="5" customFormat="1" x14ac:dyDescent="0.4"/>
    <row r="5361" s="5" customFormat="1" x14ac:dyDescent="0.4"/>
    <row r="5362" s="5" customFormat="1" x14ac:dyDescent="0.4"/>
    <row r="5363" s="5" customFormat="1" x14ac:dyDescent="0.4"/>
    <row r="5364" s="5" customFormat="1" x14ac:dyDescent="0.4"/>
    <row r="5365" s="5" customFormat="1" x14ac:dyDescent="0.4"/>
    <row r="5366" s="5" customFormat="1" x14ac:dyDescent="0.4"/>
    <row r="5367" s="5" customFormat="1" x14ac:dyDescent="0.4"/>
    <row r="5368" s="5" customFormat="1" x14ac:dyDescent="0.4"/>
    <row r="5369" s="5" customFormat="1" x14ac:dyDescent="0.4"/>
    <row r="5370" s="5" customFormat="1" x14ac:dyDescent="0.4"/>
    <row r="5371" s="5" customFormat="1" x14ac:dyDescent="0.4"/>
    <row r="5372" s="5" customFormat="1" x14ac:dyDescent="0.4"/>
    <row r="5373" s="5" customFormat="1" x14ac:dyDescent="0.4"/>
    <row r="5374" s="5" customFormat="1" x14ac:dyDescent="0.4"/>
    <row r="5375" s="5" customFormat="1" x14ac:dyDescent="0.4"/>
    <row r="5376" s="5" customFormat="1" x14ac:dyDescent="0.4"/>
    <row r="5377" s="5" customFormat="1" x14ac:dyDescent="0.4"/>
    <row r="5378" s="5" customFormat="1" x14ac:dyDescent="0.4"/>
    <row r="5379" s="5" customFormat="1" x14ac:dyDescent="0.4"/>
    <row r="5380" s="5" customFormat="1" x14ac:dyDescent="0.4"/>
    <row r="5381" s="5" customFormat="1" x14ac:dyDescent="0.4"/>
    <row r="5382" s="5" customFormat="1" x14ac:dyDescent="0.4"/>
    <row r="5383" s="5" customFormat="1" x14ac:dyDescent="0.4"/>
    <row r="5384" s="5" customFormat="1" x14ac:dyDescent="0.4"/>
    <row r="5385" s="5" customFormat="1" x14ac:dyDescent="0.4"/>
    <row r="5386" s="5" customFormat="1" x14ac:dyDescent="0.4"/>
    <row r="5387" s="5" customFormat="1" x14ac:dyDescent="0.4"/>
    <row r="5388" s="5" customFormat="1" x14ac:dyDescent="0.4"/>
    <row r="5389" s="5" customFormat="1" x14ac:dyDescent="0.4"/>
    <row r="5390" s="5" customFormat="1" x14ac:dyDescent="0.4"/>
    <row r="5391" s="5" customFormat="1" x14ac:dyDescent="0.4"/>
    <row r="5392" s="5" customFormat="1" x14ac:dyDescent="0.4"/>
    <row r="5393" s="5" customFormat="1" x14ac:dyDescent="0.4"/>
    <row r="5394" s="5" customFormat="1" x14ac:dyDescent="0.4"/>
    <row r="5395" s="5" customFormat="1" x14ac:dyDescent="0.4"/>
    <row r="5396" s="5" customFormat="1" x14ac:dyDescent="0.4"/>
    <row r="5397" s="5" customFormat="1" x14ac:dyDescent="0.4"/>
    <row r="5398" s="5" customFormat="1" x14ac:dyDescent="0.4"/>
    <row r="5399" s="5" customFormat="1" x14ac:dyDescent="0.4"/>
    <row r="5400" s="5" customFormat="1" x14ac:dyDescent="0.4"/>
    <row r="5401" s="5" customFormat="1" x14ac:dyDescent="0.4"/>
    <row r="5402" s="5" customFormat="1" x14ac:dyDescent="0.4"/>
    <row r="5403" s="5" customFormat="1" x14ac:dyDescent="0.4"/>
    <row r="5404" s="5" customFormat="1" x14ac:dyDescent="0.4"/>
    <row r="5405" s="5" customFormat="1" x14ac:dyDescent="0.4"/>
    <row r="5406" s="5" customFormat="1" x14ac:dyDescent="0.4"/>
    <row r="5407" s="5" customFormat="1" x14ac:dyDescent="0.4"/>
    <row r="5408" s="5" customFormat="1" x14ac:dyDescent="0.4"/>
    <row r="5409" s="5" customFormat="1" x14ac:dyDescent="0.4"/>
    <row r="5410" s="5" customFormat="1" x14ac:dyDescent="0.4"/>
    <row r="5411" s="5" customFormat="1" x14ac:dyDescent="0.4"/>
    <row r="5412" s="5" customFormat="1" x14ac:dyDescent="0.4"/>
    <row r="5413" s="5" customFormat="1" x14ac:dyDescent="0.4"/>
    <row r="5414" s="5" customFormat="1" x14ac:dyDescent="0.4"/>
    <row r="5415" s="5" customFormat="1" x14ac:dyDescent="0.4"/>
    <row r="5416" s="5" customFormat="1" x14ac:dyDescent="0.4"/>
    <row r="5417" s="5" customFormat="1" x14ac:dyDescent="0.4"/>
    <row r="5418" s="5" customFormat="1" x14ac:dyDescent="0.4"/>
    <row r="5419" s="5" customFormat="1" x14ac:dyDescent="0.4"/>
    <row r="5420" s="5" customFormat="1" x14ac:dyDescent="0.4"/>
    <row r="5421" s="5" customFormat="1" x14ac:dyDescent="0.4"/>
    <row r="5422" s="5" customFormat="1" x14ac:dyDescent="0.4"/>
    <row r="5423" s="5" customFormat="1" x14ac:dyDescent="0.4"/>
    <row r="5424" s="5" customFormat="1" x14ac:dyDescent="0.4"/>
    <row r="5425" s="5" customFormat="1" x14ac:dyDescent="0.4"/>
    <row r="5426" s="5" customFormat="1" x14ac:dyDescent="0.4"/>
    <row r="5427" s="5" customFormat="1" x14ac:dyDescent="0.4"/>
    <row r="5428" s="5" customFormat="1" x14ac:dyDescent="0.4"/>
    <row r="5429" s="5" customFormat="1" x14ac:dyDescent="0.4"/>
    <row r="5430" s="5" customFormat="1" x14ac:dyDescent="0.4"/>
    <row r="5431" s="5" customFormat="1" x14ac:dyDescent="0.4"/>
    <row r="5432" s="5" customFormat="1" x14ac:dyDescent="0.4"/>
    <row r="5433" s="5" customFormat="1" x14ac:dyDescent="0.4"/>
    <row r="5434" s="5" customFormat="1" x14ac:dyDescent="0.4"/>
    <row r="5435" s="5" customFormat="1" x14ac:dyDescent="0.4"/>
    <row r="5436" s="5" customFormat="1" x14ac:dyDescent="0.4"/>
    <row r="5437" s="5" customFormat="1" x14ac:dyDescent="0.4"/>
    <row r="5438" s="5" customFormat="1" x14ac:dyDescent="0.4"/>
    <row r="5439" s="5" customFormat="1" x14ac:dyDescent="0.4"/>
    <row r="5440" s="5" customFormat="1" x14ac:dyDescent="0.4"/>
    <row r="5441" s="5" customFormat="1" x14ac:dyDescent="0.4"/>
    <row r="5442" s="5" customFormat="1" x14ac:dyDescent="0.4"/>
    <row r="5443" s="5" customFormat="1" x14ac:dyDescent="0.4"/>
    <row r="5444" s="5" customFormat="1" x14ac:dyDescent="0.4"/>
    <row r="5445" s="5" customFormat="1" x14ac:dyDescent="0.4"/>
    <row r="5446" s="5" customFormat="1" x14ac:dyDescent="0.4"/>
    <row r="5447" s="5" customFormat="1" x14ac:dyDescent="0.4"/>
    <row r="5448" s="5" customFormat="1" x14ac:dyDescent="0.4"/>
    <row r="5449" s="5" customFormat="1" x14ac:dyDescent="0.4"/>
    <row r="5450" s="5" customFormat="1" x14ac:dyDescent="0.4"/>
    <row r="5451" s="5" customFormat="1" x14ac:dyDescent="0.4"/>
    <row r="5452" s="5" customFormat="1" x14ac:dyDescent="0.4"/>
    <row r="5453" s="5" customFormat="1" x14ac:dyDescent="0.4"/>
    <row r="5454" s="5" customFormat="1" x14ac:dyDescent="0.4"/>
    <row r="5455" s="5" customFormat="1" x14ac:dyDescent="0.4"/>
    <row r="5456" s="5" customFormat="1" x14ac:dyDescent="0.4"/>
    <row r="5457" s="5" customFormat="1" x14ac:dyDescent="0.4"/>
    <row r="5458" s="5" customFormat="1" x14ac:dyDescent="0.4"/>
    <row r="5459" s="5" customFormat="1" x14ac:dyDescent="0.4"/>
    <row r="5460" s="5" customFormat="1" x14ac:dyDescent="0.4"/>
    <row r="5461" s="5" customFormat="1" x14ac:dyDescent="0.4"/>
    <row r="5462" s="5" customFormat="1" x14ac:dyDescent="0.4"/>
    <row r="5463" s="5" customFormat="1" x14ac:dyDescent="0.4"/>
    <row r="5464" s="5" customFormat="1" x14ac:dyDescent="0.4"/>
    <row r="5465" s="5" customFormat="1" x14ac:dyDescent="0.4"/>
    <row r="5466" s="5" customFormat="1" x14ac:dyDescent="0.4"/>
    <row r="5467" s="5" customFormat="1" x14ac:dyDescent="0.4"/>
    <row r="5468" s="5" customFormat="1" x14ac:dyDescent="0.4"/>
    <row r="5469" s="5" customFormat="1" x14ac:dyDescent="0.4"/>
    <row r="5470" s="5" customFormat="1" x14ac:dyDescent="0.4"/>
    <row r="5471" s="5" customFormat="1" x14ac:dyDescent="0.4"/>
    <row r="5472" s="5" customFormat="1" x14ac:dyDescent="0.4"/>
    <row r="5473" s="5" customFormat="1" x14ac:dyDescent="0.4"/>
    <row r="5474" s="5" customFormat="1" x14ac:dyDescent="0.4"/>
    <row r="5475" s="5" customFormat="1" x14ac:dyDescent="0.4"/>
    <row r="5476" s="5" customFormat="1" x14ac:dyDescent="0.4"/>
    <row r="5477" s="5" customFormat="1" x14ac:dyDescent="0.4"/>
    <row r="5478" s="5" customFormat="1" x14ac:dyDescent="0.4"/>
    <row r="5479" s="5" customFormat="1" x14ac:dyDescent="0.4"/>
    <row r="5480" s="5" customFormat="1" x14ac:dyDescent="0.4"/>
    <row r="5481" s="5" customFormat="1" x14ac:dyDescent="0.4"/>
    <row r="5482" s="5" customFormat="1" x14ac:dyDescent="0.4"/>
    <row r="5483" s="5" customFormat="1" x14ac:dyDescent="0.4"/>
    <row r="5484" s="5" customFormat="1" x14ac:dyDescent="0.4"/>
    <row r="5485" s="5" customFormat="1" x14ac:dyDescent="0.4"/>
    <row r="5486" s="5" customFormat="1" x14ac:dyDescent="0.4"/>
    <row r="5487" s="5" customFormat="1" x14ac:dyDescent="0.4"/>
    <row r="5488" s="5" customFormat="1" x14ac:dyDescent="0.4"/>
    <row r="5489" s="5" customFormat="1" x14ac:dyDescent="0.4"/>
    <row r="5490" s="5" customFormat="1" x14ac:dyDescent="0.4"/>
    <row r="5491" s="5" customFormat="1" x14ac:dyDescent="0.4"/>
    <row r="5492" s="5" customFormat="1" x14ac:dyDescent="0.4"/>
    <row r="5493" s="5" customFormat="1" x14ac:dyDescent="0.4"/>
    <row r="5494" s="5" customFormat="1" x14ac:dyDescent="0.4"/>
    <row r="5495" s="5" customFormat="1" x14ac:dyDescent="0.4"/>
    <row r="5496" s="5" customFormat="1" x14ac:dyDescent="0.4"/>
    <row r="5497" s="5" customFormat="1" x14ac:dyDescent="0.4"/>
    <row r="5498" s="5" customFormat="1" x14ac:dyDescent="0.4"/>
    <row r="5499" s="5" customFormat="1" x14ac:dyDescent="0.4"/>
    <row r="5500" s="5" customFormat="1" x14ac:dyDescent="0.4"/>
    <row r="5501" s="5" customFormat="1" x14ac:dyDescent="0.4"/>
    <row r="5502" s="5" customFormat="1" x14ac:dyDescent="0.4"/>
    <row r="5503" s="5" customFormat="1" x14ac:dyDescent="0.4"/>
    <row r="5504" s="5" customFormat="1" x14ac:dyDescent="0.4"/>
    <row r="5505" s="5" customFormat="1" x14ac:dyDescent="0.4"/>
    <row r="5506" s="5" customFormat="1" x14ac:dyDescent="0.4"/>
    <row r="5507" s="5" customFormat="1" x14ac:dyDescent="0.4"/>
    <row r="5508" s="5" customFormat="1" x14ac:dyDescent="0.4"/>
    <row r="5509" s="5" customFormat="1" x14ac:dyDescent="0.4"/>
    <row r="5510" s="5" customFormat="1" x14ac:dyDescent="0.4"/>
    <row r="5511" s="5" customFormat="1" x14ac:dyDescent="0.4"/>
    <row r="5512" s="5" customFormat="1" x14ac:dyDescent="0.4"/>
    <row r="5513" s="5" customFormat="1" x14ac:dyDescent="0.4"/>
    <row r="5514" s="5" customFormat="1" x14ac:dyDescent="0.4"/>
    <row r="5515" s="5" customFormat="1" x14ac:dyDescent="0.4"/>
    <row r="5516" s="5" customFormat="1" x14ac:dyDescent="0.4"/>
    <row r="5517" s="5" customFormat="1" x14ac:dyDescent="0.4"/>
    <row r="5518" s="5" customFormat="1" x14ac:dyDescent="0.4"/>
    <row r="5519" s="5" customFormat="1" x14ac:dyDescent="0.4"/>
    <row r="5520" s="5" customFormat="1" x14ac:dyDescent="0.4"/>
    <row r="5521" s="5" customFormat="1" x14ac:dyDescent="0.4"/>
    <row r="5522" s="5" customFormat="1" x14ac:dyDescent="0.4"/>
    <row r="5523" s="5" customFormat="1" x14ac:dyDescent="0.4"/>
    <row r="5524" s="5" customFormat="1" x14ac:dyDescent="0.4"/>
    <row r="5525" s="5" customFormat="1" x14ac:dyDescent="0.4"/>
    <row r="5526" s="5" customFormat="1" x14ac:dyDescent="0.4"/>
    <row r="5527" s="5" customFormat="1" x14ac:dyDescent="0.4"/>
    <row r="5528" s="5" customFormat="1" x14ac:dyDescent="0.4"/>
    <row r="5529" s="5" customFormat="1" x14ac:dyDescent="0.4"/>
    <row r="5530" s="5" customFormat="1" x14ac:dyDescent="0.4"/>
    <row r="5531" s="5" customFormat="1" x14ac:dyDescent="0.4"/>
    <row r="5532" s="5" customFormat="1" x14ac:dyDescent="0.4"/>
    <row r="5533" s="5" customFormat="1" x14ac:dyDescent="0.4"/>
    <row r="5534" s="5" customFormat="1" x14ac:dyDescent="0.4"/>
    <row r="5535" s="5" customFormat="1" x14ac:dyDescent="0.4"/>
    <row r="5536" s="5" customFormat="1" x14ac:dyDescent="0.4"/>
    <row r="5537" s="5" customFormat="1" x14ac:dyDescent="0.4"/>
    <row r="5538" s="5" customFormat="1" x14ac:dyDescent="0.4"/>
    <row r="5539" s="5" customFormat="1" x14ac:dyDescent="0.4"/>
    <row r="5540" s="5" customFormat="1" x14ac:dyDescent="0.4"/>
    <row r="5541" s="5" customFormat="1" x14ac:dyDescent="0.4"/>
    <row r="5542" s="5" customFormat="1" x14ac:dyDescent="0.4"/>
    <row r="5543" s="5" customFormat="1" x14ac:dyDescent="0.4"/>
    <row r="5544" s="5" customFormat="1" x14ac:dyDescent="0.4"/>
    <row r="5545" s="5" customFormat="1" x14ac:dyDescent="0.4"/>
    <row r="5546" s="5" customFormat="1" x14ac:dyDescent="0.4"/>
    <row r="5547" s="5" customFormat="1" x14ac:dyDescent="0.4"/>
    <row r="5548" s="5" customFormat="1" x14ac:dyDescent="0.4"/>
    <row r="5549" s="5" customFormat="1" x14ac:dyDescent="0.4"/>
    <row r="5550" s="5" customFormat="1" x14ac:dyDescent="0.4"/>
    <row r="5551" s="5" customFormat="1" x14ac:dyDescent="0.4"/>
    <row r="5552" s="5" customFormat="1" x14ac:dyDescent="0.4"/>
    <row r="5553" s="5" customFormat="1" x14ac:dyDescent="0.4"/>
    <row r="5554" s="5" customFormat="1" x14ac:dyDescent="0.4"/>
    <row r="5555" s="5" customFormat="1" x14ac:dyDescent="0.4"/>
    <row r="5556" s="5" customFormat="1" x14ac:dyDescent="0.4"/>
    <row r="5557" s="5" customFormat="1" x14ac:dyDescent="0.4"/>
    <row r="5558" s="5" customFormat="1" x14ac:dyDescent="0.4"/>
    <row r="5559" s="5" customFormat="1" x14ac:dyDescent="0.4"/>
    <row r="5560" s="5" customFormat="1" x14ac:dyDescent="0.4"/>
    <row r="5561" s="5" customFormat="1" x14ac:dyDescent="0.4"/>
    <row r="5562" s="5" customFormat="1" x14ac:dyDescent="0.4"/>
    <row r="5563" s="5" customFormat="1" x14ac:dyDescent="0.4"/>
    <row r="5564" s="5" customFormat="1" x14ac:dyDescent="0.4"/>
    <row r="5565" s="5" customFormat="1" x14ac:dyDescent="0.4"/>
    <row r="5566" s="5" customFormat="1" x14ac:dyDescent="0.4"/>
    <row r="5567" s="5" customFormat="1" x14ac:dyDescent="0.4"/>
    <row r="5568" s="5" customFormat="1" x14ac:dyDescent="0.4"/>
    <row r="5569" s="5" customFormat="1" x14ac:dyDescent="0.4"/>
    <row r="5570" s="5" customFormat="1" x14ac:dyDescent="0.4"/>
    <row r="5571" s="5" customFormat="1" x14ac:dyDescent="0.4"/>
    <row r="5572" s="5" customFormat="1" x14ac:dyDescent="0.4"/>
    <row r="5573" s="5" customFormat="1" x14ac:dyDescent="0.4"/>
    <row r="5574" s="5" customFormat="1" x14ac:dyDescent="0.4"/>
    <row r="5575" s="5" customFormat="1" x14ac:dyDescent="0.4"/>
    <row r="5576" s="5" customFormat="1" x14ac:dyDescent="0.4"/>
    <row r="5577" s="5" customFormat="1" x14ac:dyDescent="0.4"/>
    <row r="5578" s="5" customFormat="1" x14ac:dyDescent="0.4"/>
    <row r="5579" s="5" customFormat="1" x14ac:dyDescent="0.4"/>
    <row r="5580" s="5" customFormat="1" x14ac:dyDescent="0.4"/>
    <row r="5581" s="5" customFormat="1" x14ac:dyDescent="0.4"/>
    <row r="5582" s="5" customFormat="1" x14ac:dyDescent="0.4"/>
    <row r="5583" s="5" customFormat="1" x14ac:dyDescent="0.4"/>
    <row r="5584" s="5" customFormat="1" x14ac:dyDescent="0.4"/>
    <row r="5585" s="5" customFormat="1" x14ac:dyDescent="0.4"/>
    <row r="5586" s="5" customFormat="1" x14ac:dyDescent="0.4"/>
    <row r="5587" s="5" customFormat="1" x14ac:dyDescent="0.4"/>
    <row r="5588" s="5" customFormat="1" x14ac:dyDescent="0.4"/>
    <row r="5589" s="5" customFormat="1" x14ac:dyDescent="0.4"/>
    <row r="5590" s="5" customFormat="1" x14ac:dyDescent="0.4"/>
    <row r="5591" s="5" customFormat="1" x14ac:dyDescent="0.4"/>
    <row r="5592" s="5" customFormat="1" x14ac:dyDescent="0.4"/>
    <row r="5593" s="5" customFormat="1" x14ac:dyDescent="0.4"/>
    <row r="5594" s="5" customFormat="1" x14ac:dyDescent="0.4"/>
    <row r="5595" s="5" customFormat="1" x14ac:dyDescent="0.4"/>
    <row r="5596" s="5" customFormat="1" x14ac:dyDescent="0.4"/>
    <row r="5597" s="5" customFormat="1" x14ac:dyDescent="0.4"/>
    <row r="5598" s="5" customFormat="1" x14ac:dyDescent="0.4"/>
    <row r="5599" s="5" customFormat="1" x14ac:dyDescent="0.4"/>
    <row r="5600" s="5" customFormat="1" x14ac:dyDescent="0.4"/>
    <row r="5601" s="5" customFormat="1" x14ac:dyDescent="0.4"/>
    <row r="5602" s="5" customFormat="1" x14ac:dyDescent="0.4"/>
    <row r="5603" s="5" customFormat="1" x14ac:dyDescent="0.4"/>
    <row r="5604" s="5" customFormat="1" x14ac:dyDescent="0.4"/>
    <row r="5605" s="5" customFormat="1" x14ac:dyDescent="0.4"/>
    <row r="5606" s="5" customFormat="1" x14ac:dyDescent="0.4"/>
    <row r="5607" s="5" customFormat="1" x14ac:dyDescent="0.4"/>
    <row r="5608" s="5" customFormat="1" x14ac:dyDescent="0.4"/>
    <row r="5609" s="5" customFormat="1" x14ac:dyDescent="0.4"/>
    <row r="5610" s="5" customFormat="1" x14ac:dyDescent="0.4"/>
    <row r="5611" s="5" customFormat="1" x14ac:dyDescent="0.4"/>
    <row r="5612" s="5" customFormat="1" x14ac:dyDescent="0.4"/>
    <row r="5613" s="5" customFormat="1" x14ac:dyDescent="0.4"/>
    <row r="5614" s="5" customFormat="1" x14ac:dyDescent="0.4"/>
    <row r="5615" s="5" customFormat="1" x14ac:dyDescent="0.4"/>
    <row r="5616" s="5" customFormat="1" x14ac:dyDescent="0.4"/>
    <row r="5617" s="5" customFormat="1" x14ac:dyDescent="0.4"/>
    <row r="5618" s="5" customFormat="1" x14ac:dyDescent="0.4"/>
    <row r="5619" s="5" customFormat="1" x14ac:dyDescent="0.4"/>
    <row r="5620" s="5" customFormat="1" x14ac:dyDescent="0.4"/>
    <row r="5621" s="5" customFormat="1" x14ac:dyDescent="0.4"/>
    <row r="5622" s="5" customFormat="1" x14ac:dyDescent="0.4"/>
    <row r="5623" s="5" customFormat="1" x14ac:dyDescent="0.4"/>
    <row r="5624" s="5" customFormat="1" x14ac:dyDescent="0.4"/>
    <row r="5625" s="5" customFormat="1" x14ac:dyDescent="0.4"/>
    <row r="5626" s="5" customFormat="1" x14ac:dyDescent="0.4"/>
    <row r="5627" s="5" customFormat="1" x14ac:dyDescent="0.4"/>
    <row r="5628" s="5" customFormat="1" x14ac:dyDescent="0.4"/>
    <row r="5629" s="5" customFormat="1" x14ac:dyDescent="0.4"/>
    <row r="5630" s="5" customFormat="1" x14ac:dyDescent="0.4"/>
    <row r="5631" s="5" customFormat="1" x14ac:dyDescent="0.4"/>
    <row r="5632" s="5" customFormat="1" x14ac:dyDescent="0.4"/>
    <row r="5633" s="5" customFormat="1" x14ac:dyDescent="0.4"/>
    <row r="5634" s="5" customFormat="1" x14ac:dyDescent="0.4"/>
    <row r="5635" s="5" customFormat="1" x14ac:dyDescent="0.4"/>
    <row r="5636" s="5" customFormat="1" x14ac:dyDescent="0.4"/>
    <row r="5637" s="5" customFormat="1" x14ac:dyDescent="0.4"/>
    <row r="5638" s="5" customFormat="1" x14ac:dyDescent="0.4"/>
    <row r="5639" s="5" customFormat="1" x14ac:dyDescent="0.4"/>
    <row r="5640" s="5" customFormat="1" x14ac:dyDescent="0.4"/>
    <row r="5641" s="5" customFormat="1" x14ac:dyDescent="0.4"/>
    <row r="5642" s="5" customFormat="1" x14ac:dyDescent="0.4"/>
    <row r="5643" s="5" customFormat="1" x14ac:dyDescent="0.4"/>
    <row r="5644" s="5" customFormat="1" x14ac:dyDescent="0.4"/>
    <row r="5645" s="5" customFormat="1" x14ac:dyDescent="0.4"/>
    <row r="5646" s="5" customFormat="1" x14ac:dyDescent="0.4"/>
    <row r="5647" s="5" customFormat="1" x14ac:dyDescent="0.4"/>
    <row r="5648" s="5" customFormat="1" x14ac:dyDescent="0.4"/>
    <row r="5649" s="5" customFormat="1" x14ac:dyDescent="0.4"/>
    <row r="5650" s="5" customFormat="1" x14ac:dyDescent="0.4"/>
    <row r="5651" s="5" customFormat="1" x14ac:dyDescent="0.4"/>
    <row r="5652" s="5" customFormat="1" x14ac:dyDescent="0.4"/>
    <row r="5653" s="5" customFormat="1" x14ac:dyDescent="0.4"/>
    <row r="5654" s="5" customFormat="1" x14ac:dyDescent="0.4"/>
    <row r="5655" s="5" customFormat="1" x14ac:dyDescent="0.4"/>
    <row r="5656" s="5" customFormat="1" x14ac:dyDescent="0.4"/>
    <row r="5657" s="5" customFormat="1" x14ac:dyDescent="0.4"/>
    <row r="5658" s="5" customFormat="1" x14ac:dyDescent="0.4"/>
    <row r="5659" s="5" customFormat="1" x14ac:dyDescent="0.4"/>
    <row r="5660" s="5" customFormat="1" x14ac:dyDescent="0.4"/>
    <row r="5661" s="5" customFormat="1" x14ac:dyDescent="0.4"/>
    <row r="5662" s="5" customFormat="1" x14ac:dyDescent="0.4"/>
    <row r="5663" s="5" customFormat="1" x14ac:dyDescent="0.4"/>
    <row r="5664" s="5" customFormat="1" x14ac:dyDescent="0.4"/>
    <row r="5665" s="5" customFormat="1" x14ac:dyDescent="0.4"/>
    <row r="5666" s="5" customFormat="1" x14ac:dyDescent="0.4"/>
    <row r="5667" s="5" customFormat="1" x14ac:dyDescent="0.4"/>
    <row r="5668" s="5" customFormat="1" x14ac:dyDescent="0.4"/>
    <row r="5669" s="5" customFormat="1" x14ac:dyDescent="0.4"/>
    <row r="5670" s="5" customFormat="1" x14ac:dyDescent="0.4"/>
    <row r="5671" s="5" customFormat="1" x14ac:dyDescent="0.4"/>
    <row r="5672" s="5" customFormat="1" x14ac:dyDescent="0.4"/>
    <row r="5673" s="5" customFormat="1" x14ac:dyDescent="0.4"/>
    <row r="5674" s="5" customFormat="1" x14ac:dyDescent="0.4"/>
    <row r="5675" s="5" customFormat="1" x14ac:dyDescent="0.4"/>
    <row r="5676" s="5" customFormat="1" x14ac:dyDescent="0.4"/>
    <row r="5677" s="5" customFormat="1" x14ac:dyDescent="0.4"/>
    <row r="5678" s="5" customFormat="1" x14ac:dyDescent="0.4"/>
    <row r="5679" s="5" customFormat="1" x14ac:dyDescent="0.4"/>
    <row r="5680" s="5" customFormat="1" x14ac:dyDescent="0.4"/>
    <row r="5681" s="5" customFormat="1" x14ac:dyDescent="0.4"/>
    <row r="5682" s="5" customFormat="1" x14ac:dyDescent="0.4"/>
    <row r="5683" s="5" customFormat="1" x14ac:dyDescent="0.4"/>
    <row r="5684" s="5" customFormat="1" x14ac:dyDescent="0.4"/>
    <row r="5685" s="5" customFormat="1" x14ac:dyDescent="0.4"/>
    <row r="5686" s="5" customFormat="1" x14ac:dyDescent="0.4"/>
    <row r="5687" s="5" customFormat="1" x14ac:dyDescent="0.4"/>
    <row r="5688" s="5" customFormat="1" x14ac:dyDescent="0.4"/>
    <row r="5689" s="5" customFormat="1" x14ac:dyDescent="0.4"/>
    <row r="5690" s="5" customFormat="1" x14ac:dyDescent="0.4"/>
    <row r="5691" s="5" customFormat="1" x14ac:dyDescent="0.4"/>
    <row r="5692" s="5" customFormat="1" x14ac:dyDescent="0.4"/>
    <row r="5693" s="5" customFormat="1" x14ac:dyDescent="0.4"/>
    <row r="5694" s="5" customFormat="1" x14ac:dyDescent="0.4"/>
    <row r="5695" s="5" customFormat="1" x14ac:dyDescent="0.4"/>
    <row r="5696" s="5" customFormat="1" x14ac:dyDescent="0.4"/>
    <row r="5697" s="5" customFormat="1" x14ac:dyDescent="0.4"/>
    <row r="5698" s="5" customFormat="1" x14ac:dyDescent="0.4"/>
    <row r="5699" s="5" customFormat="1" x14ac:dyDescent="0.4"/>
    <row r="5700" s="5" customFormat="1" x14ac:dyDescent="0.4"/>
    <row r="5701" s="5" customFormat="1" x14ac:dyDescent="0.4"/>
    <row r="5702" s="5" customFormat="1" x14ac:dyDescent="0.4"/>
    <row r="5703" s="5" customFormat="1" x14ac:dyDescent="0.4"/>
    <row r="5704" s="5" customFormat="1" x14ac:dyDescent="0.4"/>
    <row r="5705" s="5" customFormat="1" x14ac:dyDescent="0.4"/>
    <row r="5706" s="5" customFormat="1" x14ac:dyDescent="0.4"/>
    <row r="5707" s="5" customFormat="1" x14ac:dyDescent="0.4"/>
    <row r="5708" s="5" customFormat="1" x14ac:dyDescent="0.4"/>
    <row r="5709" s="5" customFormat="1" x14ac:dyDescent="0.4"/>
    <row r="5710" s="5" customFormat="1" x14ac:dyDescent="0.4"/>
    <row r="5711" s="5" customFormat="1" x14ac:dyDescent="0.4"/>
    <row r="5712" s="5" customFormat="1" x14ac:dyDescent="0.4"/>
    <row r="5713" s="5" customFormat="1" x14ac:dyDescent="0.4"/>
    <row r="5714" s="5" customFormat="1" x14ac:dyDescent="0.4"/>
    <row r="5715" s="5" customFormat="1" x14ac:dyDescent="0.4"/>
    <row r="5716" s="5" customFormat="1" x14ac:dyDescent="0.4"/>
    <row r="5717" s="5" customFormat="1" x14ac:dyDescent="0.4"/>
    <row r="5718" s="5" customFormat="1" x14ac:dyDescent="0.4"/>
    <row r="5719" s="5" customFormat="1" x14ac:dyDescent="0.4"/>
    <row r="5720" s="5" customFormat="1" x14ac:dyDescent="0.4"/>
    <row r="5721" s="5" customFormat="1" x14ac:dyDescent="0.4"/>
    <row r="5722" s="5" customFormat="1" x14ac:dyDescent="0.4"/>
    <row r="5723" s="5" customFormat="1" x14ac:dyDescent="0.4"/>
    <row r="5724" s="5" customFormat="1" x14ac:dyDescent="0.4"/>
    <row r="5725" s="5" customFormat="1" x14ac:dyDescent="0.4"/>
    <row r="5726" s="5" customFormat="1" x14ac:dyDescent="0.4"/>
    <row r="5727" s="5" customFormat="1" x14ac:dyDescent="0.4"/>
    <row r="5728" s="5" customFormat="1" x14ac:dyDescent="0.4"/>
    <row r="5729" s="5" customFormat="1" x14ac:dyDescent="0.4"/>
    <row r="5730" s="5" customFormat="1" x14ac:dyDescent="0.4"/>
    <row r="5731" s="5" customFormat="1" x14ac:dyDescent="0.4"/>
    <row r="5732" s="5" customFormat="1" x14ac:dyDescent="0.4"/>
    <row r="5733" s="5" customFormat="1" x14ac:dyDescent="0.4"/>
    <row r="5734" s="5" customFormat="1" x14ac:dyDescent="0.4"/>
    <row r="5735" s="5" customFormat="1" x14ac:dyDescent="0.4"/>
    <row r="5736" s="5" customFormat="1" x14ac:dyDescent="0.4"/>
    <row r="5737" s="5" customFormat="1" x14ac:dyDescent="0.4"/>
    <row r="5738" s="5" customFormat="1" x14ac:dyDescent="0.4"/>
    <row r="5739" s="5" customFormat="1" x14ac:dyDescent="0.4"/>
    <row r="5740" s="5" customFormat="1" x14ac:dyDescent="0.4"/>
    <row r="5741" s="5" customFormat="1" x14ac:dyDescent="0.4"/>
    <row r="5742" s="5" customFormat="1" x14ac:dyDescent="0.4"/>
    <row r="5743" s="5" customFormat="1" x14ac:dyDescent="0.4"/>
    <row r="5744" s="5" customFormat="1" x14ac:dyDescent="0.4"/>
    <row r="5745" s="5" customFormat="1" x14ac:dyDescent="0.4"/>
    <row r="5746" s="5" customFormat="1" x14ac:dyDescent="0.4"/>
    <row r="5747" s="5" customFormat="1" x14ac:dyDescent="0.4"/>
    <row r="5748" s="5" customFormat="1" x14ac:dyDescent="0.4"/>
    <row r="5749" s="5" customFormat="1" x14ac:dyDescent="0.4"/>
    <row r="5750" s="5" customFormat="1" x14ac:dyDescent="0.4"/>
    <row r="5751" s="5" customFormat="1" x14ac:dyDescent="0.4"/>
    <row r="5752" s="5" customFormat="1" x14ac:dyDescent="0.4"/>
    <row r="5753" s="5" customFormat="1" x14ac:dyDescent="0.4"/>
    <row r="5754" s="5" customFormat="1" x14ac:dyDescent="0.4"/>
    <row r="5755" s="5" customFormat="1" x14ac:dyDescent="0.4"/>
    <row r="5756" s="5" customFormat="1" x14ac:dyDescent="0.4"/>
    <row r="5757" s="5" customFormat="1" x14ac:dyDescent="0.4"/>
    <row r="5758" s="5" customFormat="1" x14ac:dyDescent="0.4"/>
    <row r="5759" s="5" customFormat="1" x14ac:dyDescent="0.4"/>
    <row r="5760" s="5" customFormat="1" x14ac:dyDescent="0.4"/>
    <row r="5761" s="5" customFormat="1" x14ac:dyDescent="0.4"/>
    <row r="5762" s="5" customFormat="1" x14ac:dyDescent="0.4"/>
    <row r="5763" s="5" customFormat="1" x14ac:dyDescent="0.4"/>
    <row r="5764" s="5" customFormat="1" x14ac:dyDescent="0.4"/>
    <row r="5765" s="5" customFormat="1" x14ac:dyDescent="0.4"/>
    <row r="5766" s="5" customFormat="1" x14ac:dyDescent="0.4"/>
    <row r="5767" s="5" customFormat="1" x14ac:dyDescent="0.4"/>
    <row r="5768" s="5" customFormat="1" x14ac:dyDescent="0.4"/>
    <row r="5769" s="5" customFormat="1" x14ac:dyDescent="0.4"/>
    <row r="5770" s="5" customFormat="1" x14ac:dyDescent="0.4"/>
    <row r="5771" s="5" customFormat="1" x14ac:dyDescent="0.4"/>
    <row r="5772" s="5" customFormat="1" x14ac:dyDescent="0.4"/>
    <row r="5773" s="5" customFormat="1" x14ac:dyDescent="0.4"/>
    <row r="5774" s="5" customFormat="1" x14ac:dyDescent="0.4"/>
    <row r="5775" s="5" customFormat="1" x14ac:dyDescent="0.4"/>
    <row r="5776" s="5" customFormat="1" x14ac:dyDescent="0.4"/>
    <row r="5777" s="5" customFormat="1" x14ac:dyDescent="0.4"/>
    <row r="5778" s="5" customFormat="1" x14ac:dyDescent="0.4"/>
    <row r="5779" s="5" customFormat="1" x14ac:dyDescent="0.4"/>
    <row r="5780" s="5" customFormat="1" x14ac:dyDescent="0.4"/>
    <row r="5781" s="5" customFormat="1" x14ac:dyDescent="0.4"/>
    <row r="5782" s="5" customFormat="1" x14ac:dyDescent="0.4"/>
    <row r="5783" s="5" customFormat="1" x14ac:dyDescent="0.4"/>
    <row r="5784" s="5" customFormat="1" x14ac:dyDescent="0.4"/>
    <row r="5785" s="5" customFormat="1" x14ac:dyDescent="0.4"/>
    <row r="5786" s="5" customFormat="1" x14ac:dyDescent="0.4"/>
    <row r="5787" s="5" customFormat="1" x14ac:dyDescent="0.4"/>
    <row r="5788" s="5" customFormat="1" x14ac:dyDescent="0.4"/>
    <row r="5789" s="5" customFormat="1" x14ac:dyDescent="0.4"/>
    <row r="5790" s="5" customFormat="1" x14ac:dyDescent="0.4"/>
    <row r="5791" s="5" customFormat="1" x14ac:dyDescent="0.4"/>
    <row r="5792" s="5" customFormat="1" x14ac:dyDescent="0.4"/>
    <row r="5793" s="5" customFormat="1" x14ac:dyDescent="0.4"/>
    <row r="5794" s="5" customFormat="1" x14ac:dyDescent="0.4"/>
    <row r="5795" s="5" customFormat="1" x14ac:dyDescent="0.4"/>
    <row r="5796" s="5" customFormat="1" x14ac:dyDescent="0.4"/>
    <row r="5797" s="5" customFormat="1" x14ac:dyDescent="0.4"/>
    <row r="5798" s="5" customFormat="1" x14ac:dyDescent="0.4"/>
    <row r="5799" s="5" customFormat="1" x14ac:dyDescent="0.4"/>
    <row r="5800" s="5" customFormat="1" x14ac:dyDescent="0.4"/>
    <row r="5801" s="5" customFormat="1" x14ac:dyDescent="0.4"/>
    <row r="5802" s="5" customFormat="1" x14ac:dyDescent="0.4"/>
    <row r="5803" s="5" customFormat="1" x14ac:dyDescent="0.4"/>
    <row r="5804" s="5" customFormat="1" x14ac:dyDescent="0.4"/>
    <row r="5805" s="5" customFormat="1" x14ac:dyDescent="0.4"/>
    <row r="5806" s="5" customFormat="1" x14ac:dyDescent="0.4"/>
    <row r="5807" s="5" customFormat="1" x14ac:dyDescent="0.4"/>
    <row r="5808" s="5" customFormat="1" x14ac:dyDescent="0.4"/>
    <row r="5809" s="5" customFormat="1" x14ac:dyDescent="0.4"/>
    <row r="5810" s="5" customFormat="1" x14ac:dyDescent="0.4"/>
    <row r="5811" s="5" customFormat="1" x14ac:dyDescent="0.4"/>
    <row r="5812" s="5" customFormat="1" x14ac:dyDescent="0.4"/>
    <row r="5813" s="5" customFormat="1" x14ac:dyDescent="0.4"/>
    <row r="5814" s="5" customFormat="1" x14ac:dyDescent="0.4"/>
    <row r="5815" s="5" customFormat="1" x14ac:dyDescent="0.4"/>
    <row r="5816" s="5" customFormat="1" x14ac:dyDescent="0.4"/>
    <row r="5817" s="5" customFormat="1" x14ac:dyDescent="0.4"/>
    <row r="5818" s="5" customFormat="1" x14ac:dyDescent="0.4"/>
    <row r="5819" s="5" customFormat="1" x14ac:dyDescent="0.4"/>
    <row r="5820" s="5" customFormat="1" x14ac:dyDescent="0.4"/>
    <row r="5821" s="5" customFormat="1" x14ac:dyDescent="0.4"/>
    <row r="5822" s="5" customFormat="1" x14ac:dyDescent="0.4"/>
    <row r="5823" s="5" customFormat="1" x14ac:dyDescent="0.4"/>
    <row r="5824" s="5" customFormat="1" x14ac:dyDescent="0.4"/>
    <row r="5825" s="5" customFormat="1" x14ac:dyDescent="0.4"/>
    <row r="5826" s="5" customFormat="1" x14ac:dyDescent="0.4"/>
    <row r="5827" s="5" customFormat="1" x14ac:dyDescent="0.4"/>
    <row r="5828" s="5" customFormat="1" x14ac:dyDescent="0.4"/>
    <row r="5829" s="5" customFormat="1" x14ac:dyDescent="0.4"/>
    <row r="5830" s="5" customFormat="1" x14ac:dyDescent="0.4"/>
    <row r="5831" s="5" customFormat="1" x14ac:dyDescent="0.4"/>
    <row r="5832" s="5" customFormat="1" x14ac:dyDescent="0.4"/>
    <row r="5833" s="5" customFormat="1" x14ac:dyDescent="0.4"/>
    <row r="5834" s="5" customFormat="1" x14ac:dyDescent="0.4"/>
    <row r="5835" s="5" customFormat="1" x14ac:dyDescent="0.4"/>
    <row r="5836" s="5" customFormat="1" x14ac:dyDescent="0.4"/>
    <row r="5837" s="5" customFormat="1" x14ac:dyDescent="0.4"/>
    <row r="5838" s="5" customFormat="1" x14ac:dyDescent="0.4"/>
    <row r="5839" s="5" customFormat="1" x14ac:dyDescent="0.4"/>
    <row r="5840" s="5" customFormat="1" x14ac:dyDescent="0.4"/>
    <row r="5841" s="5" customFormat="1" x14ac:dyDescent="0.4"/>
    <row r="5842" s="5" customFormat="1" x14ac:dyDescent="0.4"/>
    <row r="5843" s="5" customFormat="1" x14ac:dyDescent="0.4"/>
    <row r="5844" s="5" customFormat="1" x14ac:dyDescent="0.4"/>
    <row r="5845" s="5" customFormat="1" x14ac:dyDescent="0.4"/>
    <row r="5846" s="5" customFormat="1" x14ac:dyDescent="0.4"/>
    <row r="5847" s="5" customFormat="1" x14ac:dyDescent="0.4"/>
    <row r="5848" s="5" customFormat="1" x14ac:dyDescent="0.4"/>
    <row r="5849" s="5" customFormat="1" x14ac:dyDescent="0.4"/>
    <row r="5850" s="5" customFormat="1" x14ac:dyDescent="0.4"/>
    <row r="5851" s="5" customFormat="1" x14ac:dyDescent="0.4"/>
    <row r="5852" s="5" customFormat="1" x14ac:dyDescent="0.4"/>
    <row r="5853" s="5" customFormat="1" x14ac:dyDescent="0.4"/>
    <row r="5854" s="5" customFormat="1" x14ac:dyDescent="0.4"/>
    <row r="5855" s="5" customFormat="1" x14ac:dyDescent="0.4"/>
    <row r="5856" s="5" customFormat="1" x14ac:dyDescent="0.4"/>
    <row r="5857" s="5" customFormat="1" x14ac:dyDescent="0.4"/>
    <row r="5858" s="5" customFormat="1" x14ac:dyDescent="0.4"/>
    <row r="5859" s="5" customFormat="1" x14ac:dyDescent="0.4"/>
    <row r="5860" s="5" customFormat="1" x14ac:dyDescent="0.4"/>
    <row r="5861" s="5" customFormat="1" x14ac:dyDescent="0.4"/>
    <row r="5862" s="5" customFormat="1" x14ac:dyDescent="0.4"/>
    <row r="5863" s="5" customFormat="1" x14ac:dyDescent="0.4"/>
    <row r="5864" s="5" customFormat="1" x14ac:dyDescent="0.4"/>
    <row r="5865" s="5" customFormat="1" x14ac:dyDescent="0.4"/>
    <row r="5866" s="5" customFormat="1" x14ac:dyDescent="0.4"/>
    <row r="5867" s="5" customFormat="1" x14ac:dyDescent="0.4"/>
    <row r="5868" s="5" customFormat="1" x14ac:dyDescent="0.4"/>
    <row r="5869" s="5" customFormat="1" x14ac:dyDescent="0.4"/>
    <row r="5870" s="5" customFormat="1" x14ac:dyDescent="0.4"/>
    <row r="5871" s="5" customFormat="1" x14ac:dyDescent="0.4"/>
    <row r="5872" s="5" customFormat="1" x14ac:dyDescent="0.4"/>
    <row r="5873" s="5" customFormat="1" x14ac:dyDescent="0.4"/>
    <row r="5874" s="5" customFormat="1" x14ac:dyDescent="0.4"/>
    <row r="5875" s="5" customFormat="1" x14ac:dyDescent="0.4"/>
    <row r="5876" s="5" customFormat="1" x14ac:dyDescent="0.4"/>
    <row r="5877" s="5" customFormat="1" x14ac:dyDescent="0.4"/>
    <row r="5878" s="5" customFormat="1" x14ac:dyDescent="0.4"/>
    <row r="5879" s="5" customFormat="1" x14ac:dyDescent="0.4"/>
    <row r="5880" s="5" customFormat="1" x14ac:dyDescent="0.4"/>
    <row r="5881" s="5" customFormat="1" x14ac:dyDescent="0.4"/>
    <row r="5882" s="5" customFormat="1" x14ac:dyDescent="0.4"/>
    <row r="5883" s="5" customFormat="1" x14ac:dyDescent="0.4"/>
    <row r="5884" s="5" customFormat="1" x14ac:dyDescent="0.4"/>
    <row r="5885" s="5" customFormat="1" x14ac:dyDescent="0.4"/>
    <row r="5886" s="5" customFormat="1" x14ac:dyDescent="0.4"/>
    <row r="5887" s="5" customFormat="1" x14ac:dyDescent="0.4"/>
    <row r="5888" s="5" customFormat="1" x14ac:dyDescent="0.4"/>
    <row r="5889" s="5" customFormat="1" x14ac:dyDescent="0.4"/>
    <row r="5890" s="5" customFormat="1" x14ac:dyDescent="0.4"/>
    <row r="5891" s="5" customFormat="1" x14ac:dyDescent="0.4"/>
    <row r="5892" s="5" customFormat="1" x14ac:dyDescent="0.4"/>
    <row r="5893" s="5" customFormat="1" x14ac:dyDescent="0.4"/>
    <row r="5894" s="5" customFormat="1" x14ac:dyDescent="0.4"/>
    <row r="5895" s="5" customFormat="1" x14ac:dyDescent="0.4"/>
    <row r="5896" s="5" customFormat="1" x14ac:dyDescent="0.4"/>
    <row r="5897" s="5" customFormat="1" x14ac:dyDescent="0.4"/>
    <row r="5898" s="5" customFormat="1" x14ac:dyDescent="0.4"/>
    <row r="5899" s="5" customFormat="1" x14ac:dyDescent="0.4"/>
    <row r="5900" s="5" customFormat="1" x14ac:dyDescent="0.4"/>
    <row r="5901" s="5" customFormat="1" x14ac:dyDescent="0.4"/>
    <row r="5902" s="5" customFormat="1" x14ac:dyDescent="0.4"/>
    <row r="5903" s="5" customFormat="1" x14ac:dyDescent="0.4"/>
    <row r="5904" s="5" customFormat="1" x14ac:dyDescent="0.4"/>
    <row r="5905" s="5" customFormat="1" x14ac:dyDescent="0.4"/>
    <row r="5906" s="5" customFormat="1" x14ac:dyDescent="0.4"/>
    <row r="5907" s="5" customFormat="1" x14ac:dyDescent="0.4"/>
    <row r="5908" s="5" customFormat="1" x14ac:dyDescent="0.4"/>
    <row r="5909" s="5" customFormat="1" x14ac:dyDescent="0.4"/>
    <row r="5910" s="5" customFormat="1" x14ac:dyDescent="0.4"/>
    <row r="5911" s="5" customFormat="1" x14ac:dyDescent="0.4"/>
    <row r="5912" s="5" customFormat="1" x14ac:dyDescent="0.4"/>
    <row r="5913" s="5" customFormat="1" x14ac:dyDescent="0.4"/>
    <row r="5914" s="5" customFormat="1" x14ac:dyDescent="0.4"/>
    <row r="5915" s="5" customFormat="1" x14ac:dyDescent="0.4"/>
    <row r="5916" s="5" customFormat="1" x14ac:dyDescent="0.4"/>
    <row r="5917" s="5" customFormat="1" x14ac:dyDescent="0.4"/>
    <row r="5918" s="5" customFormat="1" x14ac:dyDescent="0.4"/>
    <row r="5919" s="5" customFormat="1" x14ac:dyDescent="0.4"/>
    <row r="5920" s="5" customFormat="1" x14ac:dyDescent="0.4"/>
    <row r="5921" s="5" customFormat="1" x14ac:dyDescent="0.4"/>
    <row r="5922" s="5" customFormat="1" x14ac:dyDescent="0.4"/>
    <row r="5923" s="5" customFormat="1" x14ac:dyDescent="0.4"/>
    <row r="5924" s="5" customFormat="1" x14ac:dyDescent="0.4"/>
    <row r="5925" s="5" customFormat="1" x14ac:dyDescent="0.4"/>
    <row r="5926" s="5" customFormat="1" x14ac:dyDescent="0.4"/>
    <row r="5927" s="5" customFormat="1" x14ac:dyDescent="0.4"/>
    <row r="5928" s="5" customFormat="1" x14ac:dyDescent="0.4"/>
    <row r="5929" s="5" customFormat="1" x14ac:dyDescent="0.4"/>
    <row r="5930" s="5" customFormat="1" x14ac:dyDescent="0.4"/>
    <row r="5931" s="5" customFormat="1" x14ac:dyDescent="0.4"/>
    <row r="5932" s="5" customFormat="1" x14ac:dyDescent="0.4"/>
    <row r="5933" s="5" customFormat="1" x14ac:dyDescent="0.4"/>
    <row r="5934" s="5" customFormat="1" x14ac:dyDescent="0.4"/>
    <row r="5935" s="5" customFormat="1" x14ac:dyDescent="0.4"/>
    <row r="5936" s="5" customFormat="1" x14ac:dyDescent="0.4"/>
    <row r="5937" s="5" customFormat="1" x14ac:dyDescent="0.4"/>
    <row r="5938" s="5" customFormat="1" x14ac:dyDescent="0.4"/>
    <row r="5939" s="5" customFormat="1" x14ac:dyDescent="0.4"/>
    <row r="5940" s="5" customFormat="1" x14ac:dyDescent="0.4"/>
    <row r="5941" s="5" customFormat="1" x14ac:dyDescent="0.4"/>
    <row r="5942" s="5" customFormat="1" x14ac:dyDescent="0.4"/>
    <row r="5943" s="5" customFormat="1" x14ac:dyDescent="0.4"/>
    <row r="5944" s="5" customFormat="1" x14ac:dyDescent="0.4"/>
    <row r="5945" s="5" customFormat="1" x14ac:dyDescent="0.4"/>
    <row r="5946" s="5" customFormat="1" x14ac:dyDescent="0.4"/>
    <row r="5947" s="5" customFormat="1" x14ac:dyDescent="0.4"/>
    <row r="5948" s="5" customFormat="1" x14ac:dyDescent="0.4"/>
    <row r="5949" s="5" customFormat="1" x14ac:dyDescent="0.4"/>
    <row r="5950" s="5" customFormat="1" x14ac:dyDescent="0.4"/>
    <row r="5951" s="5" customFormat="1" x14ac:dyDescent="0.4"/>
    <row r="5952" s="5" customFormat="1" x14ac:dyDescent="0.4"/>
    <row r="5953" s="5" customFormat="1" x14ac:dyDescent="0.4"/>
    <row r="5954" s="5" customFormat="1" x14ac:dyDescent="0.4"/>
    <row r="5955" s="5" customFormat="1" x14ac:dyDescent="0.4"/>
    <row r="5956" s="5" customFormat="1" x14ac:dyDescent="0.4"/>
    <row r="5957" s="5" customFormat="1" x14ac:dyDescent="0.4"/>
    <row r="5958" s="5" customFormat="1" x14ac:dyDescent="0.4"/>
    <row r="5959" s="5" customFormat="1" x14ac:dyDescent="0.4"/>
    <row r="5960" s="5" customFormat="1" x14ac:dyDescent="0.4"/>
    <row r="5961" s="5" customFormat="1" x14ac:dyDescent="0.4"/>
    <row r="5962" s="5" customFormat="1" x14ac:dyDescent="0.4"/>
    <row r="5963" s="5" customFormat="1" x14ac:dyDescent="0.4"/>
    <row r="5964" s="5" customFormat="1" x14ac:dyDescent="0.4"/>
    <row r="5965" s="5" customFormat="1" x14ac:dyDescent="0.4"/>
    <row r="5966" s="5" customFormat="1" x14ac:dyDescent="0.4"/>
    <row r="5967" s="5" customFormat="1" x14ac:dyDescent="0.4"/>
    <row r="5968" s="5" customFormat="1" x14ac:dyDescent="0.4"/>
    <row r="5969" s="5" customFormat="1" x14ac:dyDescent="0.4"/>
    <row r="5970" s="5" customFormat="1" x14ac:dyDescent="0.4"/>
    <row r="5971" s="5" customFormat="1" x14ac:dyDescent="0.4"/>
    <row r="5972" s="5" customFormat="1" x14ac:dyDescent="0.4"/>
    <row r="5973" s="5" customFormat="1" x14ac:dyDescent="0.4"/>
    <row r="5974" s="5" customFormat="1" x14ac:dyDescent="0.4"/>
    <row r="5975" s="5" customFormat="1" x14ac:dyDescent="0.4"/>
    <row r="5976" s="5" customFormat="1" x14ac:dyDescent="0.4"/>
    <row r="5977" s="5" customFormat="1" x14ac:dyDescent="0.4"/>
    <row r="5978" s="5" customFormat="1" x14ac:dyDescent="0.4"/>
    <row r="5979" s="5" customFormat="1" x14ac:dyDescent="0.4"/>
    <row r="5980" s="5" customFormat="1" x14ac:dyDescent="0.4"/>
    <row r="5981" s="5" customFormat="1" x14ac:dyDescent="0.4"/>
    <row r="5982" s="5" customFormat="1" x14ac:dyDescent="0.4"/>
    <row r="5983" s="5" customFormat="1" x14ac:dyDescent="0.4"/>
    <row r="5984" s="5" customFormat="1" x14ac:dyDescent="0.4"/>
    <row r="5985" s="5" customFormat="1" x14ac:dyDescent="0.4"/>
    <row r="5986" s="5" customFormat="1" x14ac:dyDescent="0.4"/>
    <row r="5987" s="5" customFormat="1" x14ac:dyDescent="0.4"/>
    <row r="5988" s="5" customFormat="1" x14ac:dyDescent="0.4"/>
    <row r="5989" s="5" customFormat="1" x14ac:dyDescent="0.4"/>
    <row r="5990" s="5" customFormat="1" x14ac:dyDescent="0.4"/>
    <row r="5991" s="5" customFormat="1" x14ac:dyDescent="0.4"/>
    <row r="5992" s="5" customFormat="1" x14ac:dyDescent="0.4"/>
    <row r="5993" s="5" customFormat="1" x14ac:dyDescent="0.4"/>
    <row r="5994" s="5" customFormat="1" x14ac:dyDescent="0.4"/>
    <row r="5995" s="5" customFormat="1" x14ac:dyDescent="0.4"/>
    <row r="5996" s="5" customFormat="1" x14ac:dyDescent="0.4"/>
    <row r="5997" s="5" customFormat="1" x14ac:dyDescent="0.4"/>
    <row r="5998" s="5" customFormat="1" x14ac:dyDescent="0.4"/>
    <row r="5999" s="5" customFormat="1" x14ac:dyDescent="0.4"/>
    <row r="6000" s="5" customFormat="1" x14ac:dyDescent="0.4"/>
    <row r="6001" s="5" customFormat="1" x14ac:dyDescent="0.4"/>
    <row r="6002" s="5" customFormat="1" x14ac:dyDescent="0.4"/>
    <row r="6003" s="5" customFormat="1" x14ac:dyDescent="0.4"/>
    <row r="6004" s="5" customFormat="1" x14ac:dyDescent="0.4"/>
    <row r="6005" s="5" customFormat="1" x14ac:dyDescent="0.4"/>
    <row r="6006" s="5" customFormat="1" x14ac:dyDescent="0.4"/>
    <row r="6007" s="5" customFormat="1" x14ac:dyDescent="0.4"/>
    <row r="6008" s="5" customFormat="1" x14ac:dyDescent="0.4"/>
    <row r="6009" s="5" customFormat="1" x14ac:dyDescent="0.4"/>
    <row r="6010" s="5" customFormat="1" x14ac:dyDescent="0.4"/>
    <row r="6011" s="5" customFormat="1" x14ac:dyDescent="0.4"/>
    <row r="6012" s="5" customFormat="1" x14ac:dyDescent="0.4"/>
    <row r="6013" s="5" customFormat="1" x14ac:dyDescent="0.4"/>
    <row r="6014" s="5" customFormat="1" x14ac:dyDescent="0.4"/>
    <row r="6015" s="5" customFormat="1" x14ac:dyDescent="0.4"/>
    <row r="6016" s="5" customFormat="1" x14ac:dyDescent="0.4"/>
    <row r="6017" s="5" customFormat="1" x14ac:dyDescent="0.4"/>
    <row r="6018" s="5" customFormat="1" x14ac:dyDescent="0.4"/>
    <row r="6019" s="5" customFormat="1" x14ac:dyDescent="0.4"/>
    <row r="6020" s="5" customFormat="1" x14ac:dyDescent="0.4"/>
    <row r="6021" s="5" customFormat="1" x14ac:dyDescent="0.4"/>
    <row r="6022" s="5" customFormat="1" x14ac:dyDescent="0.4"/>
    <row r="6023" s="5" customFormat="1" x14ac:dyDescent="0.4"/>
    <row r="6024" s="5" customFormat="1" x14ac:dyDescent="0.4"/>
    <row r="6025" s="5" customFormat="1" x14ac:dyDescent="0.4"/>
    <row r="6026" s="5" customFormat="1" x14ac:dyDescent="0.4"/>
    <row r="6027" s="5" customFormat="1" x14ac:dyDescent="0.4"/>
    <row r="6028" s="5" customFormat="1" x14ac:dyDescent="0.4"/>
    <row r="6029" s="5" customFormat="1" x14ac:dyDescent="0.4"/>
    <row r="6030" s="5" customFormat="1" x14ac:dyDescent="0.4"/>
    <row r="6031" s="5" customFormat="1" x14ac:dyDescent="0.4"/>
    <row r="6032" s="5" customFormat="1" x14ac:dyDescent="0.4"/>
    <row r="6033" s="5" customFormat="1" x14ac:dyDescent="0.4"/>
    <row r="6034" s="5" customFormat="1" x14ac:dyDescent="0.4"/>
    <row r="6035" s="5" customFormat="1" x14ac:dyDescent="0.4"/>
    <row r="6036" s="5" customFormat="1" x14ac:dyDescent="0.4"/>
    <row r="6037" s="5" customFormat="1" x14ac:dyDescent="0.4"/>
    <row r="6038" s="5" customFormat="1" x14ac:dyDescent="0.4"/>
    <row r="6039" s="5" customFormat="1" x14ac:dyDescent="0.4"/>
    <row r="6040" s="5" customFormat="1" x14ac:dyDescent="0.4"/>
    <row r="6041" s="5" customFormat="1" x14ac:dyDescent="0.4"/>
    <row r="6042" s="5" customFormat="1" x14ac:dyDescent="0.4"/>
    <row r="6043" s="5" customFormat="1" x14ac:dyDescent="0.4"/>
    <row r="6044" s="5" customFormat="1" x14ac:dyDescent="0.4"/>
    <row r="6045" s="5" customFormat="1" x14ac:dyDescent="0.4"/>
    <row r="6046" s="5" customFormat="1" x14ac:dyDescent="0.4"/>
    <row r="6047" s="5" customFormat="1" x14ac:dyDescent="0.4"/>
    <row r="6048" s="5" customFormat="1" x14ac:dyDescent="0.4"/>
    <row r="6049" s="5" customFormat="1" x14ac:dyDescent="0.4"/>
    <row r="6050" s="5" customFormat="1" x14ac:dyDescent="0.4"/>
    <row r="6051" s="5" customFormat="1" x14ac:dyDescent="0.4"/>
    <row r="6052" s="5" customFormat="1" x14ac:dyDescent="0.4"/>
    <row r="6053" s="5" customFormat="1" x14ac:dyDescent="0.4"/>
    <row r="6054" s="5" customFormat="1" x14ac:dyDescent="0.4"/>
    <row r="6055" s="5" customFormat="1" x14ac:dyDescent="0.4"/>
    <row r="6056" s="5" customFormat="1" x14ac:dyDescent="0.4"/>
    <row r="6057" s="5" customFormat="1" x14ac:dyDescent="0.4"/>
    <row r="6058" s="5" customFormat="1" x14ac:dyDescent="0.4"/>
    <row r="6059" s="5" customFormat="1" x14ac:dyDescent="0.4"/>
    <row r="6060" s="5" customFormat="1" x14ac:dyDescent="0.4"/>
    <row r="6061" s="5" customFormat="1" x14ac:dyDescent="0.4"/>
    <row r="6062" s="5" customFormat="1" x14ac:dyDescent="0.4"/>
    <row r="6063" s="5" customFormat="1" x14ac:dyDescent="0.4"/>
    <row r="6064" s="5" customFormat="1" x14ac:dyDescent="0.4"/>
    <row r="6065" s="5" customFormat="1" x14ac:dyDescent="0.4"/>
    <row r="6066" s="5" customFormat="1" x14ac:dyDescent="0.4"/>
    <row r="6067" s="5" customFormat="1" x14ac:dyDescent="0.4"/>
    <row r="6068" s="5" customFormat="1" x14ac:dyDescent="0.4"/>
    <row r="6069" s="5" customFormat="1" x14ac:dyDescent="0.4"/>
    <row r="6070" s="5" customFormat="1" x14ac:dyDescent="0.4"/>
    <row r="6071" s="5" customFormat="1" x14ac:dyDescent="0.4"/>
    <row r="6072" s="5" customFormat="1" x14ac:dyDescent="0.4"/>
    <row r="6073" s="5" customFormat="1" x14ac:dyDescent="0.4"/>
    <row r="6074" s="5" customFormat="1" x14ac:dyDescent="0.4"/>
    <row r="6075" s="5" customFormat="1" x14ac:dyDescent="0.4"/>
    <row r="6076" s="5" customFormat="1" x14ac:dyDescent="0.4"/>
    <row r="6077" s="5" customFormat="1" x14ac:dyDescent="0.4"/>
    <row r="6078" s="5" customFormat="1" x14ac:dyDescent="0.4"/>
    <row r="6079" s="5" customFormat="1" x14ac:dyDescent="0.4"/>
    <row r="6080" s="5" customFormat="1" x14ac:dyDescent="0.4"/>
    <row r="6081" s="5" customFormat="1" x14ac:dyDescent="0.4"/>
    <row r="6082" s="5" customFormat="1" x14ac:dyDescent="0.4"/>
    <row r="6083" s="5" customFormat="1" x14ac:dyDescent="0.4"/>
    <row r="6084" s="5" customFormat="1" x14ac:dyDescent="0.4"/>
    <row r="6085" s="5" customFormat="1" x14ac:dyDescent="0.4"/>
    <row r="6086" s="5" customFormat="1" x14ac:dyDescent="0.4"/>
    <row r="6087" s="5" customFormat="1" x14ac:dyDescent="0.4"/>
    <row r="6088" s="5" customFormat="1" x14ac:dyDescent="0.4"/>
    <row r="6089" s="5" customFormat="1" x14ac:dyDescent="0.4"/>
    <row r="6090" s="5" customFormat="1" x14ac:dyDescent="0.4"/>
    <row r="6091" s="5" customFormat="1" x14ac:dyDescent="0.4"/>
    <row r="6092" s="5" customFormat="1" x14ac:dyDescent="0.4"/>
    <row r="6093" s="5" customFormat="1" x14ac:dyDescent="0.4"/>
    <row r="6094" s="5" customFormat="1" x14ac:dyDescent="0.4"/>
    <row r="6095" s="5" customFormat="1" x14ac:dyDescent="0.4"/>
    <row r="6096" s="5" customFormat="1" x14ac:dyDescent="0.4"/>
    <row r="6097" s="5" customFormat="1" x14ac:dyDescent="0.4"/>
    <row r="6098" s="5" customFormat="1" x14ac:dyDescent="0.4"/>
    <row r="6099" s="5" customFormat="1" x14ac:dyDescent="0.4"/>
    <row r="6100" s="5" customFormat="1" x14ac:dyDescent="0.4"/>
    <row r="6101" s="5" customFormat="1" x14ac:dyDescent="0.4"/>
    <row r="6102" s="5" customFormat="1" x14ac:dyDescent="0.4"/>
    <row r="6103" s="5" customFormat="1" x14ac:dyDescent="0.4"/>
    <row r="6104" s="5" customFormat="1" x14ac:dyDescent="0.4"/>
    <row r="6105" s="5" customFormat="1" x14ac:dyDescent="0.4"/>
    <row r="6106" s="5" customFormat="1" x14ac:dyDescent="0.4"/>
    <row r="6107" s="5" customFormat="1" x14ac:dyDescent="0.4"/>
    <row r="6108" s="5" customFormat="1" x14ac:dyDescent="0.4"/>
    <row r="6109" s="5" customFormat="1" x14ac:dyDescent="0.4"/>
    <row r="6110" s="5" customFormat="1" x14ac:dyDescent="0.4"/>
    <row r="6111" s="5" customFormat="1" x14ac:dyDescent="0.4"/>
    <row r="6112" s="5" customFormat="1" x14ac:dyDescent="0.4"/>
    <row r="6113" s="5" customFormat="1" x14ac:dyDescent="0.4"/>
    <row r="6114" s="5" customFormat="1" x14ac:dyDescent="0.4"/>
    <row r="6115" s="5" customFormat="1" x14ac:dyDescent="0.4"/>
    <row r="6116" s="5" customFormat="1" x14ac:dyDescent="0.4"/>
    <row r="6117" s="5" customFormat="1" x14ac:dyDescent="0.4"/>
    <row r="6118" s="5" customFormat="1" x14ac:dyDescent="0.4"/>
    <row r="6119" s="5" customFormat="1" x14ac:dyDescent="0.4"/>
    <row r="6120" s="5" customFormat="1" x14ac:dyDescent="0.4"/>
    <row r="6121" s="5" customFormat="1" x14ac:dyDescent="0.4"/>
    <row r="6122" s="5" customFormat="1" x14ac:dyDescent="0.4"/>
    <row r="6123" s="5" customFormat="1" x14ac:dyDescent="0.4"/>
    <row r="6124" s="5" customFormat="1" x14ac:dyDescent="0.4"/>
    <row r="6125" s="5" customFormat="1" x14ac:dyDescent="0.4"/>
    <row r="6126" s="5" customFormat="1" x14ac:dyDescent="0.4"/>
    <row r="6127" s="5" customFormat="1" x14ac:dyDescent="0.4"/>
    <row r="6128" s="5" customFormat="1" x14ac:dyDescent="0.4"/>
    <row r="6129" s="5" customFormat="1" x14ac:dyDescent="0.4"/>
    <row r="6130" s="5" customFormat="1" x14ac:dyDescent="0.4"/>
    <row r="6131" s="5" customFormat="1" x14ac:dyDescent="0.4"/>
    <row r="6132" s="5" customFormat="1" x14ac:dyDescent="0.4"/>
    <row r="6133" s="5" customFormat="1" x14ac:dyDescent="0.4"/>
    <row r="6134" s="5" customFormat="1" x14ac:dyDescent="0.4"/>
    <row r="6135" s="5" customFormat="1" x14ac:dyDescent="0.4"/>
    <row r="6136" s="5" customFormat="1" x14ac:dyDescent="0.4"/>
    <row r="6137" s="5" customFormat="1" x14ac:dyDescent="0.4"/>
    <row r="6138" s="5" customFormat="1" x14ac:dyDescent="0.4"/>
    <row r="6139" s="5" customFormat="1" x14ac:dyDescent="0.4"/>
    <row r="6140" s="5" customFormat="1" x14ac:dyDescent="0.4"/>
    <row r="6141" s="5" customFormat="1" x14ac:dyDescent="0.4"/>
    <row r="6142" s="5" customFormat="1" x14ac:dyDescent="0.4"/>
    <row r="6143" s="5" customFormat="1" x14ac:dyDescent="0.4"/>
    <row r="6144" s="5" customFormat="1" x14ac:dyDescent="0.4"/>
    <row r="6145" s="5" customFormat="1" x14ac:dyDescent="0.4"/>
    <row r="6146" s="5" customFormat="1" x14ac:dyDescent="0.4"/>
    <row r="6147" s="5" customFormat="1" x14ac:dyDescent="0.4"/>
    <row r="6148" s="5" customFormat="1" x14ac:dyDescent="0.4"/>
    <row r="6149" s="5" customFormat="1" x14ac:dyDescent="0.4"/>
    <row r="6150" s="5" customFormat="1" x14ac:dyDescent="0.4"/>
    <row r="6151" s="5" customFormat="1" x14ac:dyDescent="0.4"/>
    <row r="6152" s="5" customFormat="1" x14ac:dyDescent="0.4"/>
    <row r="6153" s="5" customFormat="1" x14ac:dyDescent="0.4"/>
    <row r="6154" s="5" customFormat="1" x14ac:dyDescent="0.4"/>
    <row r="6155" s="5" customFormat="1" x14ac:dyDescent="0.4"/>
    <row r="6156" s="5" customFormat="1" x14ac:dyDescent="0.4"/>
    <row r="6157" s="5" customFormat="1" x14ac:dyDescent="0.4"/>
    <row r="6158" s="5" customFormat="1" x14ac:dyDescent="0.4"/>
    <row r="6159" s="5" customFormat="1" x14ac:dyDescent="0.4"/>
    <row r="6160" s="5" customFormat="1" x14ac:dyDescent="0.4"/>
    <row r="6161" s="5" customFormat="1" x14ac:dyDescent="0.4"/>
    <row r="6162" s="5" customFormat="1" x14ac:dyDescent="0.4"/>
    <row r="6163" s="5" customFormat="1" x14ac:dyDescent="0.4"/>
    <row r="6164" s="5" customFormat="1" x14ac:dyDescent="0.4"/>
    <row r="6165" s="5" customFormat="1" x14ac:dyDescent="0.4"/>
    <row r="6166" s="5" customFormat="1" x14ac:dyDescent="0.4"/>
    <row r="6167" s="5" customFormat="1" x14ac:dyDescent="0.4"/>
    <row r="6168" s="5" customFormat="1" x14ac:dyDescent="0.4"/>
    <row r="6169" s="5" customFormat="1" x14ac:dyDescent="0.4"/>
    <row r="6170" s="5" customFormat="1" x14ac:dyDescent="0.4"/>
    <row r="6171" s="5" customFormat="1" x14ac:dyDescent="0.4"/>
    <row r="6172" s="5" customFormat="1" x14ac:dyDescent="0.4"/>
    <row r="6173" s="5" customFormat="1" x14ac:dyDescent="0.4"/>
    <row r="6174" s="5" customFormat="1" x14ac:dyDescent="0.4"/>
    <row r="6175" s="5" customFormat="1" x14ac:dyDescent="0.4"/>
    <row r="6176" s="5" customFormat="1" x14ac:dyDescent="0.4"/>
    <row r="6177" s="5" customFormat="1" x14ac:dyDescent="0.4"/>
    <row r="6178" s="5" customFormat="1" x14ac:dyDescent="0.4"/>
    <row r="6179" s="5" customFormat="1" x14ac:dyDescent="0.4"/>
    <row r="6180" s="5" customFormat="1" x14ac:dyDescent="0.4"/>
    <row r="6181" s="5" customFormat="1" x14ac:dyDescent="0.4"/>
    <row r="6182" s="5" customFormat="1" x14ac:dyDescent="0.4"/>
    <row r="6183" s="5" customFormat="1" x14ac:dyDescent="0.4"/>
    <row r="6184" s="5" customFormat="1" x14ac:dyDescent="0.4"/>
    <row r="6185" s="5" customFormat="1" x14ac:dyDescent="0.4"/>
    <row r="6186" s="5" customFormat="1" x14ac:dyDescent="0.4"/>
    <row r="6187" s="5" customFormat="1" x14ac:dyDescent="0.4"/>
    <row r="6188" s="5" customFormat="1" x14ac:dyDescent="0.4"/>
    <row r="6189" s="5" customFormat="1" x14ac:dyDescent="0.4"/>
    <row r="6190" s="5" customFormat="1" x14ac:dyDescent="0.4"/>
    <row r="6191" s="5" customFormat="1" x14ac:dyDescent="0.4"/>
    <row r="6192" s="5" customFormat="1" x14ac:dyDescent="0.4"/>
    <row r="6193" s="5" customFormat="1" x14ac:dyDescent="0.4"/>
    <row r="6194" s="5" customFormat="1" x14ac:dyDescent="0.4"/>
    <row r="6195" s="5" customFormat="1" x14ac:dyDescent="0.4"/>
    <row r="6196" s="5" customFormat="1" x14ac:dyDescent="0.4"/>
    <row r="6197" s="5" customFormat="1" x14ac:dyDescent="0.4"/>
    <row r="6198" s="5" customFormat="1" x14ac:dyDescent="0.4"/>
    <row r="6199" s="5" customFormat="1" x14ac:dyDescent="0.4"/>
    <row r="6200" s="5" customFormat="1" x14ac:dyDescent="0.4"/>
    <row r="6201" s="5" customFormat="1" x14ac:dyDescent="0.4"/>
    <row r="6202" s="5" customFormat="1" x14ac:dyDescent="0.4"/>
    <row r="6203" s="5" customFormat="1" x14ac:dyDescent="0.4"/>
    <row r="6204" s="5" customFormat="1" x14ac:dyDescent="0.4"/>
    <row r="6205" s="5" customFormat="1" x14ac:dyDescent="0.4"/>
    <row r="6206" s="5" customFormat="1" x14ac:dyDescent="0.4"/>
    <row r="6207" s="5" customFormat="1" x14ac:dyDescent="0.4"/>
    <row r="6208" s="5" customFormat="1" x14ac:dyDescent="0.4"/>
    <row r="6209" s="5" customFormat="1" x14ac:dyDescent="0.4"/>
    <row r="6210" s="5" customFormat="1" x14ac:dyDescent="0.4"/>
    <row r="6211" s="5" customFormat="1" x14ac:dyDescent="0.4"/>
    <row r="6212" s="5" customFormat="1" x14ac:dyDescent="0.4"/>
    <row r="6213" s="5" customFormat="1" x14ac:dyDescent="0.4"/>
    <row r="6214" s="5" customFormat="1" x14ac:dyDescent="0.4"/>
    <row r="6215" s="5" customFormat="1" x14ac:dyDescent="0.4"/>
    <row r="6216" s="5" customFormat="1" x14ac:dyDescent="0.4"/>
    <row r="6217" s="5" customFormat="1" x14ac:dyDescent="0.4"/>
    <row r="6218" s="5" customFormat="1" x14ac:dyDescent="0.4"/>
    <row r="6219" s="5" customFormat="1" x14ac:dyDescent="0.4"/>
    <row r="6220" s="5" customFormat="1" x14ac:dyDescent="0.4"/>
    <row r="6221" s="5" customFormat="1" x14ac:dyDescent="0.4"/>
    <row r="6222" s="5" customFormat="1" x14ac:dyDescent="0.4"/>
    <row r="6223" s="5" customFormat="1" x14ac:dyDescent="0.4"/>
    <row r="6224" s="5" customFormat="1" x14ac:dyDescent="0.4"/>
    <row r="6225" s="5" customFormat="1" x14ac:dyDescent="0.4"/>
    <row r="6226" s="5" customFormat="1" x14ac:dyDescent="0.4"/>
    <row r="6227" s="5" customFormat="1" x14ac:dyDescent="0.4"/>
    <row r="6228" s="5" customFormat="1" x14ac:dyDescent="0.4"/>
    <row r="6229" s="5" customFormat="1" x14ac:dyDescent="0.4"/>
    <row r="6230" s="5" customFormat="1" x14ac:dyDescent="0.4"/>
    <row r="6231" s="5" customFormat="1" x14ac:dyDescent="0.4"/>
    <row r="6232" s="5" customFormat="1" x14ac:dyDescent="0.4"/>
    <row r="6233" s="5" customFormat="1" x14ac:dyDescent="0.4"/>
    <row r="6234" s="5" customFormat="1" x14ac:dyDescent="0.4"/>
    <row r="6235" s="5" customFormat="1" x14ac:dyDescent="0.4"/>
    <row r="6236" s="5" customFormat="1" x14ac:dyDescent="0.4"/>
    <row r="6237" s="5" customFormat="1" x14ac:dyDescent="0.4"/>
    <row r="6238" s="5" customFormat="1" x14ac:dyDescent="0.4"/>
    <row r="6239" s="5" customFormat="1" x14ac:dyDescent="0.4"/>
    <row r="6240" s="5" customFormat="1" x14ac:dyDescent="0.4"/>
    <row r="6241" s="5" customFormat="1" x14ac:dyDescent="0.4"/>
    <row r="6242" s="5" customFormat="1" x14ac:dyDescent="0.4"/>
    <row r="6243" s="5" customFormat="1" x14ac:dyDescent="0.4"/>
    <row r="6244" s="5" customFormat="1" x14ac:dyDescent="0.4"/>
    <row r="6245" s="5" customFormat="1" x14ac:dyDescent="0.4"/>
    <row r="6246" s="5" customFormat="1" x14ac:dyDescent="0.4"/>
    <row r="6247" s="5" customFormat="1" x14ac:dyDescent="0.4"/>
    <row r="6248" s="5" customFormat="1" x14ac:dyDescent="0.4"/>
    <row r="6249" s="5" customFormat="1" x14ac:dyDescent="0.4"/>
    <row r="6250" s="5" customFormat="1" x14ac:dyDescent="0.4"/>
    <row r="6251" s="5" customFormat="1" x14ac:dyDescent="0.4"/>
    <row r="6252" s="5" customFormat="1" x14ac:dyDescent="0.4"/>
    <row r="6253" s="5" customFormat="1" x14ac:dyDescent="0.4"/>
    <row r="6254" s="5" customFormat="1" x14ac:dyDescent="0.4"/>
    <row r="6255" s="5" customFormat="1" x14ac:dyDescent="0.4"/>
    <row r="6256" s="5" customFormat="1" x14ac:dyDescent="0.4"/>
    <row r="6257" s="5" customFormat="1" x14ac:dyDescent="0.4"/>
    <row r="6258" s="5" customFormat="1" x14ac:dyDescent="0.4"/>
    <row r="6259" s="5" customFormat="1" x14ac:dyDescent="0.4"/>
    <row r="6260" s="5" customFormat="1" x14ac:dyDescent="0.4"/>
    <row r="6261" s="5" customFormat="1" x14ac:dyDescent="0.4"/>
    <row r="6262" s="5" customFormat="1" x14ac:dyDescent="0.4"/>
    <row r="6263" s="5" customFormat="1" x14ac:dyDescent="0.4"/>
    <row r="6264" s="5" customFormat="1" x14ac:dyDescent="0.4"/>
    <row r="6265" s="5" customFormat="1" x14ac:dyDescent="0.4"/>
    <row r="6266" s="5" customFormat="1" x14ac:dyDescent="0.4"/>
    <row r="6267" s="5" customFormat="1" x14ac:dyDescent="0.4"/>
    <row r="6268" s="5" customFormat="1" x14ac:dyDescent="0.4"/>
    <row r="6269" s="5" customFormat="1" x14ac:dyDescent="0.4"/>
    <row r="6270" s="5" customFormat="1" x14ac:dyDescent="0.4"/>
    <row r="6271" s="5" customFormat="1" x14ac:dyDescent="0.4"/>
    <row r="6272" s="5" customFormat="1" x14ac:dyDescent="0.4"/>
    <row r="6273" s="5" customFormat="1" x14ac:dyDescent="0.4"/>
    <row r="6274" s="5" customFormat="1" x14ac:dyDescent="0.4"/>
    <row r="6275" s="5" customFormat="1" x14ac:dyDescent="0.4"/>
    <row r="6276" s="5" customFormat="1" x14ac:dyDescent="0.4"/>
    <row r="6277" s="5" customFormat="1" x14ac:dyDescent="0.4"/>
    <row r="6278" s="5" customFormat="1" x14ac:dyDescent="0.4"/>
    <row r="6279" s="5" customFormat="1" x14ac:dyDescent="0.4"/>
    <row r="6280" s="5" customFormat="1" x14ac:dyDescent="0.4"/>
    <row r="6281" s="5" customFormat="1" x14ac:dyDescent="0.4"/>
    <row r="6282" s="5" customFormat="1" x14ac:dyDescent="0.4"/>
    <row r="6283" s="5" customFormat="1" x14ac:dyDescent="0.4"/>
    <row r="6284" s="5" customFormat="1" x14ac:dyDescent="0.4"/>
    <row r="6285" s="5" customFormat="1" x14ac:dyDescent="0.4"/>
    <row r="6286" s="5" customFormat="1" x14ac:dyDescent="0.4"/>
    <row r="6287" s="5" customFormat="1" x14ac:dyDescent="0.4"/>
    <row r="6288" s="5" customFormat="1" x14ac:dyDescent="0.4"/>
    <row r="6289" s="5" customFormat="1" x14ac:dyDescent="0.4"/>
    <row r="6290" s="5" customFormat="1" x14ac:dyDescent="0.4"/>
    <row r="6291" s="5" customFormat="1" x14ac:dyDescent="0.4"/>
    <row r="6292" s="5" customFormat="1" x14ac:dyDescent="0.4"/>
    <row r="6293" s="5" customFormat="1" x14ac:dyDescent="0.4"/>
    <row r="6294" s="5" customFormat="1" x14ac:dyDescent="0.4"/>
    <row r="6295" s="5" customFormat="1" x14ac:dyDescent="0.4"/>
    <row r="6296" s="5" customFormat="1" x14ac:dyDescent="0.4"/>
    <row r="6297" s="5" customFormat="1" x14ac:dyDescent="0.4"/>
    <row r="6298" s="5" customFormat="1" x14ac:dyDescent="0.4"/>
    <row r="6299" s="5" customFormat="1" x14ac:dyDescent="0.4"/>
    <row r="6300" s="5" customFormat="1" x14ac:dyDescent="0.4"/>
    <row r="6301" s="5" customFormat="1" x14ac:dyDescent="0.4"/>
    <row r="6302" s="5" customFormat="1" x14ac:dyDescent="0.4"/>
    <row r="6303" s="5" customFormat="1" x14ac:dyDescent="0.4"/>
    <row r="6304" s="5" customFormat="1" x14ac:dyDescent="0.4"/>
    <row r="6305" s="5" customFormat="1" x14ac:dyDescent="0.4"/>
    <row r="6306" s="5" customFormat="1" x14ac:dyDescent="0.4"/>
    <row r="6307" s="5" customFormat="1" x14ac:dyDescent="0.4"/>
    <row r="6308" s="5" customFormat="1" x14ac:dyDescent="0.4"/>
    <row r="6309" s="5" customFormat="1" x14ac:dyDescent="0.4"/>
    <row r="6310" s="5" customFormat="1" x14ac:dyDescent="0.4"/>
    <row r="6311" s="5" customFormat="1" x14ac:dyDescent="0.4"/>
    <row r="6312" s="5" customFormat="1" x14ac:dyDescent="0.4"/>
    <row r="6313" s="5" customFormat="1" x14ac:dyDescent="0.4"/>
    <row r="6314" s="5" customFormat="1" x14ac:dyDescent="0.4"/>
    <row r="6315" s="5" customFormat="1" x14ac:dyDescent="0.4"/>
    <row r="6316" s="5" customFormat="1" x14ac:dyDescent="0.4"/>
    <row r="6317" s="5" customFormat="1" x14ac:dyDescent="0.4"/>
    <row r="6318" s="5" customFormat="1" x14ac:dyDescent="0.4"/>
    <row r="6319" s="5" customFormat="1" x14ac:dyDescent="0.4"/>
    <row r="6320" s="5" customFormat="1" x14ac:dyDescent="0.4"/>
    <row r="6321" s="5" customFormat="1" x14ac:dyDescent="0.4"/>
    <row r="6322" s="5" customFormat="1" x14ac:dyDescent="0.4"/>
    <row r="6323" s="5" customFormat="1" x14ac:dyDescent="0.4"/>
    <row r="6324" s="5" customFormat="1" x14ac:dyDescent="0.4"/>
    <row r="6325" s="5" customFormat="1" x14ac:dyDescent="0.4"/>
    <row r="6326" s="5" customFormat="1" x14ac:dyDescent="0.4"/>
    <row r="6327" s="5" customFormat="1" x14ac:dyDescent="0.4"/>
    <row r="6328" s="5" customFormat="1" x14ac:dyDescent="0.4"/>
    <row r="6329" s="5" customFormat="1" x14ac:dyDescent="0.4"/>
    <row r="6330" s="5" customFormat="1" x14ac:dyDescent="0.4"/>
    <row r="6331" s="5" customFormat="1" x14ac:dyDescent="0.4"/>
    <row r="6332" s="5" customFormat="1" x14ac:dyDescent="0.4"/>
    <row r="6333" s="5" customFormat="1" x14ac:dyDescent="0.4"/>
    <row r="6334" s="5" customFormat="1" x14ac:dyDescent="0.4"/>
    <row r="6335" s="5" customFormat="1" x14ac:dyDescent="0.4"/>
    <row r="6336" s="5" customFormat="1" x14ac:dyDescent="0.4"/>
    <row r="6337" s="5" customFormat="1" x14ac:dyDescent="0.4"/>
    <row r="6338" s="5" customFormat="1" x14ac:dyDescent="0.4"/>
    <row r="6339" s="5" customFormat="1" x14ac:dyDescent="0.4"/>
    <row r="6340" s="5" customFormat="1" x14ac:dyDescent="0.4"/>
    <row r="6341" s="5" customFormat="1" x14ac:dyDescent="0.4"/>
    <row r="6342" s="5" customFormat="1" x14ac:dyDescent="0.4"/>
    <row r="6343" s="5" customFormat="1" x14ac:dyDescent="0.4"/>
    <row r="6344" s="5" customFormat="1" x14ac:dyDescent="0.4"/>
    <row r="6345" s="5" customFormat="1" x14ac:dyDescent="0.4"/>
    <row r="6346" s="5" customFormat="1" x14ac:dyDescent="0.4"/>
    <row r="6347" s="5" customFormat="1" x14ac:dyDescent="0.4"/>
    <row r="6348" s="5" customFormat="1" x14ac:dyDescent="0.4"/>
    <row r="6349" s="5" customFormat="1" x14ac:dyDescent="0.4"/>
    <row r="6350" s="5" customFormat="1" x14ac:dyDescent="0.4"/>
    <row r="6351" s="5" customFormat="1" x14ac:dyDescent="0.4"/>
    <row r="6352" s="5" customFormat="1" x14ac:dyDescent="0.4"/>
    <row r="6353" s="5" customFormat="1" x14ac:dyDescent="0.4"/>
    <row r="6354" s="5" customFormat="1" x14ac:dyDescent="0.4"/>
    <row r="6355" s="5" customFormat="1" x14ac:dyDescent="0.4"/>
    <row r="6356" s="5" customFormat="1" x14ac:dyDescent="0.4"/>
    <row r="6357" s="5" customFormat="1" x14ac:dyDescent="0.4"/>
    <row r="6358" s="5" customFormat="1" x14ac:dyDescent="0.4"/>
    <row r="6359" s="5" customFormat="1" x14ac:dyDescent="0.4"/>
    <row r="6360" s="5" customFormat="1" x14ac:dyDescent="0.4"/>
    <row r="6361" s="5" customFormat="1" x14ac:dyDescent="0.4"/>
    <row r="6362" s="5" customFormat="1" x14ac:dyDescent="0.4"/>
    <row r="6363" s="5" customFormat="1" x14ac:dyDescent="0.4"/>
    <row r="6364" s="5" customFormat="1" x14ac:dyDescent="0.4"/>
    <row r="6365" s="5" customFormat="1" x14ac:dyDescent="0.4"/>
    <row r="6366" s="5" customFormat="1" x14ac:dyDescent="0.4"/>
    <row r="6367" s="5" customFormat="1" x14ac:dyDescent="0.4"/>
    <row r="6368" s="5" customFormat="1" x14ac:dyDescent="0.4"/>
    <row r="6369" s="5" customFormat="1" x14ac:dyDescent="0.4"/>
    <row r="6370" s="5" customFormat="1" x14ac:dyDescent="0.4"/>
    <row r="6371" s="5" customFormat="1" x14ac:dyDescent="0.4"/>
    <row r="6372" s="5" customFormat="1" x14ac:dyDescent="0.4"/>
    <row r="6373" s="5" customFormat="1" x14ac:dyDescent="0.4"/>
    <row r="6374" s="5" customFormat="1" x14ac:dyDescent="0.4"/>
    <row r="6375" s="5" customFormat="1" x14ac:dyDescent="0.4"/>
    <row r="6376" s="5" customFormat="1" x14ac:dyDescent="0.4"/>
    <row r="6377" s="5" customFormat="1" x14ac:dyDescent="0.4"/>
    <row r="6378" s="5" customFormat="1" x14ac:dyDescent="0.4"/>
    <row r="6379" s="5" customFormat="1" x14ac:dyDescent="0.4"/>
    <row r="6380" s="5" customFormat="1" x14ac:dyDescent="0.4"/>
    <row r="6381" s="5" customFormat="1" x14ac:dyDescent="0.4"/>
    <row r="6382" s="5" customFormat="1" x14ac:dyDescent="0.4"/>
    <row r="6383" s="5" customFormat="1" x14ac:dyDescent="0.4"/>
    <row r="6384" s="5" customFormat="1" x14ac:dyDescent="0.4"/>
    <row r="6385" s="5" customFormat="1" x14ac:dyDescent="0.4"/>
    <row r="6386" s="5" customFormat="1" x14ac:dyDescent="0.4"/>
    <row r="6387" s="5" customFormat="1" x14ac:dyDescent="0.4"/>
    <row r="6388" s="5" customFormat="1" x14ac:dyDescent="0.4"/>
    <row r="6389" s="5" customFormat="1" x14ac:dyDescent="0.4"/>
    <row r="6390" s="5" customFormat="1" x14ac:dyDescent="0.4"/>
    <row r="6391" s="5" customFormat="1" x14ac:dyDescent="0.4"/>
    <row r="6392" s="5" customFormat="1" x14ac:dyDescent="0.4"/>
    <row r="6393" s="5" customFormat="1" x14ac:dyDescent="0.4"/>
    <row r="6394" s="5" customFormat="1" x14ac:dyDescent="0.4"/>
    <row r="6395" s="5" customFormat="1" x14ac:dyDescent="0.4"/>
    <row r="6396" s="5" customFormat="1" x14ac:dyDescent="0.4"/>
    <row r="6397" s="5" customFormat="1" x14ac:dyDescent="0.4"/>
    <row r="6398" s="5" customFormat="1" x14ac:dyDescent="0.4"/>
    <row r="6399" s="5" customFormat="1" x14ac:dyDescent="0.4"/>
    <row r="6400" s="5" customFormat="1" x14ac:dyDescent="0.4"/>
    <row r="6401" s="5" customFormat="1" x14ac:dyDescent="0.4"/>
    <row r="6402" s="5" customFormat="1" x14ac:dyDescent="0.4"/>
    <row r="6403" s="5" customFormat="1" x14ac:dyDescent="0.4"/>
    <row r="6404" s="5" customFormat="1" x14ac:dyDescent="0.4"/>
    <row r="6405" s="5" customFormat="1" x14ac:dyDescent="0.4"/>
    <row r="6406" s="5" customFormat="1" x14ac:dyDescent="0.4"/>
    <row r="6407" s="5" customFormat="1" x14ac:dyDescent="0.4"/>
    <row r="6408" s="5" customFormat="1" x14ac:dyDescent="0.4"/>
    <row r="6409" s="5" customFormat="1" x14ac:dyDescent="0.4"/>
    <row r="6410" s="5" customFormat="1" x14ac:dyDescent="0.4"/>
    <row r="6411" s="5" customFormat="1" x14ac:dyDescent="0.4"/>
    <row r="6412" s="5" customFormat="1" x14ac:dyDescent="0.4"/>
    <row r="6413" s="5" customFormat="1" x14ac:dyDescent="0.4"/>
    <row r="6414" s="5" customFormat="1" x14ac:dyDescent="0.4"/>
    <row r="6415" s="5" customFormat="1" x14ac:dyDescent="0.4"/>
    <row r="6416" s="5" customFormat="1" x14ac:dyDescent="0.4"/>
    <row r="6417" s="5" customFormat="1" x14ac:dyDescent="0.4"/>
    <row r="6418" s="5" customFormat="1" x14ac:dyDescent="0.4"/>
    <row r="6419" s="5" customFormat="1" x14ac:dyDescent="0.4"/>
    <row r="6420" s="5" customFormat="1" x14ac:dyDescent="0.4"/>
    <row r="6421" s="5" customFormat="1" x14ac:dyDescent="0.4"/>
    <row r="6422" s="5" customFormat="1" x14ac:dyDescent="0.4"/>
    <row r="6423" s="5" customFormat="1" x14ac:dyDescent="0.4"/>
    <row r="6424" s="5" customFormat="1" x14ac:dyDescent="0.4"/>
    <row r="6425" s="5" customFormat="1" x14ac:dyDescent="0.4"/>
    <row r="6426" s="5" customFormat="1" x14ac:dyDescent="0.4"/>
    <row r="6427" s="5" customFormat="1" x14ac:dyDescent="0.4"/>
    <row r="6428" s="5" customFormat="1" x14ac:dyDescent="0.4"/>
    <row r="6429" s="5" customFormat="1" x14ac:dyDescent="0.4"/>
    <row r="6430" s="5" customFormat="1" x14ac:dyDescent="0.4"/>
    <row r="6431" s="5" customFormat="1" x14ac:dyDescent="0.4"/>
    <row r="6432" s="5" customFormat="1" x14ac:dyDescent="0.4"/>
    <row r="6433" s="5" customFormat="1" x14ac:dyDescent="0.4"/>
    <row r="6434" s="5" customFormat="1" x14ac:dyDescent="0.4"/>
    <row r="6435" s="5" customFormat="1" x14ac:dyDescent="0.4"/>
    <row r="6436" s="5" customFormat="1" x14ac:dyDescent="0.4"/>
    <row r="6437" s="5" customFormat="1" x14ac:dyDescent="0.4"/>
    <row r="6438" s="5" customFormat="1" x14ac:dyDescent="0.4"/>
    <row r="6439" s="5" customFormat="1" x14ac:dyDescent="0.4"/>
    <row r="6440" s="5" customFormat="1" x14ac:dyDescent="0.4"/>
    <row r="6441" s="5" customFormat="1" x14ac:dyDescent="0.4"/>
    <row r="6442" s="5" customFormat="1" x14ac:dyDescent="0.4"/>
    <row r="6443" s="5" customFormat="1" x14ac:dyDescent="0.4"/>
    <row r="6444" s="5" customFormat="1" x14ac:dyDescent="0.4"/>
    <row r="6445" s="5" customFormat="1" x14ac:dyDescent="0.4"/>
    <row r="6446" s="5" customFormat="1" x14ac:dyDescent="0.4"/>
    <row r="6447" s="5" customFormat="1" x14ac:dyDescent="0.4"/>
    <row r="6448" s="5" customFormat="1" x14ac:dyDescent="0.4"/>
    <row r="6449" s="5" customFormat="1" x14ac:dyDescent="0.4"/>
    <row r="6450" s="5" customFormat="1" x14ac:dyDescent="0.4"/>
    <row r="6451" s="5" customFormat="1" x14ac:dyDescent="0.4"/>
    <row r="6452" s="5" customFormat="1" x14ac:dyDescent="0.4"/>
    <row r="6453" s="5" customFormat="1" x14ac:dyDescent="0.4"/>
    <row r="6454" s="5" customFormat="1" x14ac:dyDescent="0.4"/>
    <row r="6455" s="5" customFormat="1" x14ac:dyDescent="0.4"/>
    <row r="6456" s="5" customFormat="1" x14ac:dyDescent="0.4"/>
    <row r="6457" s="5" customFormat="1" x14ac:dyDescent="0.4"/>
    <row r="6458" s="5" customFormat="1" x14ac:dyDescent="0.4"/>
    <row r="6459" s="5" customFormat="1" x14ac:dyDescent="0.4"/>
    <row r="6460" s="5" customFormat="1" x14ac:dyDescent="0.4"/>
    <row r="6461" s="5" customFormat="1" x14ac:dyDescent="0.4"/>
    <row r="6462" s="5" customFormat="1" x14ac:dyDescent="0.4"/>
    <row r="6463" s="5" customFormat="1" x14ac:dyDescent="0.4"/>
    <row r="6464" s="5" customFormat="1" x14ac:dyDescent="0.4"/>
    <row r="6465" s="5" customFormat="1" x14ac:dyDescent="0.4"/>
    <row r="6466" s="5" customFormat="1" x14ac:dyDescent="0.4"/>
    <row r="6467" s="5" customFormat="1" x14ac:dyDescent="0.4"/>
    <row r="6468" s="5" customFormat="1" x14ac:dyDescent="0.4"/>
    <row r="6469" s="5" customFormat="1" x14ac:dyDescent="0.4"/>
    <row r="6470" s="5" customFormat="1" x14ac:dyDescent="0.4"/>
    <row r="6471" s="5" customFormat="1" x14ac:dyDescent="0.4"/>
    <row r="6472" s="5" customFormat="1" x14ac:dyDescent="0.4"/>
    <row r="6473" s="5" customFormat="1" x14ac:dyDescent="0.4"/>
    <row r="6474" s="5" customFormat="1" x14ac:dyDescent="0.4"/>
    <row r="6475" s="5" customFormat="1" x14ac:dyDescent="0.4"/>
    <row r="6476" s="5" customFormat="1" x14ac:dyDescent="0.4"/>
    <row r="6477" s="5" customFormat="1" x14ac:dyDescent="0.4"/>
    <row r="6478" s="5" customFormat="1" x14ac:dyDescent="0.4"/>
    <row r="6479" s="5" customFormat="1" x14ac:dyDescent="0.4"/>
    <row r="6480" s="5" customFormat="1" x14ac:dyDescent="0.4"/>
    <row r="6481" s="5" customFormat="1" x14ac:dyDescent="0.4"/>
    <row r="6482" s="5" customFormat="1" x14ac:dyDescent="0.4"/>
    <row r="6483" s="5" customFormat="1" x14ac:dyDescent="0.4"/>
    <row r="6484" s="5" customFormat="1" x14ac:dyDescent="0.4"/>
    <row r="6485" s="5" customFormat="1" x14ac:dyDescent="0.4"/>
    <row r="6486" s="5" customFormat="1" x14ac:dyDescent="0.4"/>
    <row r="6487" s="5" customFormat="1" x14ac:dyDescent="0.4"/>
    <row r="6488" s="5" customFormat="1" x14ac:dyDescent="0.4"/>
    <row r="6489" s="5" customFormat="1" x14ac:dyDescent="0.4"/>
    <row r="6490" s="5" customFormat="1" x14ac:dyDescent="0.4"/>
    <row r="6491" s="5" customFormat="1" x14ac:dyDescent="0.4"/>
    <row r="6492" s="5" customFormat="1" x14ac:dyDescent="0.4"/>
    <row r="6493" s="5" customFormat="1" x14ac:dyDescent="0.4"/>
    <row r="6494" s="5" customFormat="1" x14ac:dyDescent="0.4"/>
    <row r="6495" s="5" customFormat="1" x14ac:dyDescent="0.4"/>
    <row r="6496" s="5" customFormat="1" x14ac:dyDescent="0.4"/>
    <row r="6497" s="5" customFormat="1" x14ac:dyDescent="0.4"/>
    <row r="6498" s="5" customFormat="1" x14ac:dyDescent="0.4"/>
    <row r="6499" s="5" customFormat="1" x14ac:dyDescent="0.4"/>
    <row r="6500" s="5" customFormat="1" x14ac:dyDescent="0.4"/>
    <row r="6501" s="5" customFormat="1" x14ac:dyDescent="0.4"/>
    <row r="6502" s="5" customFormat="1" x14ac:dyDescent="0.4"/>
    <row r="6503" s="5" customFormat="1" x14ac:dyDescent="0.4"/>
    <row r="6504" s="5" customFormat="1" x14ac:dyDescent="0.4"/>
    <row r="6505" s="5" customFormat="1" x14ac:dyDescent="0.4"/>
    <row r="6506" s="5" customFormat="1" x14ac:dyDescent="0.4"/>
    <row r="6507" s="5" customFormat="1" x14ac:dyDescent="0.4"/>
    <row r="6508" s="5" customFormat="1" x14ac:dyDescent="0.4"/>
    <row r="6509" s="5" customFormat="1" x14ac:dyDescent="0.4"/>
    <row r="6510" s="5" customFormat="1" x14ac:dyDescent="0.4"/>
    <row r="6511" s="5" customFormat="1" x14ac:dyDescent="0.4"/>
    <row r="6512" s="5" customFormat="1" x14ac:dyDescent="0.4"/>
    <row r="6513" s="5" customFormat="1" x14ac:dyDescent="0.4"/>
    <row r="6514" s="5" customFormat="1" x14ac:dyDescent="0.4"/>
    <row r="6515" s="5" customFormat="1" x14ac:dyDescent="0.4"/>
    <row r="6516" s="5" customFormat="1" x14ac:dyDescent="0.4"/>
    <row r="6517" s="5" customFormat="1" x14ac:dyDescent="0.4"/>
    <row r="6518" s="5" customFormat="1" x14ac:dyDescent="0.4"/>
    <row r="6519" s="5" customFormat="1" x14ac:dyDescent="0.4"/>
    <row r="6520" s="5" customFormat="1" x14ac:dyDescent="0.4"/>
    <row r="6521" s="5" customFormat="1" x14ac:dyDescent="0.4"/>
    <row r="6522" s="5" customFormat="1" x14ac:dyDescent="0.4"/>
    <row r="6523" s="5" customFormat="1" x14ac:dyDescent="0.4"/>
    <row r="6524" s="5" customFormat="1" x14ac:dyDescent="0.4"/>
    <row r="6525" s="5" customFormat="1" x14ac:dyDescent="0.4"/>
    <row r="6526" s="5" customFormat="1" x14ac:dyDescent="0.4"/>
    <row r="6527" s="5" customFormat="1" x14ac:dyDescent="0.4"/>
    <row r="6528" s="5" customFormat="1" x14ac:dyDescent="0.4"/>
    <row r="6529" s="5" customFormat="1" x14ac:dyDescent="0.4"/>
    <row r="6530" s="5" customFormat="1" x14ac:dyDescent="0.4"/>
    <row r="6531" s="5" customFormat="1" x14ac:dyDescent="0.4"/>
    <row r="6532" s="5" customFormat="1" x14ac:dyDescent="0.4"/>
    <row r="6533" s="5" customFormat="1" x14ac:dyDescent="0.4"/>
    <row r="6534" s="5" customFormat="1" x14ac:dyDescent="0.4"/>
    <row r="6535" s="5" customFormat="1" x14ac:dyDescent="0.4"/>
    <row r="6536" s="5" customFormat="1" x14ac:dyDescent="0.4"/>
    <row r="6537" s="5" customFormat="1" x14ac:dyDescent="0.4"/>
    <row r="6538" s="5" customFormat="1" x14ac:dyDescent="0.4"/>
    <row r="6539" s="5" customFormat="1" x14ac:dyDescent="0.4"/>
    <row r="6540" s="5" customFormat="1" x14ac:dyDescent="0.4"/>
    <row r="6541" s="5" customFormat="1" x14ac:dyDescent="0.4"/>
    <row r="6542" s="5" customFormat="1" x14ac:dyDescent="0.4"/>
    <row r="6543" s="5" customFormat="1" x14ac:dyDescent="0.4"/>
    <row r="6544" s="5" customFormat="1" x14ac:dyDescent="0.4"/>
    <row r="6545" s="5" customFormat="1" x14ac:dyDescent="0.4"/>
    <row r="6546" s="5" customFormat="1" x14ac:dyDescent="0.4"/>
    <row r="6547" s="5" customFormat="1" x14ac:dyDescent="0.4"/>
    <row r="6548" s="5" customFormat="1" x14ac:dyDescent="0.4"/>
    <row r="6549" s="5" customFormat="1" x14ac:dyDescent="0.4"/>
    <row r="6550" s="5" customFormat="1" x14ac:dyDescent="0.4"/>
    <row r="6551" s="5" customFormat="1" x14ac:dyDescent="0.4"/>
    <row r="6552" s="5" customFormat="1" x14ac:dyDescent="0.4"/>
    <row r="6553" s="5" customFormat="1" x14ac:dyDescent="0.4"/>
    <row r="6554" s="5" customFormat="1" x14ac:dyDescent="0.4"/>
    <row r="6555" s="5" customFormat="1" x14ac:dyDescent="0.4"/>
    <row r="6556" s="5" customFormat="1" x14ac:dyDescent="0.4"/>
    <row r="6557" s="5" customFormat="1" x14ac:dyDescent="0.4"/>
    <row r="6558" s="5" customFormat="1" x14ac:dyDescent="0.4"/>
    <row r="6559" s="5" customFormat="1" x14ac:dyDescent="0.4"/>
    <row r="6560" s="5" customFormat="1" x14ac:dyDescent="0.4"/>
    <row r="6561" s="5" customFormat="1" x14ac:dyDescent="0.4"/>
    <row r="6562" s="5" customFormat="1" x14ac:dyDescent="0.4"/>
    <row r="6563" s="5" customFormat="1" x14ac:dyDescent="0.4"/>
    <row r="6564" s="5" customFormat="1" x14ac:dyDescent="0.4"/>
    <row r="6565" s="5" customFormat="1" x14ac:dyDescent="0.4"/>
    <row r="6566" s="5" customFormat="1" x14ac:dyDescent="0.4"/>
    <row r="6567" s="5" customFormat="1" x14ac:dyDescent="0.4"/>
    <row r="6568" s="5" customFormat="1" x14ac:dyDescent="0.4"/>
    <row r="6569" s="5" customFormat="1" x14ac:dyDescent="0.4"/>
    <row r="6570" s="5" customFormat="1" x14ac:dyDescent="0.4"/>
    <row r="6571" s="5" customFormat="1" x14ac:dyDescent="0.4"/>
    <row r="6572" s="5" customFormat="1" x14ac:dyDescent="0.4"/>
    <row r="6573" s="5" customFormat="1" x14ac:dyDescent="0.4"/>
    <row r="6574" s="5" customFormat="1" x14ac:dyDescent="0.4"/>
    <row r="6575" s="5" customFormat="1" x14ac:dyDescent="0.4"/>
    <row r="6576" s="5" customFormat="1" x14ac:dyDescent="0.4"/>
    <row r="6577" s="5" customFormat="1" x14ac:dyDescent="0.4"/>
    <row r="6578" s="5" customFormat="1" x14ac:dyDescent="0.4"/>
    <row r="6579" s="5" customFormat="1" x14ac:dyDescent="0.4"/>
    <row r="6580" s="5" customFormat="1" x14ac:dyDescent="0.4"/>
    <row r="6581" s="5" customFormat="1" x14ac:dyDescent="0.4"/>
    <row r="6582" s="5" customFormat="1" x14ac:dyDescent="0.4"/>
    <row r="6583" s="5" customFormat="1" x14ac:dyDescent="0.4"/>
    <row r="6584" s="5" customFormat="1" x14ac:dyDescent="0.4"/>
    <row r="6585" s="5" customFormat="1" x14ac:dyDescent="0.4"/>
    <row r="6586" s="5" customFormat="1" x14ac:dyDescent="0.4"/>
    <row r="6587" s="5" customFormat="1" x14ac:dyDescent="0.4"/>
    <row r="6588" s="5" customFormat="1" x14ac:dyDescent="0.4"/>
    <row r="6589" s="5" customFormat="1" x14ac:dyDescent="0.4"/>
    <row r="6590" s="5" customFormat="1" x14ac:dyDescent="0.4"/>
    <row r="6591" s="5" customFormat="1" x14ac:dyDescent="0.4"/>
    <row r="6592" s="5" customFormat="1" x14ac:dyDescent="0.4"/>
    <row r="6593" s="5" customFormat="1" x14ac:dyDescent="0.4"/>
    <row r="6594" s="5" customFormat="1" x14ac:dyDescent="0.4"/>
    <row r="6595" s="5" customFormat="1" x14ac:dyDescent="0.4"/>
    <row r="6596" s="5" customFormat="1" x14ac:dyDescent="0.4"/>
    <row r="6597" s="5" customFormat="1" x14ac:dyDescent="0.4"/>
    <row r="6598" s="5" customFormat="1" x14ac:dyDescent="0.4"/>
    <row r="6599" s="5" customFormat="1" x14ac:dyDescent="0.4"/>
    <row r="6600" s="5" customFormat="1" x14ac:dyDescent="0.4"/>
    <row r="6601" s="5" customFormat="1" x14ac:dyDescent="0.4"/>
    <row r="6602" s="5" customFormat="1" x14ac:dyDescent="0.4"/>
    <row r="6603" s="5" customFormat="1" x14ac:dyDescent="0.4"/>
    <row r="6604" s="5" customFormat="1" x14ac:dyDescent="0.4"/>
    <row r="6605" s="5" customFormat="1" x14ac:dyDescent="0.4"/>
    <row r="6606" s="5" customFormat="1" x14ac:dyDescent="0.4"/>
    <row r="6607" s="5" customFormat="1" x14ac:dyDescent="0.4"/>
    <row r="6608" s="5" customFormat="1" x14ac:dyDescent="0.4"/>
    <row r="6609" s="5" customFormat="1" x14ac:dyDescent="0.4"/>
    <row r="6610" s="5" customFormat="1" x14ac:dyDescent="0.4"/>
    <row r="6611" s="5" customFormat="1" x14ac:dyDescent="0.4"/>
    <row r="6612" s="5" customFormat="1" x14ac:dyDescent="0.4"/>
    <row r="6613" s="5" customFormat="1" x14ac:dyDescent="0.4"/>
    <row r="6614" s="5" customFormat="1" x14ac:dyDescent="0.4"/>
    <row r="6615" s="5" customFormat="1" x14ac:dyDescent="0.4"/>
    <row r="6616" s="5" customFormat="1" x14ac:dyDescent="0.4"/>
    <row r="6617" s="5" customFormat="1" x14ac:dyDescent="0.4"/>
    <row r="6618" s="5" customFormat="1" x14ac:dyDescent="0.4"/>
    <row r="6619" s="5" customFormat="1" x14ac:dyDescent="0.4"/>
    <row r="6620" s="5" customFormat="1" x14ac:dyDescent="0.4"/>
    <row r="6621" s="5" customFormat="1" x14ac:dyDescent="0.4"/>
    <row r="6622" s="5" customFormat="1" x14ac:dyDescent="0.4"/>
    <row r="6623" s="5" customFormat="1" x14ac:dyDescent="0.4"/>
    <row r="6624" s="5" customFormat="1" x14ac:dyDescent="0.4"/>
    <row r="6625" s="5" customFormat="1" x14ac:dyDescent="0.4"/>
    <row r="6626" s="5" customFormat="1" x14ac:dyDescent="0.4"/>
    <row r="6627" s="5" customFormat="1" x14ac:dyDescent="0.4"/>
    <row r="6628" s="5" customFormat="1" x14ac:dyDescent="0.4"/>
    <row r="6629" s="5" customFormat="1" x14ac:dyDescent="0.4"/>
    <row r="6630" s="5" customFormat="1" x14ac:dyDescent="0.4"/>
    <row r="6631" s="5" customFormat="1" x14ac:dyDescent="0.4"/>
    <row r="6632" s="5" customFormat="1" x14ac:dyDescent="0.4"/>
    <row r="6633" s="5" customFormat="1" x14ac:dyDescent="0.4"/>
    <row r="6634" s="5" customFormat="1" x14ac:dyDescent="0.4"/>
    <row r="6635" s="5" customFormat="1" x14ac:dyDescent="0.4"/>
    <row r="6636" s="5" customFormat="1" x14ac:dyDescent="0.4"/>
    <row r="6637" s="5" customFormat="1" x14ac:dyDescent="0.4"/>
    <row r="6638" s="5" customFormat="1" x14ac:dyDescent="0.4"/>
    <row r="6639" s="5" customFormat="1" x14ac:dyDescent="0.4"/>
    <row r="6640" s="5" customFormat="1" x14ac:dyDescent="0.4"/>
    <row r="6641" s="5" customFormat="1" x14ac:dyDescent="0.4"/>
    <row r="6642" s="5" customFormat="1" x14ac:dyDescent="0.4"/>
    <row r="6643" s="5" customFormat="1" x14ac:dyDescent="0.4"/>
    <row r="6644" s="5" customFormat="1" x14ac:dyDescent="0.4"/>
    <row r="6645" s="5" customFormat="1" x14ac:dyDescent="0.4"/>
    <row r="6646" s="5" customFormat="1" x14ac:dyDescent="0.4"/>
    <row r="6647" s="5" customFormat="1" x14ac:dyDescent="0.4"/>
    <row r="6648" s="5" customFormat="1" x14ac:dyDescent="0.4"/>
    <row r="6649" s="5" customFormat="1" x14ac:dyDescent="0.4"/>
    <row r="6650" s="5" customFormat="1" x14ac:dyDescent="0.4"/>
    <row r="6651" s="5" customFormat="1" x14ac:dyDescent="0.4"/>
    <row r="6652" s="5" customFormat="1" x14ac:dyDescent="0.4"/>
    <row r="6653" s="5" customFormat="1" x14ac:dyDescent="0.4"/>
    <row r="6654" s="5" customFormat="1" x14ac:dyDescent="0.4"/>
    <row r="6655" s="5" customFormat="1" x14ac:dyDescent="0.4"/>
    <row r="6656" s="5" customFormat="1" x14ac:dyDescent="0.4"/>
    <row r="6657" s="5" customFormat="1" x14ac:dyDescent="0.4"/>
    <row r="6658" s="5" customFormat="1" x14ac:dyDescent="0.4"/>
    <row r="6659" s="5" customFormat="1" x14ac:dyDescent="0.4"/>
    <row r="6660" s="5" customFormat="1" x14ac:dyDescent="0.4"/>
    <row r="6661" s="5" customFormat="1" x14ac:dyDescent="0.4"/>
    <row r="6662" s="5" customFormat="1" x14ac:dyDescent="0.4"/>
    <row r="6663" s="5" customFormat="1" x14ac:dyDescent="0.4"/>
    <row r="6664" s="5" customFormat="1" x14ac:dyDescent="0.4"/>
    <row r="6665" s="5" customFormat="1" x14ac:dyDescent="0.4"/>
    <row r="6666" s="5" customFormat="1" x14ac:dyDescent="0.4"/>
    <row r="6667" s="5" customFormat="1" x14ac:dyDescent="0.4"/>
    <row r="6668" s="5" customFormat="1" x14ac:dyDescent="0.4"/>
    <row r="6669" s="5" customFormat="1" x14ac:dyDescent="0.4"/>
    <row r="6670" s="5" customFormat="1" x14ac:dyDescent="0.4"/>
    <row r="6671" s="5" customFormat="1" x14ac:dyDescent="0.4"/>
    <row r="6672" s="5" customFormat="1" x14ac:dyDescent="0.4"/>
    <row r="6673" s="5" customFormat="1" x14ac:dyDescent="0.4"/>
    <row r="6674" s="5" customFormat="1" x14ac:dyDescent="0.4"/>
    <row r="6675" s="5" customFormat="1" x14ac:dyDescent="0.4"/>
    <row r="6676" s="5" customFormat="1" x14ac:dyDescent="0.4"/>
    <row r="6677" s="5" customFormat="1" x14ac:dyDescent="0.4"/>
    <row r="6678" s="5" customFormat="1" x14ac:dyDescent="0.4"/>
    <row r="6679" s="5" customFormat="1" x14ac:dyDescent="0.4"/>
    <row r="6680" s="5" customFormat="1" x14ac:dyDescent="0.4"/>
    <row r="6681" s="5" customFormat="1" x14ac:dyDescent="0.4"/>
    <row r="6682" s="5" customFormat="1" x14ac:dyDescent="0.4"/>
    <row r="6683" s="5" customFormat="1" x14ac:dyDescent="0.4"/>
    <row r="6684" s="5" customFormat="1" x14ac:dyDescent="0.4"/>
    <row r="6685" s="5" customFormat="1" x14ac:dyDescent="0.4"/>
    <row r="6686" s="5" customFormat="1" x14ac:dyDescent="0.4"/>
    <row r="6687" s="5" customFormat="1" x14ac:dyDescent="0.4"/>
    <row r="6688" s="5" customFormat="1" x14ac:dyDescent="0.4"/>
    <row r="6689" s="5" customFormat="1" x14ac:dyDescent="0.4"/>
    <row r="6690" s="5" customFormat="1" x14ac:dyDescent="0.4"/>
    <row r="6691" s="5" customFormat="1" x14ac:dyDescent="0.4"/>
    <row r="6692" s="5" customFormat="1" x14ac:dyDescent="0.4"/>
    <row r="6693" s="5" customFormat="1" x14ac:dyDescent="0.4"/>
    <row r="6694" s="5" customFormat="1" x14ac:dyDescent="0.4"/>
    <row r="6695" s="5" customFormat="1" x14ac:dyDescent="0.4"/>
    <row r="6696" s="5" customFormat="1" x14ac:dyDescent="0.4"/>
    <row r="6697" s="5" customFormat="1" x14ac:dyDescent="0.4"/>
    <row r="6698" s="5" customFormat="1" x14ac:dyDescent="0.4"/>
    <row r="6699" s="5" customFormat="1" x14ac:dyDescent="0.4"/>
    <row r="6700" s="5" customFormat="1" x14ac:dyDescent="0.4"/>
    <row r="6701" s="5" customFormat="1" x14ac:dyDescent="0.4"/>
    <row r="6702" s="5" customFormat="1" x14ac:dyDescent="0.4"/>
    <row r="6703" s="5" customFormat="1" x14ac:dyDescent="0.4"/>
    <row r="6704" s="5" customFormat="1" x14ac:dyDescent="0.4"/>
    <row r="6705" s="5" customFormat="1" x14ac:dyDescent="0.4"/>
    <row r="6706" s="5" customFormat="1" x14ac:dyDescent="0.4"/>
    <row r="6707" s="5" customFormat="1" x14ac:dyDescent="0.4"/>
    <row r="6708" s="5" customFormat="1" x14ac:dyDescent="0.4"/>
    <row r="6709" s="5" customFormat="1" x14ac:dyDescent="0.4"/>
    <row r="6710" s="5" customFormat="1" x14ac:dyDescent="0.4"/>
    <row r="6711" s="5" customFormat="1" x14ac:dyDescent="0.4"/>
    <row r="6712" s="5" customFormat="1" x14ac:dyDescent="0.4"/>
    <row r="6713" s="5" customFormat="1" x14ac:dyDescent="0.4"/>
    <row r="6714" s="5" customFormat="1" x14ac:dyDescent="0.4"/>
    <row r="6715" s="5" customFormat="1" x14ac:dyDescent="0.4"/>
    <row r="6716" s="5" customFormat="1" x14ac:dyDescent="0.4"/>
    <row r="6717" s="5" customFormat="1" x14ac:dyDescent="0.4"/>
    <row r="6718" s="5" customFormat="1" x14ac:dyDescent="0.4"/>
    <row r="6719" s="5" customFormat="1" x14ac:dyDescent="0.4"/>
    <row r="6720" s="5" customFormat="1" x14ac:dyDescent="0.4"/>
    <row r="6721" s="5" customFormat="1" x14ac:dyDescent="0.4"/>
    <row r="6722" s="5" customFormat="1" x14ac:dyDescent="0.4"/>
    <row r="6723" s="5" customFormat="1" x14ac:dyDescent="0.4"/>
    <row r="6724" s="5" customFormat="1" x14ac:dyDescent="0.4"/>
    <row r="6725" s="5" customFormat="1" x14ac:dyDescent="0.4"/>
    <row r="6726" s="5" customFormat="1" x14ac:dyDescent="0.4"/>
    <row r="6727" s="5" customFormat="1" x14ac:dyDescent="0.4"/>
    <row r="6728" s="5" customFormat="1" x14ac:dyDescent="0.4"/>
    <row r="6729" s="5" customFormat="1" x14ac:dyDescent="0.4"/>
    <row r="6730" s="5" customFormat="1" x14ac:dyDescent="0.4"/>
    <row r="6731" s="5" customFormat="1" x14ac:dyDescent="0.4"/>
    <row r="6732" s="5" customFormat="1" x14ac:dyDescent="0.4"/>
    <row r="6733" s="5" customFormat="1" x14ac:dyDescent="0.4"/>
    <row r="6734" s="5" customFormat="1" x14ac:dyDescent="0.4"/>
    <row r="6735" s="5" customFormat="1" x14ac:dyDescent="0.4"/>
    <row r="6736" s="5" customFormat="1" x14ac:dyDescent="0.4"/>
    <row r="6737" s="5" customFormat="1" x14ac:dyDescent="0.4"/>
    <row r="6738" s="5" customFormat="1" x14ac:dyDescent="0.4"/>
    <row r="6739" s="5" customFormat="1" x14ac:dyDescent="0.4"/>
    <row r="6740" s="5" customFormat="1" x14ac:dyDescent="0.4"/>
    <row r="6741" s="5" customFormat="1" x14ac:dyDescent="0.4"/>
    <row r="6742" s="5" customFormat="1" x14ac:dyDescent="0.4"/>
    <row r="6743" s="5" customFormat="1" x14ac:dyDescent="0.4"/>
    <row r="6744" s="5" customFormat="1" x14ac:dyDescent="0.4"/>
    <row r="6745" s="5" customFormat="1" x14ac:dyDescent="0.4"/>
    <row r="6746" s="5" customFormat="1" x14ac:dyDescent="0.4"/>
    <row r="6747" s="5" customFormat="1" x14ac:dyDescent="0.4"/>
    <row r="6748" s="5" customFormat="1" x14ac:dyDescent="0.4"/>
    <row r="6749" s="5" customFormat="1" x14ac:dyDescent="0.4"/>
    <row r="6750" s="5" customFormat="1" x14ac:dyDescent="0.4"/>
    <row r="6751" s="5" customFormat="1" x14ac:dyDescent="0.4"/>
    <row r="6752" s="5" customFormat="1" x14ac:dyDescent="0.4"/>
    <row r="6753" s="5" customFormat="1" x14ac:dyDescent="0.4"/>
    <row r="6754" s="5" customFormat="1" x14ac:dyDescent="0.4"/>
    <row r="6755" s="5" customFormat="1" x14ac:dyDescent="0.4"/>
    <row r="6756" s="5" customFormat="1" x14ac:dyDescent="0.4"/>
    <row r="6757" s="5" customFormat="1" x14ac:dyDescent="0.4"/>
    <row r="6758" s="5" customFormat="1" x14ac:dyDescent="0.4"/>
    <row r="6759" s="5" customFormat="1" x14ac:dyDescent="0.4"/>
    <row r="6760" s="5" customFormat="1" x14ac:dyDescent="0.4"/>
    <row r="6761" s="5" customFormat="1" x14ac:dyDescent="0.4"/>
    <row r="6762" s="5" customFormat="1" x14ac:dyDescent="0.4"/>
    <row r="6763" s="5" customFormat="1" x14ac:dyDescent="0.4"/>
    <row r="6764" s="5" customFormat="1" x14ac:dyDescent="0.4"/>
    <row r="6765" s="5" customFormat="1" x14ac:dyDescent="0.4"/>
    <row r="6766" s="5" customFormat="1" x14ac:dyDescent="0.4"/>
    <row r="6767" s="5" customFormat="1" x14ac:dyDescent="0.4"/>
    <row r="6768" s="5" customFormat="1" x14ac:dyDescent="0.4"/>
    <row r="6769" s="5" customFormat="1" x14ac:dyDescent="0.4"/>
    <row r="6770" s="5" customFormat="1" x14ac:dyDescent="0.4"/>
    <row r="6771" s="5" customFormat="1" x14ac:dyDescent="0.4"/>
    <row r="6772" s="5" customFormat="1" x14ac:dyDescent="0.4"/>
    <row r="6773" s="5" customFormat="1" x14ac:dyDescent="0.4"/>
    <row r="6774" s="5" customFormat="1" x14ac:dyDescent="0.4"/>
    <row r="6775" s="5" customFormat="1" x14ac:dyDescent="0.4"/>
    <row r="6776" s="5" customFormat="1" x14ac:dyDescent="0.4"/>
    <row r="6777" s="5" customFormat="1" x14ac:dyDescent="0.4"/>
    <row r="6778" s="5" customFormat="1" x14ac:dyDescent="0.4"/>
    <row r="6779" s="5" customFormat="1" x14ac:dyDescent="0.4"/>
    <row r="6780" s="5" customFormat="1" x14ac:dyDescent="0.4"/>
    <row r="6781" s="5" customFormat="1" x14ac:dyDescent="0.4"/>
    <row r="6782" s="5" customFormat="1" x14ac:dyDescent="0.4"/>
    <row r="6783" s="5" customFormat="1" x14ac:dyDescent="0.4"/>
    <row r="6784" s="5" customFormat="1" x14ac:dyDescent="0.4"/>
    <row r="6785" s="5" customFormat="1" x14ac:dyDescent="0.4"/>
    <row r="6786" s="5" customFormat="1" x14ac:dyDescent="0.4"/>
    <row r="6787" s="5" customFormat="1" x14ac:dyDescent="0.4"/>
    <row r="6788" s="5" customFormat="1" x14ac:dyDescent="0.4"/>
    <row r="6789" s="5" customFormat="1" x14ac:dyDescent="0.4"/>
    <row r="6790" s="5" customFormat="1" x14ac:dyDescent="0.4"/>
    <row r="6791" s="5" customFormat="1" x14ac:dyDescent="0.4"/>
    <row r="6792" s="5" customFormat="1" x14ac:dyDescent="0.4"/>
    <row r="6793" s="5" customFormat="1" x14ac:dyDescent="0.4"/>
    <row r="6794" s="5" customFormat="1" x14ac:dyDescent="0.4"/>
    <row r="6795" s="5" customFormat="1" x14ac:dyDescent="0.4"/>
    <row r="6796" s="5" customFormat="1" x14ac:dyDescent="0.4"/>
    <row r="6797" s="5" customFormat="1" x14ac:dyDescent="0.4"/>
    <row r="6798" s="5" customFormat="1" x14ac:dyDescent="0.4"/>
    <row r="6799" s="5" customFormat="1" x14ac:dyDescent="0.4"/>
    <row r="6800" s="5" customFormat="1" x14ac:dyDescent="0.4"/>
    <row r="6801" s="5" customFormat="1" x14ac:dyDescent="0.4"/>
    <row r="6802" s="5" customFormat="1" x14ac:dyDescent="0.4"/>
    <row r="6803" s="5" customFormat="1" x14ac:dyDescent="0.4"/>
    <row r="6804" s="5" customFormat="1" x14ac:dyDescent="0.4"/>
    <row r="6805" s="5" customFormat="1" x14ac:dyDescent="0.4"/>
    <row r="6806" s="5" customFormat="1" x14ac:dyDescent="0.4"/>
    <row r="6807" s="5" customFormat="1" x14ac:dyDescent="0.4"/>
    <row r="6808" s="5" customFormat="1" x14ac:dyDescent="0.4"/>
    <row r="6809" s="5" customFormat="1" x14ac:dyDescent="0.4"/>
    <row r="6810" s="5" customFormat="1" x14ac:dyDescent="0.4"/>
    <row r="6811" s="5" customFormat="1" x14ac:dyDescent="0.4"/>
    <row r="6812" s="5" customFormat="1" x14ac:dyDescent="0.4"/>
    <row r="6813" s="5" customFormat="1" x14ac:dyDescent="0.4"/>
    <row r="6814" s="5" customFormat="1" x14ac:dyDescent="0.4"/>
    <row r="6815" s="5" customFormat="1" x14ac:dyDescent="0.4"/>
    <row r="6816" s="5" customFormat="1" x14ac:dyDescent="0.4"/>
    <row r="6817" s="5" customFormat="1" x14ac:dyDescent="0.4"/>
    <row r="6818" s="5" customFormat="1" x14ac:dyDescent="0.4"/>
    <row r="6819" s="5" customFormat="1" x14ac:dyDescent="0.4"/>
    <row r="6820" s="5" customFormat="1" x14ac:dyDescent="0.4"/>
    <row r="6821" s="5" customFormat="1" x14ac:dyDescent="0.4"/>
    <row r="6822" s="5" customFormat="1" x14ac:dyDescent="0.4"/>
    <row r="6823" s="5" customFormat="1" x14ac:dyDescent="0.4"/>
    <row r="6824" s="5" customFormat="1" x14ac:dyDescent="0.4"/>
    <row r="6825" s="5" customFormat="1" x14ac:dyDescent="0.4"/>
    <row r="6826" s="5" customFormat="1" x14ac:dyDescent="0.4"/>
    <row r="6827" s="5" customFormat="1" x14ac:dyDescent="0.4"/>
    <row r="6828" s="5" customFormat="1" x14ac:dyDescent="0.4"/>
    <row r="6829" s="5" customFormat="1" x14ac:dyDescent="0.4"/>
    <row r="6830" s="5" customFormat="1" x14ac:dyDescent="0.4"/>
    <row r="6831" s="5" customFormat="1" x14ac:dyDescent="0.4"/>
    <row r="6832" s="5" customFormat="1" x14ac:dyDescent="0.4"/>
    <row r="6833" s="5" customFormat="1" x14ac:dyDescent="0.4"/>
    <row r="6834" s="5" customFormat="1" x14ac:dyDescent="0.4"/>
    <row r="6835" s="5" customFormat="1" x14ac:dyDescent="0.4"/>
    <row r="6836" s="5" customFormat="1" x14ac:dyDescent="0.4"/>
    <row r="6837" s="5" customFormat="1" x14ac:dyDescent="0.4"/>
    <row r="6838" s="5" customFormat="1" x14ac:dyDescent="0.4"/>
    <row r="6839" s="5" customFormat="1" x14ac:dyDescent="0.4"/>
    <row r="6840" s="5" customFormat="1" x14ac:dyDescent="0.4"/>
    <row r="6841" s="5" customFormat="1" x14ac:dyDescent="0.4"/>
    <row r="6842" s="5" customFormat="1" x14ac:dyDescent="0.4"/>
    <row r="6843" s="5" customFormat="1" x14ac:dyDescent="0.4"/>
    <row r="6844" s="5" customFormat="1" x14ac:dyDescent="0.4"/>
    <row r="6845" s="5" customFormat="1" x14ac:dyDescent="0.4"/>
    <row r="6846" s="5" customFormat="1" x14ac:dyDescent="0.4"/>
    <row r="6847" s="5" customFormat="1" x14ac:dyDescent="0.4"/>
    <row r="6848" s="5" customFormat="1" x14ac:dyDescent="0.4"/>
    <row r="6849" s="5" customFormat="1" x14ac:dyDescent="0.4"/>
    <row r="6850" s="5" customFormat="1" x14ac:dyDescent="0.4"/>
    <row r="6851" s="5" customFormat="1" x14ac:dyDescent="0.4"/>
    <row r="6852" s="5" customFormat="1" x14ac:dyDescent="0.4"/>
    <row r="6853" s="5" customFormat="1" x14ac:dyDescent="0.4"/>
    <row r="6854" s="5" customFormat="1" x14ac:dyDescent="0.4"/>
    <row r="6855" s="5" customFormat="1" x14ac:dyDescent="0.4"/>
    <row r="6856" s="5" customFormat="1" x14ac:dyDescent="0.4"/>
    <row r="6857" s="5" customFormat="1" x14ac:dyDescent="0.4"/>
    <row r="6858" s="5" customFormat="1" x14ac:dyDescent="0.4"/>
    <row r="6859" s="5" customFormat="1" x14ac:dyDescent="0.4"/>
    <row r="6860" s="5" customFormat="1" x14ac:dyDescent="0.4"/>
    <row r="6861" s="5" customFormat="1" x14ac:dyDescent="0.4"/>
    <row r="6862" s="5" customFormat="1" x14ac:dyDescent="0.4"/>
    <row r="6863" s="5" customFormat="1" x14ac:dyDescent="0.4"/>
    <row r="6864" s="5" customFormat="1" x14ac:dyDescent="0.4"/>
    <row r="6865" s="5" customFormat="1" x14ac:dyDescent="0.4"/>
    <row r="6866" s="5" customFormat="1" x14ac:dyDescent="0.4"/>
    <row r="6867" s="5" customFormat="1" x14ac:dyDescent="0.4"/>
    <row r="6868" s="5" customFormat="1" x14ac:dyDescent="0.4"/>
    <row r="6869" s="5" customFormat="1" x14ac:dyDescent="0.4"/>
    <row r="6870" s="5" customFormat="1" x14ac:dyDescent="0.4"/>
    <row r="6871" s="5" customFormat="1" x14ac:dyDescent="0.4"/>
    <row r="6872" s="5" customFormat="1" x14ac:dyDescent="0.4"/>
    <row r="6873" s="5" customFormat="1" x14ac:dyDescent="0.4"/>
    <row r="6874" s="5" customFormat="1" x14ac:dyDescent="0.4"/>
    <row r="6875" s="5" customFormat="1" x14ac:dyDescent="0.4"/>
    <row r="6876" s="5" customFormat="1" x14ac:dyDescent="0.4"/>
    <row r="6877" s="5" customFormat="1" x14ac:dyDescent="0.4"/>
    <row r="6878" s="5" customFormat="1" x14ac:dyDescent="0.4"/>
    <row r="6879" s="5" customFormat="1" x14ac:dyDescent="0.4"/>
    <row r="6880" s="5" customFormat="1" x14ac:dyDescent="0.4"/>
    <row r="6881" s="5" customFormat="1" x14ac:dyDescent="0.4"/>
    <row r="6882" s="5" customFormat="1" x14ac:dyDescent="0.4"/>
    <row r="6883" s="5" customFormat="1" x14ac:dyDescent="0.4"/>
    <row r="6884" s="5" customFormat="1" x14ac:dyDescent="0.4"/>
    <row r="6885" s="5" customFormat="1" x14ac:dyDescent="0.4"/>
    <row r="6886" s="5" customFormat="1" x14ac:dyDescent="0.4"/>
    <row r="6887" s="5" customFormat="1" x14ac:dyDescent="0.4"/>
    <row r="6888" s="5" customFormat="1" x14ac:dyDescent="0.4"/>
    <row r="6889" s="5" customFormat="1" x14ac:dyDescent="0.4"/>
    <row r="6890" s="5" customFormat="1" x14ac:dyDescent="0.4"/>
    <row r="6891" s="5" customFormat="1" x14ac:dyDescent="0.4"/>
    <row r="6892" s="5" customFormat="1" x14ac:dyDescent="0.4"/>
    <row r="6893" s="5" customFormat="1" x14ac:dyDescent="0.4"/>
    <row r="6894" s="5" customFormat="1" x14ac:dyDescent="0.4"/>
    <row r="6895" s="5" customFormat="1" x14ac:dyDescent="0.4"/>
    <row r="6896" s="5" customFormat="1" x14ac:dyDescent="0.4"/>
    <row r="6897" s="5" customFormat="1" x14ac:dyDescent="0.4"/>
    <row r="6898" s="5" customFormat="1" x14ac:dyDescent="0.4"/>
    <row r="6899" s="5" customFormat="1" x14ac:dyDescent="0.4"/>
    <row r="6900" s="5" customFormat="1" x14ac:dyDescent="0.4"/>
    <row r="6901" s="5" customFormat="1" x14ac:dyDescent="0.4"/>
    <row r="6902" s="5" customFormat="1" x14ac:dyDescent="0.4"/>
    <row r="6903" s="5" customFormat="1" x14ac:dyDescent="0.4"/>
    <row r="6904" s="5" customFormat="1" x14ac:dyDescent="0.4"/>
    <row r="6905" s="5" customFormat="1" x14ac:dyDescent="0.4"/>
    <row r="6906" s="5" customFormat="1" x14ac:dyDescent="0.4"/>
    <row r="6907" s="5" customFormat="1" x14ac:dyDescent="0.4"/>
    <row r="6908" s="5" customFormat="1" x14ac:dyDescent="0.4"/>
    <row r="6909" s="5" customFormat="1" x14ac:dyDescent="0.4"/>
    <row r="6910" s="5" customFormat="1" x14ac:dyDescent="0.4"/>
    <row r="6911" s="5" customFormat="1" x14ac:dyDescent="0.4"/>
    <row r="6912" s="5" customFormat="1" x14ac:dyDescent="0.4"/>
    <row r="6913" s="5" customFormat="1" x14ac:dyDescent="0.4"/>
    <row r="6914" s="5" customFormat="1" x14ac:dyDescent="0.4"/>
    <row r="6915" s="5" customFormat="1" x14ac:dyDescent="0.4"/>
    <row r="6916" s="5" customFormat="1" x14ac:dyDescent="0.4"/>
    <row r="6917" s="5" customFormat="1" x14ac:dyDescent="0.4"/>
    <row r="6918" s="5" customFormat="1" x14ac:dyDescent="0.4"/>
    <row r="6919" s="5" customFormat="1" x14ac:dyDescent="0.4"/>
    <row r="6920" s="5" customFormat="1" x14ac:dyDescent="0.4"/>
    <row r="6921" s="5" customFormat="1" x14ac:dyDescent="0.4"/>
    <row r="6922" s="5" customFormat="1" x14ac:dyDescent="0.4"/>
    <row r="6923" s="5" customFormat="1" x14ac:dyDescent="0.4"/>
    <row r="6924" s="5" customFormat="1" x14ac:dyDescent="0.4"/>
    <row r="6925" s="5" customFormat="1" x14ac:dyDescent="0.4"/>
    <row r="6926" s="5" customFormat="1" x14ac:dyDescent="0.4"/>
    <row r="6927" s="5" customFormat="1" x14ac:dyDescent="0.4"/>
    <row r="6928" s="5" customFormat="1" x14ac:dyDescent="0.4"/>
    <row r="6929" s="5" customFormat="1" x14ac:dyDescent="0.4"/>
    <row r="6930" s="5" customFormat="1" x14ac:dyDescent="0.4"/>
    <row r="6931" s="5" customFormat="1" x14ac:dyDescent="0.4"/>
    <row r="6932" s="5" customFormat="1" x14ac:dyDescent="0.4"/>
    <row r="6933" s="5" customFormat="1" x14ac:dyDescent="0.4"/>
    <row r="6934" s="5" customFormat="1" x14ac:dyDescent="0.4"/>
    <row r="6935" s="5" customFormat="1" x14ac:dyDescent="0.4"/>
    <row r="6936" s="5" customFormat="1" x14ac:dyDescent="0.4"/>
    <row r="6937" s="5" customFormat="1" x14ac:dyDescent="0.4"/>
    <row r="6938" s="5" customFormat="1" x14ac:dyDescent="0.4"/>
    <row r="6939" s="5" customFormat="1" x14ac:dyDescent="0.4"/>
    <row r="6940" s="5" customFormat="1" x14ac:dyDescent="0.4"/>
    <row r="6941" s="5" customFormat="1" x14ac:dyDescent="0.4"/>
    <row r="6942" s="5" customFormat="1" x14ac:dyDescent="0.4"/>
    <row r="6943" s="5" customFormat="1" x14ac:dyDescent="0.4"/>
    <row r="6944" s="5" customFormat="1" x14ac:dyDescent="0.4"/>
    <row r="6945" s="5" customFormat="1" x14ac:dyDescent="0.4"/>
    <row r="6946" s="5" customFormat="1" x14ac:dyDescent="0.4"/>
    <row r="6947" s="5" customFormat="1" x14ac:dyDescent="0.4"/>
    <row r="6948" s="5" customFormat="1" x14ac:dyDescent="0.4"/>
    <row r="6949" s="5" customFormat="1" x14ac:dyDescent="0.4"/>
    <row r="6950" s="5" customFormat="1" x14ac:dyDescent="0.4"/>
    <row r="6951" s="5" customFormat="1" x14ac:dyDescent="0.4"/>
    <row r="6952" s="5" customFormat="1" x14ac:dyDescent="0.4"/>
    <row r="6953" s="5" customFormat="1" x14ac:dyDescent="0.4"/>
    <row r="6954" s="5" customFormat="1" x14ac:dyDescent="0.4"/>
    <row r="6955" s="5" customFormat="1" x14ac:dyDescent="0.4"/>
    <row r="6956" s="5" customFormat="1" x14ac:dyDescent="0.4"/>
    <row r="6957" s="5" customFormat="1" x14ac:dyDescent="0.4"/>
    <row r="6958" s="5" customFormat="1" x14ac:dyDescent="0.4"/>
    <row r="6959" s="5" customFormat="1" x14ac:dyDescent="0.4"/>
    <row r="6960" s="5" customFormat="1" x14ac:dyDescent="0.4"/>
    <row r="6961" s="5" customFormat="1" x14ac:dyDescent="0.4"/>
    <row r="6962" s="5" customFormat="1" x14ac:dyDescent="0.4"/>
    <row r="6963" s="5" customFormat="1" x14ac:dyDescent="0.4"/>
    <row r="6964" s="5" customFormat="1" x14ac:dyDescent="0.4"/>
    <row r="6965" s="5" customFormat="1" x14ac:dyDescent="0.4"/>
    <row r="6966" s="5" customFormat="1" x14ac:dyDescent="0.4"/>
    <row r="6967" s="5" customFormat="1" x14ac:dyDescent="0.4"/>
    <row r="6968" s="5" customFormat="1" x14ac:dyDescent="0.4"/>
    <row r="6969" s="5" customFormat="1" x14ac:dyDescent="0.4"/>
    <row r="6970" s="5" customFormat="1" x14ac:dyDescent="0.4"/>
    <row r="6971" s="5" customFormat="1" x14ac:dyDescent="0.4"/>
    <row r="6972" s="5" customFormat="1" x14ac:dyDescent="0.4"/>
    <row r="6973" s="5" customFormat="1" x14ac:dyDescent="0.4"/>
    <row r="6974" s="5" customFormat="1" x14ac:dyDescent="0.4"/>
    <row r="6975" s="5" customFormat="1" x14ac:dyDescent="0.4"/>
    <row r="6976" s="5" customFormat="1" x14ac:dyDescent="0.4"/>
    <row r="6977" s="5" customFormat="1" x14ac:dyDescent="0.4"/>
    <row r="6978" s="5" customFormat="1" x14ac:dyDescent="0.4"/>
    <row r="6979" s="5" customFormat="1" x14ac:dyDescent="0.4"/>
    <row r="6980" s="5" customFormat="1" x14ac:dyDescent="0.4"/>
    <row r="6981" s="5" customFormat="1" x14ac:dyDescent="0.4"/>
    <row r="6982" s="5" customFormat="1" x14ac:dyDescent="0.4"/>
    <row r="6983" s="5" customFormat="1" x14ac:dyDescent="0.4"/>
    <row r="6984" s="5" customFormat="1" x14ac:dyDescent="0.4"/>
    <row r="6985" s="5" customFormat="1" x14ac:dyDescent="0.4"/>
    <row r="6986" s="5" customFormat="1" x14ac:dyDescent="0.4"/>
    <row r="6987" s="5" customFormat="1" x14ac:dyDescent="0.4"/>
    <row r="6988" s="5" customFormat="1" x14ac:dyDescent="0.4"/>
    <row r="6989" s="5" customFormat="1" x14ac:dyDescent="0.4"/>
    <row r="6990" s="5" customFormat="1" x14ac:dyDescent="0.4"/>
    <row r="6991" s="5" customFormat="1" x14ac:dyDescent="0.4"/>
    <row r="6992" s="5" customFormat="1" x14ac:dyDescent="0.4"/>
    <row r="6993" s="5" customFormat="1" x14ac:dyDescent="0.4"/>
    <row r="6994" s="5" customFormat="1" x14ac:dyDescent="0.4"/>
    <row r="6995" s="5" customFormat="1" x14ac:dyDescent="0.4"/>
    <row r="6996" s="5" customFormat="1" x14ac:dyDescent="0.4"/>
    <row r="6997" s="5" customFormat="1" x14ac:dyDescent="0.4"/>
    <row r="6998" s="5" customFormat="1" x14ac:dyDescent="0.4"/>
    <row r="6999" s="5" customFormat="1" x14ac:dyDescent="0.4"/>
    <row r="7000" s="5" customFormat="1" x14ac:dyDescent="0.4"/>
    <row r="7001" s="5" customFormat="1" x14ac:dyDescent="0.4"/>
    <row r="7002" s="5" customFormat="1" x14ac:dyDescent="0.4"/>
    <row r="7003" s="5" customFormat="1" x14ac:dyDescent="0.4"/>
    <row r="7004" s="5" customFormat="1" x14ac:dyDescent="0.4"/>
    <row r="7005" s="5" customFormat="1" x14ac:dyDescent="0.4"/>
    <row r="7006" s="5" customFormat="1" x14ac:dyDescent="0.4"/>
    <row r="7007" s="5" customFormat="1" x14ac:dyDescent="0.4"/>
    <row r="7008" s="5" customFormat="1" x14ac:dyDescent="0.4"/>
    <row r="7009" s="5" customFormat="1" x14ac:dyDescent="0.4"/>
    <row r="7010" s="5" customFormat="1" x14ac:dyDescent="0.4"/>
    <row r="7011" s="5" customFormat="1" x14ac:dyDescent="0.4"/>
    <row r="7012" s="5" customFormat="1" x14ac:dyDescent="0.4"/>
    <row r="7013" s="5" customFormat="1" x14ac:dyDescent="0.4"/>
    <row r="7014" s="5" customFormat="1" x14ac:dyDescent="0.4"/>
    <row r="7015" s="5" customFormat="1" x14ac:dyDescent="0.4"/>
    <row r="7016" s="5" customFormat="1" x14ac:dyDescent="0.4"/>
    <row r="7017" s="5" customFormat="1" x14ac:dyDescent="0.4"/>
    <row r="7018" s="5" customFormat="1" x14ac:dyDescent="0.4"/>
    <row r="7019" s="5" customFormat="1" x14ac:dyDescent="0.4"/>
    <row r="7020" s="5" customFormat="1" x14ac:dyDescent="0.4"/>
    <row r="7021" s="5" customFormat="1" x14ac:dyDescent="0.4"/>
    <row r="7022" s="5" customFormat="1" x14ac:dyDescent="0.4"/>
    <row r="7023" s="5" customFormat="1" x14ac:dyDescent="0.4"/>
    <row r="7024" s="5" customFormat="1" x14ac:dyDescent="0.4"/>
    <row r="7025" s="5" customFormat="1" x14ac:dyDescent="0.4"/>
    <row r="7026" s="5" customFormat="1" x14ac:dyDescent="0.4"/>
    <row r="7027" s="5" customFormat="1" x14ac:dyDescent="0.4"/>
    <row r="7028" s="5" customFormat="1" x14ac:dyDescent="0.4"/>
    <row r="7029" s="5" customFormat="1" x14ac:dyDescent="0.4"/>
    <row r="7030" s="5" customFormat="1" x14ac:dyDescent="0.4"/>
    <row r="7031" s="5" customFormat="1" x14ac:dyDescent="0.4"/>
    <row r="7032" s="5" customFormat="1" x14ac:dyDescent="0.4"/>
    <row r="7033" s="5" customFormat="1" x14ac:dyDescent="0.4"/>
    <row r="7034" s="5" customFormat="1" x14ac:dyDescent="0.4"/>
    <row r="7035" s="5" customFormat="1" x14ac:dyDescent="0.4"/>
    <row r="7036" s="5" customFormat="1" x14ac:dyDescent="0.4"/>
    <row r="7037" s="5" customFormat="1" x14ac:dyDescent="0.4"/>
    <row r="7038" s="5" customFormat="1" x14ac:dyDescent="0.4"/>
    <row r="7039" s="5" customFormat="1" x14ac:dyDescent="0.4"/>
    <row r="7040" s="5" customFormat="1" x14ac:dyDescent="0.4"/>
    <row r="7041" s="5" customFormat="1" x14ac:dyDescent="0.4"/>
    <row r="7042" s="5" customFormat="1" x14ac:dyDescent="0.4"/>
    <row r="7043" s="5" customFormat="1" x14ac:dyDescent="0.4"/>
    <row r="7044" s="5" customFormat="1" x14ac:dyDescent="0.4"/>
    <row r="7045" s="5" customFormat="1" x14ac:dyDescent="0.4"/>
    <row r="7046" s="5" customFormat="1" x14ac:dyDescent="0.4"/>
    <row r="7047" s="5" customFormat="1" x14ac:dyDescent="0.4"/>
    <row r="7048" s="5" customFormat="1" x14ac:dyDescent="0.4"/>
    <row r="7049" s="5" customFormat="1" x14ac:dyDescent="0.4"/>
    <row r="7050" s="5" customFormat="1" x14ac:dyDescent="0.4"/>
    <row r="7051" s="5" customFormat="1" x14ac:dyDescent="0.4"/>
    <row r="7052" s="5" customFormat="1" x14ac:dyDescent="0.4"/>
    <row r="7053" s="5" customFormat="1" x14ac:dyDescent="0.4"/>
    <row r="7054" s="5" customFormat="1" x14ac:dyDescent="0.4"/>
    <row r="7055" s="5" customFormat="1" x14ac:dyDescent="0.4"/>
    <row r="7056" s="5" customFormat="1" x14ac:dyDescent="0.4"/>
    <row r="7057" s="5" customFormat="1" x14ac:dyDescent="0.4"/>
    <row r="7058" s="5" customFormat="1" x14ac:dyDescent="0.4"/>
    <row r="7059" s="5" customFormat="1" x14ac:dyDescent="0.4"/>
    <row r="7060" s="5" customFormat="1" x14ac:dyDescent="0.4"/>
    <row r="7061" s="5" customFormat="1" x14ac:dyDescent="0.4"/>
    <row r="7062" s="5" customFormat="1" x14ac:dyDescent="0.4"/>
    <row r="7063" s="5" customFormat="1" x14ac:dyDescent="0.4"/>
    <row r="7064" s="5" customFormat="1" x14ac:dyDescent="0.4"/>
    <row r="7065" s="5" customFormat="1" x14ac:dyDescent="0.4"/>
    <row r="7066" s="5" customFormat="1" x14ac:dyDescent="0.4"/>
    <row r="7067" s="5" customFormat="1" x14ac:dyDescent="0.4"/>
    <row r="7068" s="5" customFormat="1" x14ac:dyDescent="0.4"/>
    <row r="7069" s="5" customFormat="1" x14ac:dyDescent="0.4"/>
    <row r="7070" s="5" customFormat="1" x14ac:dyDescent="0.4"/>
    <row r="7071" s="5" customFormat="1" x14ac:dyDescent="0.4"/>
    <row r="7072" s="5" customFormat="1" x14ac:dyDescent="0.4"/>
    <row r="7073" s="5" customFormat="1" x14ac:dyDescent="0.4"/>
    <row r="7074" s="5" customFormat="1" x14ac:dyDescent="0.4"/>
    <row r="7075" s="5" customFormat="1" x14ac:dyDescent="0.4"/>
    <row r="7076" s="5" customFormat="1" x14ac:dyDescent="0.4"/>
    <row r="7077" s="5" customFormat="1" x14ac:dyDescent="0.4"/>
    <row r="7078" s="5" customFormat="1" x14ac:dyDescent="0.4"/>
    <row r="7079" s="5" customFormat="1" x14ac:dyDescent="0.4"/>
    <row r="7080" s="5" customFormat="1" x14ac:dyDescent="0.4"/>
    <row r="7081" s="5" customFormat="1" x14ac:dyDescent="0.4"/>
    <row r="7082" s="5" customFormat="1" x14ac:dyDescent="0.4"/>
    <row r="7083" s="5" customFormat="1" x14ac:dyDescent="0.4"/>
    <row r="7084" s="5" customFormat="1" x14ac:dyDescent="0.4"/>
    <row r="7085" s="5" customFormat="1" x14ac:dyDescent="0.4"/>
    <row r="7086" s="5" customFormat="1" x14ac:dyDescent="0.4"/>
    <row r="7087" s="5" customFormat="1" x14ac:dyDescent="0.4"/>
    <row r="7088" s="5" customFormat="1" x14ac:dyDescent="0.4"/>
    <row r="7089" s="5" customFormat="1" x14ac:dyDescent="0.4"/>
    <row r="7090" s="5" customFormat="1" x14ac:dyDescent="0.4"/>
    <row r="7091" s="5" customFormat="1" x14ac:dyDescent="0.4"/>
    <row r="7092" s="5" customFormat="1" x14ac:dyDescent="0.4"/>
    <row r="7093" s="5" customFormat="1" x14ac:dyDescent="0.4"/>
    <row r="7094" s="5" customFormat="1" x14ac:dyDescent="0.4"/>
    <row r="7095" s="5" customFormat="1" x14ac:dyDescent="0.4"/>
    <row r="7096" s="5" customFormat="1" x14ac:dyDescent="0.4"/>
    <row r="7097" s="5" customFormat="1" x14ac:dyDescent="0.4"/>
    <row r="7098" s="5" customFormat="1" x14ac:dyDescent="0.4"/>
    <row r="7099" s="5" customFormat="1" x14ac:dyDescent="0.4"/>
    <row r="7100" s="5" customFormat="1" x14ac:dyDescent="0.4"/>
    <row r="7101" s="5" customFormat="1" x14ac:dyDescent="0.4"/>
    <row r="7102" s="5" customFormat="1" x14ac:dyDescent="0.4"/>
    <row r="7103" s="5" customFormat="1" x14ac:dyDescent="0.4"/>
    <row r="7104" s="5" customFormat="1" x14ac:dyDescent="0.4"/>
    <row r="7105" s="5" customFormat="1" x14ac:dyDescent="0.4"/>
    <row r="7106" s="5" customFormat="1" x14ac:dyDescent="0.4"/>
    <row r="7107" s="5" customFormat="1" x14ac:dyDescent="0.4"/>
    <row r="7108" s="5" customFormat="1" x14ac:dyDescent="0.4"/>
    <row r="7109" s="5" customFormat="1" x14ac:dyDescent="0.4"/>
    <row r="7110" s="5" customFormat="1" x14ac:dyDescent="0.4"/>
    <row r="7111" s="5" customFormat="1" x14ac:dyDescent="0.4"/>
    <row r="7112" s="5" customFormat="1" x14ac:dyDescent="0.4"/>
    <row r="7113" s="5" customFormat="1" x14ac:dyDescent="0.4"/>
    <row r="7114" s="5" customFormat="1" x14ac:dyDescent="0.4"/>
    <row r="7115" s="5" customFormat="1" x14ac:dyDescent="0.4"/>
    <row r="7116" s="5" customFormat="1" x14ac:dyDescent="0.4"/>
    <row r="7117" s="5" customFormat="1" x14ac:dyDescent="0.4"/>
    <row r="7118" s="5" customFormat="1" x14ac:dyDescent="0.4"/>
    <row r="7119" s="5" customFormat="1" x14ac:dyDescent="0.4"/>
    <row r="7120" s="5" customFormat="1" x14ac:dyDescent="0.4"/>
    <row r="7121" s="5" customFormat="1" x14ac:dyDescent="0.4"/>
    <row r="7122" s="5" customFormat="1" x14ac:dyDescent="0.4"/>
    <row r="7123" s="5" customFormat="1" x14ac:dyDescent="0.4"/>
    <row r="7124" s="5" customFormat="1" x14ac:dyDescent="0.4"/>
    <row r="7125" s="5" customFormat="1" x14ac:dyDescent="0.4"/>
    <row r="7126" s="5" customFormat="1" x14ac:dyDescent="0.4"/>
    <row r="7127" s="5" customFormat="1" x14ac:dyDescent="0.4"/>
    <row r="7128" s="5" customFormat="1" x14ac:dyDescent="0.4"/>
    <row r="7129" s="5" customFormat="1" x14ac:dyDescent="0.4"/>
    <row r="7130" s="5" customFormat="1" x14ac:dyDescent="0.4"/>
    <row r="7131" s="5" customFormat="1" x14ac:dyDescent="0.4"/>
    <row r="7132" s="5" customFormat="1" x14ac:dyDescent="0.4"/>
    <row r="7133" s="5" customFormat="1" x14ac:dyDescent="0.4"/>
    <row r="7134" s="5" customFormat="1" x14ac:dyDescent="0.4"/>
    <row r="7135" s="5" customFormat="1" x14ac:dyDescent="0.4"/>
    <row r="7136" s="5" customFormat="1" x14ac:dyDescent="0.4"/>
    <row r="7137" s="5" customFormat="1" x14ac:dyDescent="0.4"/>
    <row r="7138" s="5" customFormat="1" x14ac:dyDescent="0.4"/>
    <row r="7139" s="5" customFormat="1" x14ac:dyDescent="0.4"/>
    <row r="7140" s="5" customFormat="1" x14ac:dyDescent="0.4"/>
    <row r="7141" s="5" customFormat="1" x14ac:dyDescent="0.4"/>
    <row r="7142" s="5" customFormat="1" x14ac:dyDescent="0.4"/>
    <row r="7143" s="5" customFormat="1" x14ac:dyDescent="0.4"/>
    <row r="7144" s="5" customFormat="1" x14ac:dyDescent="0.4"/>
    <row r="7145" s="5" customFormat="1" x14ac:dyDescent="0.4"/>
    <row r="7146" s="5" customFormat="1" x14ac:dyDescent="0.4"/>
    <row r="7147" s="5" customFormat="1" x14ac:dyDescent="0.4"/>
    <row r="7148" s="5" customFormat="1" x14ac:dyDescent="0.4"/>
    <row r="7149" s="5" customFormat="1" x14ac:dyDescent="0.4"/>
    <row r="7150" s="5" customFormat="1" x14ac:dyDescent="0.4"/>
    <row r="7151" s="5" customFormat="1" x14ac:dyDescent="0.4"/>
    <row r="7152" s="5" customFormat="1" x14ac:dyDescent="0.4"/>
    <row r="7153" s="5" customFormat="1" x14ac:dyDescent="0.4"/>
    <row r="7154" s="5" customFormat="1" x14ac:dyDescent="0.4"/>
    <row r="7155" s="5" customFormat="1" x14ac:dyDescent="0.4"/>
    <row r="7156" s="5" customFormat="1" x14ac:dyDescent="0.4"/>
    <row r="7157" s="5" customFormat="1" x14ac:dyDescent="0.4"/>
    <row r="7158" s="5" customFormat="1" x14ac:dyDescent="0.4"/>
    <row r="7159" s="5" customFormat="1" x14ac:dyDescent="0.4"/>
    <row r="7160" s="5" customFormat="1" x14ac:dyDescent="0.4"/>
    <row r="7161" s="5" customFormat="1" x14ac:dyDescent="0.4"/>
    <row r="7162" s="5" customFormat="1" x14ac:dyDescent="0.4"/>
    <row r="7163" s="5" customFormat="1" x14ac:dyDescent="0.4"/>
    <row r="7164" s="5" customFormat="1" x14ac:dyDescent="0.4"/>
    <row r="7165" s="5" customFormat="1" x14ac:dyDescent="0.4"/>
    <row r="7166" s="5" customFormat="1" x14ac:dyDescent="0.4"/>
    <row r="7167" s="5" customFormat="1" x14ac:dyDescent="0.4"/>
    <row r="7168" s="5" customFormat="1" x14ac:dyDescent="0.4"/>
    <row r="7169" s="5" customFormat="1" x14ac:dyDescent="0.4"/>
    <row r="7170" s="5" customFormat="1" x14ac:dyDescent="0.4"/>
    <row r="7171" s="5" customFormat="1" x14ac:dyDescent="0.4"/>
    <row r="7172" s="5" customFormat="1" x14ac:dyDescent="0.4"/>
    <row r="7173" s="5" customFormat="1" x14ac:dyDescent="0.4"/>
    <row r="7174" s="5" customFormat="1" x14ac:dyDescent="0.4"/>
    <row r="7175" s="5" customFormat="1" x14ac:dyDescent="0.4"/>
    <row r="7176" s="5" customFormat="1" x14ac:dyDescent="0.4"/>
    <row r="7177" s="5" customFormat="1" x14ac:dyDescent="0.4"/>
    <row r="7178" s="5" customFormat="1" x14ac:dyDescent="0.4"/>
    <row r="7179" s="5" customFormat="1" x14ac:dyDescent="0.4"/>
    <row r="7180" s="5" customFormat="1" x14ac:dyDescent="0.4"/>
    <row r="7181" s="5" customFormat="1" x14ac:dyDescent="0.4"/>
    <row r="7182" s="5" customFormat="1" x14ac:dyDescent="0.4"/>
    <row r="7183" s="5" customFormat="1" x14ac:dyDescent="0.4"/>
    <row r="7184" s="5" customFormat="1" x14ac:dyDescent="0.4"/>
    <row r="7185" s="5" customFormat="1" x14ac:dyDescent="0.4"/>
    <row r="7186" s="5" customFormat="1" x14ac:dyDescent="0.4"/>
    <row r="7187" s="5" customFormat="1" x14ac:dyDescent="0.4"/>
    <row r="7188" s="5" customFormat="1" x14ac:dyDescent="0.4"/>
    <row r="7189" s="5" customFormat="1" x14ac:dyDescent="0.4"/>
    <row r="7190" s="5" customFormat="1" x14ac:dyDescent="0.4"/>
    <row r="7191" s="5" customFormat="1" x14ac:dyDescent="0.4"/>
    <row r="7192" s="5" customFormat="1" x14ac:dyDescent="0.4"/>
    <row r="7193" s="5" customFormat="1" x14ac:dyDescent="0.4"/>
    <row r="7194" s="5" customFormat="1" x14ac:dyDescent="0.4"/>
    <row r="7195" s="5" customFormat="1" x14ac:dyDescent="0.4"/>
    <row r="7196" s="5" customFormat="1" x14ac:dyDescent="0.4"/>
    <row r="7197" s="5" customFormat="1" x14ac:dyDescent="0.4"/>
    <row r="7198" s="5" customFormat="1" x14ac:dyDescent="0.4"/>
    <row r="7199" s="5" customFormat="1" x14ac:dyDescent="0.4"/>
    <row r="7200" s="5" customFormat="1" x14ac:dyDescent="0.4"/>
    <row r="7201" s="5" customFormat="1" x14ac:dyDescent="0.4"/>
    <row r="7202" s="5" customFormat="1" x14ac:dyDescent="0.4"/>
    <row r="7203" s="5" customFormat="1" x14ac:dyDescent="0.4"/>
    <row r="7204" s="5" customFormat="1" x14ac:dyDescent="0.4"/>
    <row r="7205" s="5" customFormat="1" x14ac:dyDescent="0.4"/>
    <row r="7206" s="5" customFormat="1" x14ac:dyDescent="0.4"/>
    <row r="7207" s="5" customFormat="1" x14ac:dyDescent="0.4"/>
    <row r="7208" s="5" customFormat="1" x14ac:dyDescent="0.4"/>
    <row r="7209" s="5" customFormat="1" x14ac:dyDescent="0.4"/>
    <row r="7210" s="5" customFormat="1" x14ac:dyDescent="0.4"/>
    <row r="7211" s="5" customFormat="1" x14ac:dyDescent="0.4"/>
    <row r="7212" s="5" customFormat="1" x14ac:dyDescent="0.4"/>
    <row r="7213" s="5" customFormat="1" x14ac:dyDescent="0.4"/>
    <row r="7214" s="5" customFormat="1" x14ac:dyDescent="0.4"/>
    <row r="7215" s="5" customFormat="1" x14ac:dyDescent="0.4"/>
    <row r="7216" s="5" customFormat="1" x14ac:dyDescent="0.4"/>
    <row r="7217" s="5" customFormat="1" x14ac:dyDescent="0.4"/>
    <row r="7218" s="5" customFormat="1" x14ac:dyDescent="0.4"/>
    <row r="7219" s="5" customFormat="1" x14ac:dyDescent="0.4"/>
    <row r="7220" s="5" customFormat="1" x14ac:dyDescent="0.4"/>
    <row r="7221" s="5" customFormat="1" x14ac:dyDescent="0.4"/>
    <row r="7222" s="5" customFormat="1" x14ac:dyDescent="0.4"/>
    <row r="7223" s="5" customFormat="1" x14ac:dyDescent="0.4"/>
    <row r="7224" s="5" customFormat="1" x14ac:dyDescent="0.4"/>
    <row r="7225" s="5" customFormat="1" x14ac:dyDescent="0.4"/>
    <row r="7226" s="5" customFormat="1" x14ac:dyDescent="0.4"/>
    <row r="7227" s="5" customFormat="1" x14ac:dyDescent="0.4"/>
    <row r="7228" s="5" customFormat="1" x14ac:dyDescent="0.4"/>
    <row r="7229" s="5" customFormat="1" x14ac:dyDescent="0.4"/>
    <row r="7230" s="5" customFormat="1" x14ac:dyDescent="0.4"/>
    <row r="7231" s="5" customFormat="1" x14ac:dyDescent="0.4"/>
    <row r="7232" s="5" customFormat="1" x14ac:dyDescent="0.4"/>
    <row r="7233" s="5" customFormat="1" x14ac:dyDescent="0.4"/>
    <row r="7234" s="5" customFormat="1" x14ac:dyDescent="0.4"/>
    <row r="7235" s="5" customFormat="1" x14ac:dyDescent="0.4"/>
    <row r="7236" s="5" customFormat="1" x14ac:dyDescent="0.4"/>
    <row r="7237" s="5" customFormat="1" x14ac:dyDescent="0.4"/>
    <row r="7238" s="5" customFormat="1" x14ac:dyDescent="0.4"/>
    <row r="7239" s="5" customFormat="1" x14ac:dyDescent="0.4"/>
    <row r="7240" s="5" customFormat="1" x14ac:dyDescent="0.4"/>
    <row r="7241" s="5" customFormat="1" x14ac:dyDescent="0.4"/>
    <row r="7242" s="5" customFormat="1" x14ac:dyDescent="0.4"/>
    <row r="7243" s="5" customFormat="1" x14ac:dyDescent="0.4"/>
    <row r="7244" s="5" customFormat="1" x14ac:dyDescent="0.4"/>
    <row r="7245" s="5" customFormat="1" x14ac:dyDescent="0.4"/>
    <row r="7246" s="5" customFormat="1" x14ac:dyDescent="0.4"/>
    <row r="7247" s="5" customFormat="1" x14ac:dyDescent="0.4"/>
    <row r="7248" s="5" customFormat="1" x14ac:dyDescent="0.4"/>
    <row r="7249" s="5" customFormat="1" x14ac:dyDescent="0.4"/>
    <row r="7250" s="5" customFormat="1" x14ac:dyDescent="0.4"/>
    <row r="7251" s="5" customFormat="1" x14ac:dyDescent="0.4"/>
    <row r="7252" s="5" customFormat="1" x14ac:dyDescent="0.4"/>
    <row r="7253" s="5" customFormat="1" x14ac:dyDescent="0.4"/>
    <row r="7254" s="5" customFormat="1" x14ac:dyDescent="0.4"/>
    <row r="7255" s="5" customFormat="1" x14ac:dyDescent="0.4"/>
    <row r="7256" s="5" customFormat="1" x14ac:dyDescent="0.4"/>
    <row r="7257" s="5" customFormat="1" x14ac:dyDescent="0.4"/>
    <row r="7258" s="5" customFormat="1" x14ac:dyDescent="0.4"/>
    <row r="7259" s="5" customFormat="1" x14ac:dyDescent="0.4"/>
    <row r="7260" s="5" customFormat="1" x14ac:dyDescent="0.4"/>
    <row r="7261" s="5" customFormat="1" x14ac:dyDescent="0.4"/>
    <row r="7262" s="5" customFormat="1" x14ac:dyDescent="0.4"/>
    <row r="7263" s="5" customFormat="1" x14ac:dyDescent="0.4"/>
    <row r="7264" s="5" customFormat="1" x14ac:dyDescent="0.4"/>
    <row r="7265" s="5" customFormat="1" x14ac:dyDescent="0.4"/>
    <row r="7266" s="5" customFormat="1" x14ac:dyDescent="0.4"/>
    <row r="7267" s="5" customFormat="1" x14ac:dyDescent="0.4"/>
    <row r="7268" s="5" customFormat="1" x14ac:dyDescent="0.4"/>
    <row r="7269" s="5" customFormat="1" x14ac:dyDescent="0.4"/>
    <row r="7270" s="5" customFormat="1" x14ac:dyDescent="0.4"/>
    <row r="7271" s="5" customFormat="1" x14ac:dyDescent="0.4"/>
    <row r="7272" s="5" customFormat="1" x14ac:dyDescent="0.4"/>
    <row r="7273" s="5" customFormat="1" x14ac:dyDescent="0.4"/>
    <row r="7274" s="5" customFormat="1" x14ac:dyDescent="0.4"/>
    <row r="7275" s="5" customFormat="1" x14ac:dyDescent="0.4"/>
    <row r="7276" s="5" customFormat="1" x14ac:dyDescent="0.4"/>
    <row r="7277" s="5" customFormat="1" x14ac:dyDescent="0.4"/>
    <row r="7278" s="5" customFormat="1" x14ac:dyDescent="0.4"/>
    <row r="7279" s="5" customFormat="1" x14ac:dyDescent="0.4"/>
    <row r="7280" s="5" customFormat="1" x14ac:dyDescent="0.4"/>
    <row r="7281" s="5" customFormat="1" x14ac:dyDescent="0.4"/>
    <row r="7282" s="5" customFormat="1" x14ac:dyDescent="0.4"/>
    <row r="7283" s="5" customFormat="1" x14ac:dyDescent="0.4"/>
    <row r="7284" s="5" customFormat="1" x14ac:dyDescent="0.4"/>
    <row r="7285" s="5" customFormat="1" x14ac:dyDescent="0.4"/>
    <row r="7286" s="5" customFormat="1" x14ac:dyDescent="0.4"/>
    <row r="7287" s="5" customFormat="1" x14ac:dyDescent="0.4"/>
    <row r="7288" s="5" customFormat="1" x14ac:dyDescent="0.4"/>
    <row r="7289" s="5" customFormat="1" x14ac:dyDescent="0.4"/>
    <row r="7290" s="5" customFormat="1" x14ac:dyDescent="0.4"/>
    <row r="7291" s="5" customFormat="1" x14ac:dyDescent="0.4"/>
    <row r="7292" s="5" customFormat="1" x14ac:dyDescent="0.4"/>
    <row r="7293" s="5" customFormat="1" x14ac:dyDescent="0.4"/>
    <row r="7294" s="5" customFormat="1" x14ac:dyDescent="0.4"/>
    <row r="7295" s="5" customFormat="1" x14ac:dyDescent="0.4"/>
    <row r="7296" s="5" customFormat="1" x14ac:dyDescent="0.4"/>
    <row r="7297" s="5" customFormat="1" x14ac:dyDescent="0.4"/>
    <row r="7298" s="5" customFormat="1" x14ac:dyDescent="0.4"/>
    <row r="7299" s="5" customFormat="1" x14ac:dyDescent="0.4"/>
    <row r="7300" s="5" customFormat="1" x14ac:dyDescent="0.4"/>
    <row r="7301" s="5" customFormat="1" x14ac:dyDescent="0.4"/>
    <row r="7302" s="5" customFormat="1" x14ac:dyDescent="0.4"/>
    <row r="7303" s="5" customFormat="1" x14ac:dyDescent="0.4"/>
    <row r="7304" s="5" customFormat="1" x14ac:dyDescent="0.4"/>
    <row r="7305" s="5" customFormat="1" x14ac:dyDescent="0.4"/>
    <row r="7306" s="5" customFormat="1" x14ac:dyDescent="0.4"/>
    <row r="7307" s="5" customFormat="1" x14ac:dyDescent="0.4"/>
    <row r="7308" s="5" customFormat="1" x14ac:dyDescent="0.4"/>
    <row r="7309" s="5" customFormat="1" x14ac:dyDescent="0.4"/>
    <row r="7310" s="5" customFormat="1" x14ac:dyDescent="0.4"/>
    <row r="7311" s="5" customFormat="1" x14ac:dyDescent="0.4"/>
    <row r="7312" s="5" customFormat="1" x14ac:dyDescent="0.4"/>
    <row r="7313" s="5" customFormat="1" x14ac:dyDescent="0.4"/>
    <row r="7314" s="5" customFormat="1" x14ac:dyDescent="0.4"/>
    <row r="7315" s="5" customFormat="1" x14ac:dyDescent="0.4"/>
    <row r="7316" s="5" customFormat="1" x14ac:dyDescent="0.4"/>
    <row r="7317" s="5" customFormat="1" x14ac:dyDescent="0.4"/>
    <row r="7318" s="5" customFormat="1" x14ac:dyDescent="0.4"/>
    <row r="7319" s="5" customFormat="1" x14ac:dyDescent="0.4"/>
    <row r="7320" s="5" customFormat="1" x14ac:dyDescent="0.4"/>
    <row r="7321" s="5" customFormat="1" x14ac:dyDescent="0.4"/>
    <row r="7322" s="5" customFormat="1" x14ac:dyDescent="0.4"/>
    <row r="7323" s="5" customFormat="1" x14ac:dyDescent="0.4"/>
    <row r="7324" s="5" customFormat="1" x14ac:dyDescent="0.4"/>
    <row r="7325" s="5" customFormat="1" x14ac:dyDescent="0.4"/>
    <row r="7326" s="5" customFormat="1" x14ac:dyDescent="0.4"/>
    <row r="7327" s="5" customFormat="1" x14ac:dyDescent="0.4"/>
    <row r="7328" s="5" customFormat="1" x14ac:dyDescent="0.4"/>
    <row r="7329" s="5" customFormat="1" x14ac:dyDescent="0.4"/>
    <row r="7330" s="5" customFormat="1" x14ac:dyDescent="0.4"/>
    <row r="7331" s="5" customFormat="1" x14ac:dyDescent="0.4"/>
    <row r="7332" s="5" customFormat="1" x14ac:dyDescent="0.4"/>
    <row r="7333" s="5" customFormat="1" x14ac:dyDescent="0.4"/>
    <row r="7334" s="5" customFormat="1" x14ac:dyDescent="0.4"/>
    <row r="7335" s="5" customFormat="1" x14ac:dyDescent="0.4"/>
    <row r="7336" s="5" customFormat="1" x14ac:dyDescent="0.4"/>
    <row r="7337" s="5" customFormat="1" x14ac:dyDescent="0.4"/>
    <row r="7338" s="5" customFormat="1" x14ac:dyDescent="0.4"/>
    <row r="7339" s="5" customFormat="1" x14ac:dyDescent="0.4"/>
    <row r="7340" s="5" customFormat="1" x14ac:dyDescent="0.4"/>
    <row r="7341" s="5" customFormat="1" x14ac:dyDescent="0.4"/>
    <row r="7342" s="5" customFormat="1" x14ac:dyDescent="0.4"/>
    <row r="7343" s="5" customFormat="1" x14ac:dyDescent="0.4"/>
    <row r="7344" s="5" customFormat="1" x14ac:dyDescent="0.4"/>
    <row r="7345" s="5" customFormat="1" x14ac:dyDescent="0.4"/>
    <row r="7346" s="5" customFormat="1" x14ac:dyDescent="0.4"/>
    <row r="7347" s="5" customFormat="1" x14ac:dyDescent="0.4"/>
    <row r="7348" s="5" customFormat="1" x14ac:dyDescent="0.4"/>
    <row r="7349" s="5" customFormat="1" x14ac:dyDescent="0.4"/>
    <row r="7350" s="5" customFormat="1" x14ac:dyDescent="0.4"/>
    <row r="7351" s="5" customFormat="1" x14ac:dyDescent="0.4"/>
    <row r="7352" s="5" customFormat="1" x14ac:dyDescent="0.4"/>
    <row r="7353" s="5" customFormat="1" x14ac:dyDescent="0.4"/>
    <row r="7354" s="5" customFormat="1" x14ac:dyDescent="0.4"/>
    <row r="7355" s="5" customFormat="1" x14ac:dyDescent="0.4"/>
    <row r="7356" s="5" customFormat="1" x14ac:dyDescent="0.4"/>
    <row r="7357" s="5" customFormat="1" x14ac:dyDescent="0.4"/>
    <row r="7358" s="5" customFormat="1" x14ac:dyDescent="0.4"/>
    <row r="7359" s="5" customFormat="1" x14ac:dyDescent="0.4"/>
    <row r="7360" s="5" customFormat="1" x14ac:dyDescent="0.4"/>
    <row r="7361" s="5" customFormat="1" x14ac:dyDescent="0.4"/>
    <row r="7362" s="5" customFormat="1" x14ac:dyDescent="0.4"/>
    <row r="7363" s="5" customFormat="1" x14ac:dyDescent="0.4"/>
    <row r="7364" s="5" customFormat="1" x14ac:dyDescent="0.4"/>
    <row r="7365" s="5" customFormat="1" x14ac:dyDescent="0.4"/>
    <row r="7366" s="5" customFormat="1" x14ac:dyDescent="0.4"/>
    <row r="7367" s="5" customFormat="1" x14ac:dyDescent="0.4"/>
    <row r="7368" s="5" customFormat="1" x14ac:dyDescent="0.4"/>
    <row r="7369" s="5" customFormat="1" x14ac:dyDescent="0.4"/>
    <row r="7370" s="5" customFormat="1" x14ac:dyDescent="0.4"/>
    <row r="7371" s="5" customFormat="1" x14ac:dyDescent="0.4"/>
    <row r="7372" s="5" customFormat="1" x14ac:dyDescent="0.4"/>
    <row r="7373" s="5" customFormat="1" x14ac:dyDescent="0.4"/>
    <row r="7374" s="5" customFormat="1" x14ac:dyDescent="0.4"/>
    <row r="7375" s="5" customFormat="1" x14ac:dyDescent="0.4"/>
    <row r="7376" s="5" customFormat="1" x14ac:dyDescent="0.4"/>
    <row r="7377" s="5" customFormat="1" x14ac:dyDescent="0.4"/>
    <row r="7378" s="5" customFormat="1" x14ac:dyDescent="0.4"/>
    <row r="7379" s="5" customFormat="1" x14ac:dyDescent="0.4"/>
    <row r="7380" s="5" customFormat="1" x14ac:dyDescent="0.4"/>
    <row r="7381" s="5" customFormat="1" x14ac:dyDescent="0.4"/>
    <row r="7382" s="5" customFormat="1" x14ac:dyDescent="0.4"/>
    <row r="7383" s="5" customFormat="1" x14ac:dyDescent="0.4"/>
    <row r="7384" s="5" customFormat="1" x14ac:dyDescent="0.4"/>
    <row r="7385" s="5" customFormat="1" x14ac:dyDescent="0.4"/>
    <row r="7386" s="5" customFormat="1" x14ac:dyDescent="0.4"/>
    <row r="7387" s="5" customFormat="1" x14ac:dyDescent="0.4"/>
    <row r="7388" s="5" customFormat="1" x14ac:dyDescent="0.4"/>
    <row r="7389" s="5" customFormat="1" x14ac:dyDescent="0.4"/>
    <row r="7390" s="5" customFormat="1" x14ac:dyDescent="0.4"/>
    <row r="7391" s="5" customFormat="1" x14ac:dyDescent="0.4"/>
    <row r="7392" s="5" customFormat="1" x14ac:dyDescent="0.4"/>
    <row r="7393" s="5" customFormat="1" x14ac:dyDescent="0.4"/>
    <row r="7394" s="5" customFormat="1" x14ac:dyDescent="0.4"/>
    <row r="7395" s="5" customFormat="1" x14ac:dyDescent="0.4"/>
    <row r="7396" s="5" customFormat="1" x14ac:dyDescent="0.4"/>
    <row r="7397" s="5" customFormat="1" x14ac:dyDescent="0.4"/>
    <row r="7398" s="5" customFormat="1" x14ac:dyDescent="0.4"/>
    <row r="7399" s="5" customFormat="1" x14ac:dyDescent="0.4"/>
    <row r="7400" s="5" customFormat="1" x14ac:dyDescent="0.4"/>
    <row r="7401" s="5" customFormat="1" x14ac:dyDescent="0.4"/>
    <row r="7402" s="5" customFormat="1" x14ac:dyDescent="0.4"/>
    <row r="7403" s="5" customFormat="1" x14ac:dyDescent="0.4"/>
    <row r="7404" s="5" customFormat="1" x14ac:dyDescent="0.4"/>
    <row r="7405" s="5" customFormat="1" x14ac:dyDescent="0.4"/>
    <row r="7406" s="5" customFormat="1" x14ac:dyDescent="0.4"/>
    <row r="7407" s="5" customFormat="1" x14ac:dyDescent="0.4"/>
    <row r="7408" s="5" customFormat="1" x14ac:dyDescent="0.4"/>
    <row r="7409" s="5" customFormat="1" x14ac:dyDescent="0.4"/>
    <row r="7410" s="5" customFormat="1" x14ac:dyDescent="0.4"/>
    <row r="7411" s="5" customFormat="1" x14ac:dyDescent="0.4"/>
    <row r="7412" s="5" customFormat="1" x14ac:dyDescent="0.4"/>
    <row r="7413" s="5" customFormat="1" x14ac:dyDescent="0.4"/>
    <row r="7414" s="5" customFormat="1" x14ac:dyDescent="0.4"/>
    <row r="7415" s="5" customFormat="1" x14ac:dyDescent="0.4"/>
    <row r="7416" s="5" customFormat="1" x14ac:dyDescent="0.4"/>
    <row r="7417" s="5" customFormat="1" x14ac:dyDescent="0.4"/>
    <row r="7418" s="5" customFormat="1" x14ac:dyDescent="0.4"/>
    <row r="7419" s="5" customFormat="1" x14ac:dyDescent="0.4"/>
    <row r="7420" s="5" customFormat="1" x14ac:dyDescent="0.4"/>
    <row r="7421" s="5" customFormat="1" x14ac:dyDescent="0.4"/>
    <row r="7422" s="5" customFormat="1" x14ac:dyDescent="0.4"/>
    <row r="7423" s="5" customFormat="1" x14ac:dyDescent="0.4"/>
    <row r="7424" s="5" customFormat="1" x14ac:dyDescent="0.4"/>
    <row r="7425" s="5" customFormat="1" x14ac:dyDescent="0.4"/>
    <row r="7426" s="5" customFormat="1" x14ac:dyDescent="0.4"/>
    <row r="7427" s="5" customFormat="1" x14ac:dyDescent="0.4"/>
    <row r="7428" s="5" customFormat="1" x14ac:dyDescent="0.4"/>
    <row r="7429" s="5" customFormat="1" x14ac:dyDescent="0.4"/>
    <row r="7430" s="5" customFormat="1" x14ac:dyDescent="0.4"/>
    <row r="7431" s="5" customFormat="1" x14ac:dyDescent="0.4"/>
    <row r="7432" s="5" customFormat="1" x14ac:dyDescent="0.4"/>
    <row r="7433" s="5" customFormat="1" x14ac:dyDescent="0.4"/>
    <row r="7434" s="5" customFormat="1" x14ac:dyDescent="0.4"/>
    <row r="7435" s="5" customFormat="1" x14ac:dyDescent="0.4"/>
    <row r="7436" s="5" customFormat="1" x14ac:dyDescent="0.4"/>
    <row r="7437" s="5" customFormat="1" x14ac:dyDescent="0.4"/>
    <row r="7438" s="5" customFormat="1" x14ac:dyDescent="0.4"/>
    <row r="7439" s="5" customFormat="1" x14ac:dyDescent="0.4"/>
    <row r="7440" s="5" customFormat="1" x14ac:dyDescent="0.4"/>
    <row r="7441" s="5" customFormat="1" x14ac:dyDescent="0.4"/>
    <row r="7442" s="5" customFormat="1" x14ac:dyDescent="0.4"/>
    <row r="7443" s="5" customFormat="1" x14ac:dyDescent="0.4"/>
    <row r="7444" s="5" customFormat="1" x14ac:dyDescent="0.4"/>
    <row r="7445" s="5" customFormat="1" x14ac:dyDescent="0.4"/>
    <row r="7446" s="5" customFormat="1" x14ac:dyDescent="0.4"/>
    <row r="7447" s="5" customFormat="1" x14ac:dyDescent="0.4"/>
    <row r="7448" s="5" customFormat="1" x14ac:dyDescent="0.4"/>
    <row r="7449" s="5" customFormat="1" x14ac:dyDescent="0.4"/>
    <row r="7450" s="5" customFormat="1" x14ac:dyDescent="0.4"/>
    <row r="7451" s="5" customFormat="1" x14ac:dyDescent="0.4"/>
    <row r="7452" s="5" customFormat="1" x14ac:dyDescent="0.4"/>
    <row r="7453" s="5" customFormat="1" x14ac:dyDescent="0.4"/>
    <row r="7454" s="5" customFormat="1" x14ac:dyDescent="0.4"/>
    <row r="7455" s="5" customFormat="1" x14ac:dyDescent="0.4"/>
    <row r="7456" s="5" customFormat="1" x14ac:dyDescent="0.4"/>
    <row r="7457" s="5" customFormat="1" x14ac:dyDescent="0.4"/>
    <row r="7458" s="5" customFormat="1" x14ac:dyDescent="0.4"/>
    <row r="7459" s="5" customFormat="1" x14ac:dyDescent="0.4"/>
    <row r="7460" s="5" customFormat="1" x14ac:dyDescent="0.4"/>
    <row r="7461" s="5" customFormat="1" x14ac:dyDescent="0.4"/>
    <row r="7462" s="5" customFormat="1" x14ac:dyDescent="0.4"/>
    <row r="7463" s="5" customFormat="1" x14ac:dyDescent="0.4"/>
    <row r="7464" s="5" customFormat="1" x14ac:dyDescent="0.4"/>
    <row r="7465" s="5" customFormat="1" x14ac:dyDescent="0.4"/>
    <row r="7466" s="5" customFormat="1" x14ac:dyDescent="0.4"/>
    <row r="7467" s="5" customFormat="1" x14ac:dyDescent="0.4"/>
    <row r="7468" s="5" customFormat="1" x14ac:dyDescent="0.4"/>
    <row r="7469" s="5" customFormat="1" x14ac:dyDescent="0.4"/>
    <row r="7470" s="5" customFormat="1" x14ac:dyDescent="0.4"/>
    <row r="7471" s="5" customFormat="1" x14ac:dyDescent="0.4"/>
    <row r="7472" s="5" customFormat="1" x14ac:dyDescent="0.4"/>
    <row r="7473" s="5" customFormat="1" x14ac:dyDescent="0.4"/>
    <row r="7474" s="5" customFormat="1" x14ac:dyDescent="0.4"/>
    <row r="7475" s="5" customFormat="1" x14ac:dyDescent="0.4"/>
    <row r="7476" s="5" customFormat="1" x14ac:dyDescent="0.4"/>
    <row r="7477" s="5" customFormat="1" x14ac:dyDescent="0.4"/>
    <row r="7478" s="5" customFormat="1" x14ac:dyDescent="0.4"/>
    <row r="7479" s="5" customFormat="1" x14ac:dyDescent="0.4"/>
    <row r="7480" s="5" customFormat="1" x14ac:dyDescent="0.4"/>
    <row r="7481" s="5" customFormat="1" x14ac:dyDescent="0.4"/>
    <row r="7482" s="5" customFormat="1" x14ac:dyDescent="0.4"/>
    <row r="7483" s="5" customFormat="1" x14ac:dyDescent="0.4"/>
    <row r="7484" s="5" customFormat="1" x14ac:dyDescent="0.4"/>
    <row r="7485" s="5" customFormat="1" x14ac:dyDescent="0.4"/>
    <row r="7486" s="5" customFormat="1" x14ac:dyDescent="0.4"/>
    <row r="7487" s="5" customFormat="1" x14ac:dyDescent="0.4"/>
    <row r="7488" s="5" customFormat="1" x14ac:dyDescent="0.4"/>
    <row r="7489" s="5" customFormat="1" x14ac:dyDescent="0.4"/>
    <row r="7490" s="5" customFormat="1" x14ac:dyDescent="0.4"/>
    <row r="7491" s="5" customFormat="1" x14ac:dyDescent="0.4"/>
    <row r="7492" s="5" customFormat="1" x14ac:dyDescent="0.4"/>
    <row r="7493" s="5" customFormat="1" x14ac:dyDescent="0.4"/>
    <row r="7494" s="5" customFormat="1" x14ac:dyDescent="0.4"/>
    <row r="7495" s="5" customFormat="1" x14ac:dyDescent="0.4"/>
    <row r="7496" s="5" customFormat="1" x14ac:dyDescent="0.4"/>
    <row r="7497" s="5" customFormat="1" x14ac:dyDescent="0.4"/>
    <row r="7498" s="5" customFormat="1" x14ac:dyDescent="0.4"/>
    <row r="7499" s="5" customFormat="1" x14ac:dyDescent="0.4"/>
    <row r="7500" s="5" customFormat="1" x14ac:dyDescent="0.4"/>
    <row r="7501" s="5" customFormat="1" x14ac:dyDescent="0.4"/>
    <row r="7502" s="5" customFormat="1" x14ac:dyDescent="0.4"/>
    <row r="7503" s="5" customFormat="1" x14ac:dyDescent="0.4"/>
    <row r="7504" s="5" customFormat="1" x14ac:dyDescent="0.4"/>
    <row r="7505" s="5" customFormat="1" x14ac:dyDescent="0.4"/>
    <row r="7506" s="5" customFormat="1" x14ac:dyDescent="0.4"/>
    <row r="7507" s="5" customFormat="1" x14ac:dyDescent="0.4"/>
    <row r="7508" s="5" customFormat="1" x14ac:dyDescent="0.4"/>
    <row r="7509" s="5" customFormat="1" x14ac:dyDescent="0.4"/>
    <row r="7510" s="5" customFormat="1" x14ac:dyDescent="0.4"/>
    <row r="7511" s="5" customFormat="1" x14ac:dyDescent="0.4"/>
    <row r="7512" s="5" customFormat="1" x14ac:dyDescent="0.4"/>
    <row r="7513" s="5" customFormat="1" x14ac:dyDescent="0.4"/>
    <row r="7514" s="5" customFormat="1" x14ac:dyDescent="0.4"/>
    <row r="7515" s="5" customFormat="1" x14ac:dyDescent="0.4"/>
    <row r="7516" s="5" customFormat="1" x14ac:dyDescent="0.4"/>
    <row r="7517" s="5" customFormat="1" x14ac:dyDescent="0.4"/>
    <row r="7518" s="5" customFormat="1" x14ac:dyDescent="0.4"/>
    <row r="7519" s="5" customFormat="1" x14ac:dyDescent="0.4"/>
    <row r="7520" s="5" customFormat="1" x14ac:dyDescent="0.4"/>
    <row r="7521" s="5" customFormat="1" x14ac:dyDescent="0.4"/>
    <row r="7522" s="5" customFormat="1" x14ac:dyDescent="0.4"/>
    <row r="7523" s="5" customFormat="1" x14ac:dyDescent="0.4"/>
    <row r="7524" s="5" customFormat="1" x14ac:dyDescent="0.4"/>
    <row r="7525" s="5" customFormat="1" x14ac:dyDescent="0.4"/>
    <row r="7526" s="5" customFormat="1" x14ac:dyDescent="0.4"/>
    <row r="7527" s="5" customFormat="1" x14ac:dyDescent="0.4"/>
    <row r="7528" s="5" customFormat="1" x14ac:dyDescent="0.4"/>
    <row r="7529" s="5" customFormat="1" x14ac:dyDescent="0.4"/>
    <row r="7530" s="5" customFormat="1" x14ac:dyDescent="0.4"/>
    <row r="7531" s="5" customFormat="1" x14ac:dyDescent="0.4"/>
    <row r="7532" s="5" customFormat="1" x14ac:dyDescent="0.4"/>
    <row r="7533" s="5" customFormat="1" x14ac:dyDescent="0.4"/>
    <row r="7534" s="5" customFormat="1" x14ac:dyDescent="0.4"/>
    <row r="7535" s="5" customFormat="1" x14ac:dyDescent="0.4"/>
    <row r="7536" s="5" customFormat="1" x14ac:dyDescent="0.4"/>
    <row r="7537" s="5" customFormat="1" x14ac:dyDescent="0.4"/>
    <row r="7538" s="5" customFormat="1" x14ac:dyDescent="0.4"/>
    <row r="7539" s="5" customFormat="1" x14ac:dyDescent="0.4"/>
    <row r="7540" s="5" customFormat="1" x14ac:dyDescent="0.4"/>
    <row r="7541" s="5" customFormat="1" x14ac:dyDescent="0.4"/>
    <row r="7542" s="5" customFormat="1" x14ac:dyDescent="0.4"/>
    <row r="7543" s="5" customFormat="1" x14ac:dyDescent="0.4"/>
    <row r="7544" s="5" customFormat="1" x14ac:dyDescent="0.4"/>
    <row r="7545" s="5" customFormat="1" x14ac:dyDescent="0.4"/>
    <row r="7546" s="5" customFormat="1" x14ac:dyDescent="0.4"/>
    <row r="7547" s="5" customFormat="1" x14ac:dyDescent="0.4"/>
    <row r="7548" s="5" customFormat="1" x14ac:dyDescent="0.4"/>
    <row r="7549" s="5" customFormat="1" x14ac:dyDescent="0.4"/>
    <row r="7550" s="5" customFormat="1" x14ac:dyDescent="0.4"/>
    <row r="7551" s="5" customFormat="1" x14ac:dyDescent="0.4"/>
    <row r="7552" s="5" customFormat="1" x14ac:dyDescent="0.4"/>
    <row r="7553" s="5" customFormat="1" x14ac:dyDescent="0.4"/>
    <row r="7554" s="5" customFormat="1" x14ac:dyDescent="0.4"/>
    <row r="7555" s="5" customFormat="1" x14ac:dyDescent="0.4"/>
    <row r="7556" s="5" customFormat="1" x14ac:dyDescent="0.4"/>
    <row r="7557" s="5" customFormat="1" x14ac:dyDescent="0.4"/>
    <row r="7558" s="5" customFormat="1" x14ac:dyDescent="0.4"/>
    <row r="7559" s="5" customFormat="1" x14ac:dyDescent="0.4"/>
    <row r="7560" s="5" customFormat="1" x14ac:dyDescent="0.4"/>
    <row r="7561" s="5" customFormat="1" x14ac:dyDescent="0.4"/>
    <row r="7562" s="5" customFormat="1" x14ac:dyDescent="0.4"/>
    <row r="7563" s="5" customFormat="1" x14ac:dyDescent="0.4"/>
    <row r="7564" s="5" customFormat="1" x14ac:dyDescent="0.4"/>
    <row r="7565" s="5" customFormat="1" x14ac:dyDescent="0.4"/>
    <row r="7566" s="5" customFormat="1" x14ac:dyDescent="0.4"/>
    <row r="7567" s="5" customFormat="1" x14ac:dyDescent="0.4"/>
    <row r="7568" s="5" customFormat="1" x14ac:dyDescent="0.4"/>
    <row r="7569" s="5" customFormat="1" x14ac:dyDescent="0.4"/>
    <row r="7570" s="5" customFormat="1" x14ac:dyDescent="0.4"/>
    <row r="7571" s="5" customFormat="1" x14ac:dyDescent="0.4"/>
    <row r="7572" s="5" customFormat="1" x14ac:dyDescent="0.4"/>
    <row r="7573" s="5" customFormat="1" x14ac:dyDescent="0.4"/>
    <row r="7574" s="5" customFormat="1" x14ac:dyDescent="0.4"/>
    <row r="7575" s="5" customFormat="1" x14ac:dyDescent="0.4"/>
    <row r="7576" s="5" customFormat="1" x14ac:dyDescent="0.4"/>
    <row r="7577" s="5" customFormat="1" x14ac:dyDescent="0.4"/>
    <row r="7578" s="5" customFormat="1" x14ac:dyDescent="0.4"/>
    <row r="7579" s="5" customFormat="1" x14ac:dyDescent="0.4"/>
    <row r="7580" s="5" customFormat="1" x14ac:dyDescent="0.4"/>
    <row r="7581" s="5" customFormat="1" x14ac:dyDescent="0.4"/>
    <row r="7582" s="5" customFormat="1" x14ac:dyDescent="0.4"/>
    <row r="7583" s="5" customFormat="1" x14ac:dyDescent="0.4"/>
    <row r="7584" s="5" customFormat="1" x14ac:dyDescent="0.4"/>
    <row r="7585" s="5" customFormat="1" x14ac:dyDescent="0.4"/>
    <row r="7586" s="5" customFormat="1" x14ac:dyDescent="0.4"/>
    <row r="7587" s="5" customFormat="1" x14ac:dyDescent="0.4"/>
    <row r="7588" s="5" customFormat="1" x14ac:dyDescent="0.4"/>
    <row r="7589" s="5" customFormat="1" x14ac:dyDescent="0.4"/>
    <row r="7590" s="5" customFormat="1" x14ac:dyDescent="0.4"/>
    <row r="7591" s="5" customFormat="1" x14ac:dyDescent="0.4"/>
    <row r="7592" s="5" customFormat="1" x14ac:dyDescent="0.4"/>
    <row r="7593" s="5" customFormat="1" x14ac:dyDescent="0.4"/>
    <row r="7594" s="5" customFormat="1" x14ac:dyDescent="0.4"/>
    <row r="7595" s="5" customFormat="1" x14ac:dyDescent="0.4"/>
    <row r="7596" s="5" customFormat="1" x14ac:dyDescent="0.4"/>
    <row r="7597" s="5" customFormat="1" x14ac:dyDescent="0.4"/>
    <row r="7598" s="5" customFormat="1" x14ac:dyDescent="0.4"/>
    <row r="7599" s="5" customFormat="1" x14ac:dyDescent="0.4"/>
    <row r="7600" s="5" customFormat="1" x14ac:dyDescent="0.4"/>
    <row r="7601" s="5" customFormat="1" x14ac:dyDescent="0.4"/>
    <row r="7602" s="5" customFormat="1" x14ac:dyDescent="0.4"/>
    <row r="7603" s="5" customFormat="1" x14ac:dyDescent="0.4"/>
    <row r="7604" s="5" customFormat="1" x14ac:dyDescent="0.4"/>
    <row r="7605" s="5" customFormat="1" x14ac:dyDescent="0.4"/>
    <row r="7606" s="5" customFormat="1" x14ac:dyDescent="0.4"/>
    <row r="7607" s="5" customFormat="1" x14ac:dyDescent="0.4"/>
    <row r="7608" s="5" customFormat="1" x14ac:dyDescent="0.4"/>
    <row r="7609" s="5" customFormat="1" x14ac:dyDescent="0.4"/>
    <row r="7610" s="5" customFormat="1" x14ac:dyDescent="0.4"/>
    <row r="7611" s="5" customFormat="1" x14ac:dyDescent="0.4"/>
    <row r="7612" s="5" customFormat="1" x14ac:dyDescent="0.4"/>
    <row r="7613" s="5" customFormat="1" x14ac:dyDescent="0.4"/>
    <row r="7614" s="5" customFormat="1" x14ac:dyDescent="0.4"/>
    <row r="7615" s="5" customFormat="1" x14ac:dyDescent="0.4"/>
    <row r="7616" s="5" customFormat="1" x14ac:dyDescent="0.4"/>
    <row r="7617" s="5" customFormat="1" x14ac:dyDescent="0.4"/>
    <row r="7618" s="5" customFormat="1" x14ac:dyDescent="0.4"/>
    <row r="7619" s="5" customFormat="1" x14ac:dyDescent="0.4"/>
    <row r="7620" s="5" customFormat="1" x14ac:dyDescent="0.4"/>
    <row r="7621" s="5" customFormat="1" x14ac:dyDescent="0.4"/>
    <row r="7622" s="5" customFormat="1" x14ac:dyDescent="0.4"/>
    <row r="7623" s="5" customFormat="1" x14ac:dyDescent="0.4"/>
    <row r="7624" s="5" customFormat="1" x14ac:dyDescent="0.4"/>
    <row r="7625" s="5" customFormat="1" x14ac:dyDescent="0.4"/>
    <row r="7626" s="5" customFormat="1" x14ac:dyDescent="0.4"/>
    <row r="7627" s="5" customFormat="1" x14ac:dyDescent="0.4"/>
    <row r="7628" s="5" customFormat="1" x14ac:dyDescent="0.4"/>
    <row r="7629" s="5" customFormat="1" x14ac:dyDescent="0.4"/>
    <row r="7630" s="5" customFormat="1" x14ac:dyDescent="0.4"/>
    <row r="7631" s="5" customFormat="1" x14ac:dyDescent="0.4"/>
    <row r="7632" s="5" customFormat="1" x14ac:dyDescent="0.4"/>
    <row r="7633" s="5" customFormat="1" x14ac:dyDescent="0.4"/>
    <row r="7634" s="5" customFormat="1" x14ac:dyDescent="0.4"/>
    <row r="7635" s="5" customFormat="1" x14ac:dyDescent="0.4"/>
    <row r="7636" s="5" customFormat="1" x14ac:dyDescent="0.4"/>
    <row r="7637" s="5" customFormat="1" x14ac:dyDescent="0.4"/>
    <row r="7638" s="5" customFormat="1" x14ac:dyDescent="0.4"/>
    <row r="7639" s="5" customFormat="1" x14ac:dyDescent="0.4"/>
    <row r="7640" s="5" customFormat="1" x14ac:dyDescent="0.4"/>
    <row r="7641" s="5" customFormat="1" x14ac:dyDescent="0.4"/>
    <row r="7642" s="5" customFormat="1" x14ac:dyDescent="0.4"/>
    <row r="7643" s="5" customFormat="1" x14ac:dyDescent="0.4"/>
    <row r="7644" s="5" customFormat="1" x14ac:dyDescent="0.4"/>
    <row r="7645" s="5" customFormat="1" x14ac:dyDescent="0.4"/>
    <row r="7646" s="5" customFormat="1" x14ac:dyDescent="0.4"/>
    <row r="7647" s="5" customFormat="1" x14ac:dyDescent="0.4"/>
    <row r="7648" s="5" customFormat="1" x14ac:dyDescent="0.4"/>
    <row r="7649" s="5" customFormat="1" x14ac:dyDescent="0.4"/>
    <row r="7650" s="5" customFormat="1" x14ac:dyDescent="0.4"/>
    <row r="7651" s="5" customFormat="1" x14ac:dyDescent="0.4"/>
    <row r="7652" s="5" customFormat="1" x14ac:dyDescent="0.4"/>
    <row r="7653" s="5" customFormat="1" x14ac:dyDescent="0.4"/>
    <row r="7654" s="5" customFormat="1" x14ac:dyDescent="0.4"/>
    <row r="7655" s="5" customFormat="1" x14ac:dyDescent="0.4"/>
    <row r="7656" s="5" customFormat="1" x14ac:dyDescent="0.4"/>
    <row r="7657" s="5" customFormat="1" x14ac:dyDescent="0.4"/>
    <row r="7658" s="5" customFormat="1" x14ac:dyDescent="0.4"/>
    <row r="7659" s="5" customFormat="1" x14ac:dyDescent="0.4"/>
    <row r="7660" s="5" customFormat="1" x14ac:dyDescent="0.4"/>
    <row r="7661" s="5" customFormat="1" x14ac:dyDescent="0.4"/>
    <row r="7662" s="5" customFormat="1" x14ac:dyDescent="0.4"/>
    <row r="7663" s="5" customFormat="1" x14ac:dyDescent="0.4"/>
    <row r="7664" s="5" customFormat="1" x14ac:dyDescent="0.4"/>
    <row r="7665" s="5" customFormat="1" x14ac:dyDescent="0.4"/>
    <row r="7666" s="5" customFormat="1" x14ac:dyDescent="0.4"/>
    <row r="7667" s="5" customFormat="1" x14ac:dyDescent="0.4"/>
    <row r="7668" s="5" customFormat="1" x14ac:dyDescent="0.4"/>
    <row r="7669" s="5" customFormat="1" x14ac:dyDescent="0.4"/>
    <row r="7670" s="5" customFormat="1" x14ac:dyDescent="0.4"/>
    <row r="7671" s="5" customFormat="1" x14ac:dyDescent="0.4"/>
    <row r="7672" s="5" customFormat="1" x14ac:dyDescent="0.4"/>
    <row r="7673" s="5" customFormat="1" x14ac:dyDescent="0.4"/>
    <row r="7674" s="5" customFormat="1" x14ac:dyDescent="0.4"/>
    <row r="7675" s="5" customFormat="1" x14ac:dyDescent="0.4"/>
    <row r="7676" s="5" customFormat="1" x14ac:dyDescent="0.4"/>
    <row r="7677" s="5" customFormat="1" x14ac:dyDescent="0.4"/>
    <row r="7678" s="5" customFormat="1" x14ac:dyDescent="0.4"/>
    <row r="7679" s="5" customFormat="1" x14ac:dyDescent="0.4"/>
    <row r="7680" s="5" customFormat="1" x14ac:dyDescent="0.4"/>
    <row r="7681" s="5" customFormat="1" x14ac:dyDescent="0.4"/>
    <row r="7682" s="5" customFormat="1" x14ac:dyDescent="0.4"/>
    <row r="7683" s="5" customFormat="1" x14ac:dyDescent="0.4"/>
    <row r="7684" s="5" customFormat="1" x14ac:dyDescent="0.4"/>
    <row r="7685" s="5" customFormat="1" x14ac:dyDescent="0.4"/>
    <row r="7686" s="5" customFormat="1" x14ac:dyDescent="0.4"/>
    <row r="7687" s="5" customFormat="1" x14ac:dyDescent="0.4"/>
    <row r="7688" s="5" customFormat="1" x14ac:dyDescent="0.4"/>
    <row r="7689" s="5" customFormat="1" x14ac:dyDescent="0.4"/>
    <row r="7690" s="5" customFormat="1" x14ac:dyDescent="0.4"/>
    <row r="7691" s="5" customFormat="1" x14ac:dyDescent="0.4"/>
    <row r="7692" s="5" customFormat="1" x14ac:dyDescent="0.4"/>
    <row r="7693" s="5" customFormat="1" x14ac:dyDescent="0.4"/>
    <row r="7694" s="5" customFormat="1" x14ac:dyDescent="0.4"/>
    <row r="7695" s="5" customFormat="1" x14ac:dyDescent="0.4"/>
    <row r="7696" s="5" customFormat="1" x14ac:dyDescent="0.4"/>
    <row r="7697" s="5" customFormat="1" x14ac:dyDescent="0.4"/>
    <row r="7698" s="5" customFormat="1" x14ac:dyDescent="0.4"/>
    <row r="7699" s="5" customFormat="1" x14ac:dyDescent="0.4"/>
    <row r="7700" s="5" customFormat="1" x14ac:dyDescent="0.4"/>
    <row r="7701" s="5" customFormat="1" x14ac:dyDescent="0.4"/>
    <row r="7702" s="5" customFormat="1" x14ac:dyDescent="0.4"/>
    <row r="7703" s="5" customFormat="1" x14ac:dyDescent="0.4"/>
    <row r="7704" s="5" customFormat="1" x14ac:dyDescent="0.4"/>
    <row r="7705" s="5" customFormat="1" x14ac:dyDescent="0.4"/>
    <row r="7706" s="5" customFormat="1" x14ac:dyDescent="0.4"/>
    <row r="7707" s="5" customFormat="1" x14ac:dyDescent="0.4"/>
    <row r="7708" s="5" customFormat="1" x14ac:dyDescent="0.4"/>
    <row r="7709" s="5" customFormat="1" x14ac:dyDescent="0.4"/>
    <row r="7710" s="5" customFormat="1" x14ac:dyDescent="0.4"/>
    <row r="7711" s="5" customFormat="1" x14ac:dyDescent="0.4"/>
    <row r="7712" s="5" customFormat="1" x14ac:dyDescent="0.4"/>
    <row r="7713" s="5" customFormat="1" x14ac:dyDescent="0.4"/>
    <row r="7714" s="5" customFormat="1" x14ac:dyDescent="0.4"/>
    <row r="7715" s="5" customFormat="1" x14ac:dyDescent="0.4"/>
    <row r="7716" s="5" customFormat="1" x14ac:dyDescent="0.4"/>
    <row r="7717" s="5" customFormat="1" x14ac:dyDescent="0.4"/>
    <row r="7718" s="5" customFormat="1" x14ac:dyDescent="0.4"/>
    <row r="7719" s="5" customFormat="1" x14ac:dyDescent="0.4"/>
    <row r="7720" s="5" customFormat="1" x14ac:dyDescent="0.4"/>
    <row r="7721" s="5" customFormat="1" x14ac:dyDescent="0.4"/>
    <row r="7722" s="5" customFormat="1" x14ac:dyDescent="0.4"/>
    <row r="7723" s="5" customFormat="1" x14ac:dyDescent="0.4"/>
    <row r="7724" s="5" customFormat="1" x14ac:dyDescent="0.4"/>
    <row r="7725" s="5" customFormat="1" x14ac:dyDescent="0.4"/>
    <row r="7726" s="5" customFormat="1" x14ac:dyDescent="0.4"/>
    <row r="7727" s="5" customFormat="1" x14ac:dyDescent="0.4"/>
    <row r="7728" s="5" customFormat="1" x14ac:dyDescent="0.4"/>
    <row r="7729" s="5" customFormat="1" x14ac:dyDescent="0.4"/>
    <row r="7730" s="5" customFormat="1" x14ac:dyDescent="0.4"/>
    <row r="7731" s="5" customFormat="1" x14ac:dyDescent="0.4"/>
    <row r="7732" s="5" customFormat="1" x14ac:dyDescent="0.4"/>
    <row r="7733" s="5" customFormat="1" x14ac:dyDescent="0.4"/>
    <row r="7734" s="5" customFormat="1" x14ac:dyDescent="0.4"/>
    <row r="7735" s="5" customFormat="1" x14ac:dyDescent="0.4"/>
    <row r="7736" s="5" customFormat="1" x14ac:dyDescent="0.4"/>
    <row r="7737" s="5" customFormat="1" x14ac:dyDescent="0.4"/>
    <row r="7738" s="5" customFormat="1" x14ac:dyDescent="0.4"/>
    <row r="7739" s="5" customFormat="1" x14ac:dyDescent="0.4"/>
    <row r="7740" s="5" customFormat="1" x14ac:dyDescent="0.4"/>
    <row r="7741" s="5" customFormat="1" x14ac:dyDescent="0.4"/>
    <row r="7742" s="5" customFormat="1" x14ac:dyDescent="0.4"/>
    <row r="7743" s="5" customFormat="1" x14ac:dyDescent="0.4"/>
    <row r="7744" s="5" customFormat="1" x14ac:dyDescent="0.4"/>
    <row r="7745" s="5" customFormat="1" x14ac:dyDescent="0.4"/>
    <row r="7746" s="5" customFormat="1" x14ac:dyDescent="0.4"/>
    <row r="7747" s="5" customFormat="1" x14ac:dyDescent="0.4"/>
    <row r="7748" s="5" customFormat="1" x14ac:dyDescent="0.4"/>
    <row r="7749" s="5" customFormat="1" x14ac:dyDescent="0.4"/>
    <row r="7750" s="5" customFormat="1" x14ac:dyDescent="0.4"/>
    <row r="7751" s="5" customFormat="1" x14ac:dyDescent="0.4"/>
    <row r="7752" s="5" customFormat="1" x14ac:dyDescent="0.4"/>
    <row r="7753" s="5" customFormat="1" x14ac:dyDescent="0.4"/>
    <row r="7754" s="5" customFormat="1" x14ac:dyDescent="0.4"/>
    <row r="7755" s="5" customFormat="1" x14ac:dyDescent="0.4"/>
    <row r="7756" s="5" customFormat="1" x14ac:dyDescent="0.4"/>
    <row r="7757" s="5" customFormat="1" x14ac:dyDescent="0.4"/>
    <row r="7758" s="5" customFormat="1" x14ac:dyDescent="0.4"/>
    <row r="7759" s="5" customFormat="1" x14ac:dyDescent="0.4"/>
    <row r="7760" s="5" customFormat="1" x14ac:dyDescent="0.4"/>
    <row r="7761" s="5" customFormat="1" x14ac:dyDescent="0.4"/>
    <row r="7762" s="5" customFormat="1" x14ac:dyDescent="0.4"/>
    <row r="7763" s="5" customFormat="1" x14ac:dyDescent="0.4"/>
    <row r="7764" s="5" customFormat="1" x14ac:dyDescent="0.4"/>
    <row r="7765" s="5" customFormat="1" x14ac:dyDescent="0.4"/>
    <row r="7766" s="5" customFormat="1" x14ac:dyDescent="0.4"/>
    <row r="7767" s="5" customFormat="1" x14ac:dyDescent="0.4"/>
    <row r="7768" s="5" customFormat="1" x14ac:dyDescent="0.4"/>
    <row r="7769" s="5" customFormat="1" x14ac:dyDescent="0.4"/>
    <row r="7770" s="5" customFormat="1" x14ac:dyDescent="0.4"/>
    <row r="7771" s="5" customFormat="1" x14ac:dyDescent="0.4"/>
    <row r="7772" s="5" customFormat="1" x14ac:dyDescent="0.4"/>
    <row r="7773" s="5" customFormat="1" x14ac:dyDescent="0.4"/>
    <row r="7774" s="5" customFormat="1" x14ac:dyDescent="0.4"/>
    <row r="7775" s="5" customFormat="1" x14ac:dyDescent="0.4"/>
    <row r="7776" s="5" customFormat="1" x14ac:dyDescent="0.4"/>
    <row r="7777" s="5" customFormat="1" x14ac:dyDescent="0.4"/>
    <row r="7778" s="5" customFormat="1" x14ac:dyDescent="0.4"/>
    <row r="7779" s="5" customFormat="1" x14ac:dyDescent="0.4"/>
    <row r="7780" s="5" customFormat="1" x14ac:dyDescent="0.4"/>
    <row r="7781" s="5" customFormat="1" x14ac:dyDescent="0.4"/>
    <row r="7782" s="5" customFormat="1" x14ac:dyDescent="0.4"/>
    <row r="7783" s="5" customFormat="1" x14ac:dyDescent="0.4"/>
    <row r="7784" s="5" customFormat="1" x14ac:dyDescent="0.4"/>
    <row r="7785" s="5" customFormat="1" x14ac:dyDescent="0.4"/>
    <row r="7786" s="5" customFormat="1" x14ac:dyDescent="0.4"/>
    <row r="7787" s="5" customFormat="1" x14ac:dyDescent="0.4"/>
    <row r="7788" s="5" customFormat="1" x14ac:dyDescent="0.4"/>
    <row r="7789" s="5" customFormat="1" x14ac:dyDescent="0.4"/>
    <row r="7790" s="5" customFormat="1" x14ac:dyDescent="0.4"/>
    <row r="7791" s="5" customFormat="1" x14ac:dyDescent="0.4"/>
    <row r="7792" s="5" customFormat="1" x14ac:dyDescent="0.4"/>
    <row r="7793" s="5" customFormat="1" x14ac:dyDescent="0.4"/>
    <row r="7794" s="5" customFormat="1" x14ac:dyDescent="0.4"/>
    <row r="7795" s="5" customFormat="1" x14ac:dyDescent="0.4"/>
    <row r="7796" s="5" customFormat="1" x14ac:dyDescent="0.4"/>
    <row r="7797" s="5" customFormat="1" x14ac:dyDescent="0.4"/>
    <row r="7798" s="5" customFormat="1" x14ac:dyDescent="0.4"/>
    <row r="7799" s="5" customFormat="1" x14ac:dyDescent="0.4"/>
    <row r="7800" s="5" customFormat="1" x14ac:dyDescent="0.4"/>
    <row r="7801" s="5" customFormat="1" x14ac:dyDescent="0.4"/>
    <row r="7802" s="5" customFormat="1" x14ac:dyDescent="0.4"/>
    <row r="7803" s="5" customFormat="1" x14ac:dyDescent="0.4"/>
    <row r="7804" s="5" customFormat="1" x14ac:dyDescent="0.4"/>
    <row r="7805" s="5" customFormat="1" x14ac:dyDescent="0.4"/>
    <row r="7806" s="5" customFormat="1" x14ac:dyDescent="0.4"/>
    <row r="7807" s="5" customFormat="1" x14ac:dyDescent="0.4"/>
    <row r="7808" s="5" customFormat="1" x14ac:dyDescent="0.4"/>
    <row r="7809" s="5" customFormat="1" x14ac:dyDescent="0.4"/>
    <row r="7810" s="5" customFormat="1" x14ac:dyDescent="0.4"/>
    <row r="7811" s="5" customFormat="1" x14ac:dyDescent="0.4"/>
    <row r="7812" s="5" customFormat="1" x14ac:dyDescent="0.4"/>
    <row r="7813" s="5" customFormat="1" x14ac:dyDescent="0.4"/>
    <row r="7814" s="5" customFormat="1" x14ac:dyDescent="0.4"/>
    <row r="7815" s="5" customFormat="1" x14ac:dyDescent="0.4"/>
    <row r="7816" s="5" customFormat="1" x14ac:dyDescent="0.4"/>
    <row r="7817" s="5" customFormat="1" x14ac:dyDescent="0.4"/>
    <row r="7818" s="5" customFormat="1" x14ac:dyDescent="0.4"/>
    <row r="7819" s="5" customFormat="1" x14ac:dyDescent="0.4"/>
    <row r="7820" s="5" customFormat="1" x14ac:dyDescent="0.4"/>
    <row r="7821" s="5" customFormat="1" x14ac:dyDescent="0.4"/>
    <row r="7822" s="5" customFormat="1" x14ac:dyDescent="0.4"/>
    <row r="7823" s="5" customFormat="1" x14ac:dyDescent="0.4"/>
    <row r="7824" s="5" customFormat="1" x14ac:dyDescent="0.4"/>
    <row r="7825" s="5" customFormat="1" x14ac:dyDescent="0.4"/>
    <row r="7826" s="5" customFormat="1" x14ac:dyDescent="0.4"/>
    <row r="7827" s="5" customFormat="1" x14ac:dyDescent="0.4"/>
    <row r="7828" s="5" customFormat="1" x14ac:dyDescent="0.4"/>
    <row r="7829" s="5" customFormat="1" x14ac:dyDescent="0.4"/>
    <row r="7830" s="5" customFormat="1" x14ac:dyDescent="0.4"/>
    <row r="7831" s="5" customFormat="1" x14ac:dyDescent="0.4"/>
    <row r="7832" s="5" customFormat="1" x14ac:dyDescent="0.4"/>
    <row r="7833" s="5" customFormat="1" x14ac:dyDescent="0.4"/>
    <row r="7834" s="5" customFormat="1" x14ac:dyDescent="0.4"/>
    <row r="7835" s="5" customFormat="1" x14ac:dyDescent="0.4"/>
    <row r="7836" s="5" customFormat="1" x14ac:dyDescent="0.4"/>
    <row r="7837" s="5" customFormat="1" x14ac:dyDescent="0.4"/>
    <row r="7838" s="5" customFormat="1" x14ac:dyDescent="0.4"/>
    <row r="7839" s="5" customFormat="1" x14ac:dyDescent="0.4"/>
    <row r="7840" s="5" customFormat="1" x14ac:dyDescent="0.4"/>
    <row r="7841" s="5" customFormat="1" x14ac:dyDescent="0.4"/>
    <row r="7842" s="5" customFormat="1" x14ac:dyDescent="0.4"/>
    <row r="7843" s="5" customFormat="1" x14ac:dyDescent="0.4"/>
    <row r="7844" s="5" customFormat="1" x14ac:dyDescent="0.4"/>
    <row r="7845" s="5" customFormat="1" x14ac:dyDescent="0.4"/>
    <row r="7846" s="5" customFormat="1" x14ac:dyDescent="0.4"/>
    <row r="7847" s="5" customFormat="1" x14ac:dyDescent="0.4"/>
    <row r="7848" s="5" customFormat="1" x14ac:dyDescent="0.4"/>
    <row r="7849" s="5" customFormat="1" x14ac:dyDescent="0.4"/>
    <row r="7850" s="5" customFormat="1" x14ac:dyDescent="0.4"/>
    <row r="7851" s="5" customFormat="1" x14ac:dyDescent="0.4"/>
    <row r="7852" s="5" customFormat="1" x14ac:dyDescent="0.4"/>
    <row r="7853" s="5" customFormat="1" x14ac:dyDescent="0.4"/>
    <row r="7854" s="5" customFormat="1" x14ac:dyDescent="0.4"/>
    <row r="7855" s="5" customFormat="1" x14ac:dyDescent="0.4"/>
    <row r="7856" s="5" customFormat="1" x14ac:dyDescent="0.4"/>
    <row r="7857" s="5" customFormat="1" x14ac:dyDescent="0.4"/>
    <row r="7858" s="5" customFormat="1" x14ac:dyDescent="0.4"/>
    <row r="7859" s="5" customFormat="1" x14ac:dyDescent="0.4"/>
    <row r="7860" s="5" customFormat="1" x14ac:dyDescent="0.4"/>
    <row r="7861" s="5" customFormat="1" x14ac:dyDescent="0.4"/>
    <row r="7862" s="5" customFormat="1" x14ac:dyDescent="0.4"/>
    <row r="7863" s="5" customFormat="1" x14ac:dyDescent="0.4"/>
    <row r="7864" s="5" customFormat="1" x14ac:dyDescent="0.4"/>
    <row r="7865" s="5" customFormat="1" x14ac:dyDescent="0.4"/>
    <row r="7866" s="5" customFormat="1" x14ac:dyDescent="0.4"/>
    <row r="7867" s="5" customFormat="1" x14ac:dyDescent="0.4"/>
    <row r="7868" s="5" customFormat="1" x14ac:dyDescent="0.4"/>
    <row r="7869" s="5" customFormat="1" x14ac:dyDescent="0.4"/>
    <row r="7870" s="5" customFormat="1" x14ac:dyDescent="0.4"/>
    <row r="7871" s="5" customFormat="1" x14ac:dyDescent="0.4"/>
    <row r="7872" s="5" customFormat="1" x14ac:dyDescent="0.4"/>
    <row r="7873" s="5" customFormat="1" x14ac:dyDescent="0.4"/>
    <row r="7874" s="5" customFormat="1" x14ac:dyDescent="0.4"/>
    <row r="7875" s="5" customFormat="1" x14ac:dyDescent="0.4"/>
    <row r="7876" s="5" customFormat="1" x14ac:dyDescent="0.4"/>
    <row r="7877" s="5" customFormat="1" x14ac:dyDescent="0.4"/>
    <row r="7878" s="5" customFormat="1" x14ac:dyDescent="0.4"/>
    <row r="7879" s="5" customFormat="1" x14ac:dyDescent="0.4"/>
    <row r="7880" s="5" customFormat="1" x14ac:dyDescent="0.4"/>
    <row r="7881" s="5" customFormat="1" x14ac:dyDescent="0.4"/>
    <row r="7882" s="5" customFormat="1" x14ac:dyDescent="0.4"/>
    <row r="7883" s="5" customFormat="1" x14ac:dyDescent="0.4"/>
    <row r="7884" s="5" customFormat="1" x14ac:dyDescent="0.4"/>
    <row r="7885" s="5" customFormat="1" x14ac:dyDescent="0.4"/>
    <row r="7886" s="5" customFormat="1" x14ac:dyDescent="0.4"/>
    <row r="7887" s="5" customFormat="1" x14ac:dyDescent="0.4"/>
    <row r="7888" s="5" customFormat="1" x14ac:dyDescent="0.4"/>
    <row r="7889" s="5" customFormat="1" x14ac:dyDescent="0.4"/>
    <row r="7890" s="5" customFormat="1" x14ac:dyDescent="0.4"/>
    <row r="7891" s="5" customFormat="1" x14ac:dyDescent="0.4"/>
    <row r="7892" s="5" customFormat="1" x14ac:dyDescent="0.4"/>
    <row r="7893" s="5" customFormat="1" x14ac:dyDescent="0.4"/>
    <row r="7894" s="5" customFormat="1" x14ac:dyDescent="0.4"/>
    <row r="7895" s="5" customFormat="1" x14ac:dyDescent="0.4"/>
    <row r="7896" s="5" customFormat="1" x14ac:dyDescent="0.4"/>
    <row r="7897" s="5" customFormat="1" x14ac:dyDescent="0.4"/>
    <row r="7898" s="5" customFormat="1" x14ac:dyDescent="0.4"/>
    <row r="7899" s="5" customFormat="1" x14ac:dyDescent="0.4"/>
    <row r="7900" s="5" customFormat="1" x14ac:dyDescent="0.4"/>
    <row r="7901" s="5" customFormat="1" x14ac:dyDescent="0.4"/>
    <row r="7902" s="5" customFormat="1" x14ac:dyDescent="0.4"/>
    <row r="7903" s="5" customFormat="1" x14ac:dyDescent="0.4"/>
    <row r="7904" s="5" customFormat="1" x14ac:dyDescent="0.4"/>
    <row r="7905" s="5" customFormat="1" x14ac:dyDescent="0.4"/>
    <row r="7906" s="5" customFormat="1" x14ac:dyDescent="0.4"/>
    <row r="7907" s="5" customFormat="1" x14ac:dyDescent="0.4"/>
    <row r="7908" s="5" customFormat="1" x14ac:dyDescent="0.4"/>
    <row r="7909" s="5" customFormat="1" x14ac:dyDescent="0.4"/>
    <row r="7910" s="5" customFormat="1" x14ac:dyDescent="0.4"/>
    <row r="7911" s="5" customFormat="1" x14ac:dyDescent="0.4"/>
    <row r="7912" s="5" customFormat="1" x14ac:dyDescent="0.4"/>
    <row r="7913" s="5" customFormat="1" x14ac:dyDescent="0.4"/>
    <row r="7914" s="5" customFormat="1" x14ac:dyDescent="0.4"/>
    <row r="7915" s="5" customFormat="1" x14ac:dyDescent="0.4"/>
    <row r="7916" s="5" customFormat="1" x14ac:dyDescent="0.4"/>
    <row r="7917" s="5" customFormat="1" x14ac:dyDescent="0.4"/>
    <row r="7918" s="5" customFormat="1" x14ac:dyDescent="0.4"/>
    <row r="7919" s="5" customFormat="1" x14ac:dyDescent="0.4"/>
    <row r="7920" s="5" customFormat="1" x14ac:dyDescent="0.4"/>
    <row r="7921" s="5" customFormat="1" x14ac:dyDescent="0.4"/>
    <row r="7922" s="5" customFormat="1" x14ac:dyDescent="0.4"/>
    <row r="7923" s="5" customFormat="1" x14ac:dyDescent="0.4"/>
    <row r="7924" s="5" customFormat="1" x14ac:dyDescent="0.4"/>
    <row r="7925" s="5" customFormat="1" x14ac:dyDescent="0.4"/>
    <row r="7926" s="5" customFormat="1" x14ac:dyDescent="0.4"/>
    <row r="7927" s="5" customFormat="1" x14ac:dyDescent="0.4"/>
    <row r="7928" s="5" customFormat="1" x14ac:dyDescent="0.4"/>
    <row r="7929" s="5" customFormat="1" x14ac:dyDescent="0.4"/>
    <row r="7930" s="5" customFormat="1" x14ac:dyDescent="0.4"/>
    <row r="7931" s="5" customFormat="1" x14ac:dyDescent="0.4"/>
    <row r="7932" s="5" customFormat="1" x14ac:dyDescent="0.4"/>
    <row r="7933" s="5" customFormat="1" x14ac:dyDescent="0.4"/>
    <row r="7934" s="5" customFormat="1" x14ac:dyDescent="0.4"/>
    <row r="7935" s="5" customFormat="1" x14ac:dyDescent="0.4"/>
    <row r="7936" s="5" customFormat="1" x14ac:dyDescent="0.4"/>
    <row r="7937" s="5" customFormat="1" x14ac:dyDescent="0.4"/>
    <row r="7938" s="5" customFormat="1" x14ac:dyDescent="0.4"/>
    <row r="7939" s="5" customFormat="1" x14ac:dyDescent="0.4"/>
    <row r="7940" s="5" customFormat="1" x14ac:dyDescent="0.4"/>
    <row r="7941" s="5" customFormat="1" x14ac:dyDescent="0.4"/>
    <row r="7942" s="5" customFormat="1" x14ac:dyDescent="0.4"/>
    <row r="7943" s="5" customFormat="1" x14ac:dyDescent="0.4"/>
    <row r="7944" s="5" customFormat="1" x14ac:dyDescent="0.4"/>
    <row r="7945" s="5" customFormat="1" x14ac:dyDescent="0.4"/>
    <row r="7946" s="5" customFormat="1" x14ac:dyDescent="0.4"/>
    <row r="7947" s="5" customFormat="1" x14ac:dyDescent="0.4"/>
    <row r="7948" s="5" customFormat="1" x14ac:dyDescent="0.4"/>
    <row r="7949" s="5" customFormat="1" x14ac:dyDescent="0.4"/>
    <row r="7950" s="5" customFormat="1" x14ac:dyDescent="0.4"/>
    <row r="7951" s="5" customFormat="1" x14ac:dyDescent="0.4"/>
    <row r="7952" s="5" customFormat="1" x14ac:dyDescent="0.4"/>
    <row r="7953" s="5" customFormat="1" x14ac:dyDescent="0.4"/>
    <row r="7954" s="5" customFormat="1" x14ac:dyDescent="0.4"/>
    <row r="7955" s="5" customFormat="1" x14ac:dyDescent="0.4"/>
    <row r="7956" s="5" customFormat="1" x14ac:dyDescent="0.4"/>
    <row r="7957" s="5" customFormat="1" x14ac:dyDescent="0.4"/>
    <row r="7958" s="5" customFormat="1" x14ac:dyDescent="0.4"/>
    <row r="7959" s="5" customFormat="1" x14ac:dyDescent="0.4"/>
    <row r="7960" s="5" customFormat="1" x14ac:dyDescent="0.4"/>
    <row r="7961" s="5" customFormat="1" x14ac:dyDescent="0.4"/>
    <row r="7962" s="5" customFormat="1" x14ac:dyDescent="0.4"/>
    <row r="7963" s="5" customFormat="1" x14ac:dyDescent="0.4"/>
    <row r="7964" s="5" customFormat="1" x14ac:dyDescent="0.4"/>
    <row r="7965" s="5" customFormat="1" x14ac:dyDescent="0.4"/>
    <row r="7966" s="5" customFormat="1" x14ac:dyDescent="0.4"/>
    <row r="7967" s="5" customFormat="1" x14ac:dyDescent="0.4"/>
    <row r="7968" s="5" customFormat="1" x14ac:dyDescent="0.4"/>
    <row r="7969" s="5" customFormat="1" x14ac:dyDescent="0.4"/>
    <row r="7970" s="5" customFormat="1" x14ac:dyDescent="0.4"/>
    <row r="7971" s="5" customFormat="1" x14ac:dyDescent="0.4"/>
    <row r="7972" s="5" customFormat="1" x14ac:dyDescent="0.4"/>
    <row r="7973" s="5" customFormat="1" x14ac:dyDescent="0.4"/>
    <row r="7974" s="5" customFormat="1" x14ac:dyDescent="0.4"/>
    <row r="7975" s="5" customFormat="1" x14ac:dyDescent="0.4"/>
    <row r="7976" s="5" customFormat="1" x14ac:dyDescent="0.4"/>
    <row r="7977" s="5" customFormat="1" x14ac:dyDescent="0.4"/>
    <row r="7978" s="5" customFormat="1" x14ac:dyDescent="0.4"/>
    <row r="7979" s="5" customFormat="1" x14ac:dyDescent="0.4"/>
    <row r="7980" s="5" customFormat="1" x14ac:dyDescent="0.4"/>
    <row r="7981" s="5" customFormat="1" x14ac:dyDescent="0.4"/>
    <row r="7982" s="5" customFormat="1" x14ac:dyDescent="0.4"/>
    <row r="7983" s="5" customFormat="1" x14ac:dyDescent="0.4"/>
    <row r="7984" s="5" customFormat="1" x14ac:dyDescent="0.4"/>
    <row r="7985" s="5" customFormat="1" x14ac:dyDescent="0.4"/>
    <row r="7986" s="5" customFormat="1" x14ac:dyDescent="0.4"/>
    <row r="7987" s="5" customFormat="1" x14ac:dyDescent="0.4"/>
    <row r="7988" s="5" customFormat="1" x14ac:dyDescent="0.4"/>
    <row r="7989" s="5" customFormat="1" x14ac:dyDescent="0.4"/>
    <row r="7990" s="5" customFormat="1" x14ac:dyDescent="0.4"/>
    <row r="7991" s="5" customFormat="1" x14ac:dyDescent="0.4"/>
    <row r="7992" s="5" customFormat="1" x14ac:dyDescent="0.4"/>
    <row r="7993" s="5" customFormat="1" x14ac:dyDescent="0.4"/>
    <row r="7994" s="5" customFormat="1" x14ac:dyDescent="0.4"/>
    <row r="7995" s="5" customFormat="1" x14ac:dyDescent="0.4"/>
    <row r="7996" s="5" customFormat="1" x14ac:dyDescent="0.4"/>
    <row r="7997" s="5" customFormat="1" x14ac:dyDescent="0.4"/>
    <row r="7998" s="5" customFormat="1" x14ac:dyDescent="0.4"/>
    <row r="7999" s="5" customFormat="1" x14ac:dyDescent="0.4"/>
    <row r="8000" s="5" customFormat="1" x14ac:dyDescent="0.4"/>
    <row r="8001" s="5" customFormat="1" x14ac:dyDescent="0.4"/>
    <row r="8002" s="5" customFormat="1" x14ac:dyDescent="0.4"/>
    <row r="8003" s="5" customFormat="1" x14ac:dyDescent="0.4"/>
    <row r="8004" s="5" customFormat="1" x14ac:dyDescent="0.4"/>
    <row r="8005" s="5" customFormat="1" x14ac:dyDescent="0.4"/>
    <row r="8006" s="5" customFormat="1" x14ac:dyDescent="0.4"/>
    <row r="8007" s="5" customFormat="1" x14ac:dyDescent="0.4"/>
    <row r="8008" s="5" customFormat="1" x14ac:dyDescent="0.4"/>
    <row r="8009" s="5" customFormat="1" x14ac:dyDescent="0.4"/>
    <row r="8010" s="5" customFormat="1" x14ac:dyDescent="0.4"/>
    <row r="8011" s="5" customFormat="1" x14ac:dyDescent="0.4"/>
    <row r="8012" s="5" customFormat="1" x14ac:dyDescent="0.4"/>
    <row r="8013" s="5" customFormat="1" x14ac:dyDescent="0.4"/>
    <row r="8014" s="5" customFormat="1" x14ac:dyDescent="0.4"/>
    <row r="8015" s="5" customFormat="1" x14ac:dyDescent="0.4"/>
    <row r="8016" s="5" customFormat="1" x14ac:dyDescent="0.4"/>
    <row r="8017" s="5" customFormat="1" x14ac:dyDescent="0.4"/>
    <row r="8018" s="5" customFormat="1" x14ac:dyDescent="0.4"/>
    <row r="8019" s="5" customFormat="1" x14ac:dyDescent="0.4"/>
    <row r="8020" s="5" customFormat="1" x14ac:dyDescent="0.4"/>
    <row r="8021" s="5" customFormat="1" x14ac:dyDescent="0.4"/>
    <row r="8022" s="5" customFormat="1" x14ac:dyDescent="0.4"/>
    <row r="8023" s="5" customFormat="1" x14ac:dyDescent="0.4"/>
    <row r="8024" s="5" customFormat="1" x14ac:dyDescent="0.4"/>
    <row r="8025" s="5" customFormat="1" x14ac:dyDescent="0.4"/>
    <row r="8026" s="5" customFormat="1" x14ac:dyDescent="0.4"/>
    <row r="8027" s="5" customFormat="1" x14ac:dyDescent="0.4"/>
    <row r="8028" s="5" customFormat="1" x14ac:dyDescent="0.4"/>
    <row r="8029" s="5" customFormat="1" x14ac:dyDescent="0.4"/>
    <row r="8030" s="5" customFormat="1" x14ac:dyDescent="0.4"/>
    <row r="8031" s="5" customFormat="1" x14ac:dyDescent="0.4"/>
    <row r="8032" s="5" customFormat="1" x14ac:dyDescent="0.4"/>
    <row r="8033" s="5" customFormat="1" x14ac:dyDescent="0.4"/>
    <row r="8034" s="5" customFormat="1" x14ac:dyDescent="0.4"/>
    <row r="8035" s="5" customFormat="1" x14ac:dyDescent="0.4"/>
    <row r="8036" s="5" customFormat="1" x14ac:dyDescent="0.4"/>
    <row r="8037" s="5" customFormat="1" x14ac:dyDescent="0.4"/>
    <row r="8038" s="5" customFormat="1" x14ac:dyDescent="0.4"/>
    <row r="8039" s="5" customFormat="1" x14ac:dyDescent="0.4"/>
    <row r="8040" s="5" customFormat="1" x14ac:dyDescent="0.4"/>
    <row r="8041" s="5" customFormat="1" x14ac:dyDescent="0.4"/>
    <row r="8042" s="5" customFormat="1" x14ac:dyDescent="0.4"/>
    <row r="8043" s="5" customFormat="1" x14ac:dyDescent="0.4"/>
    <row r="8044" s="5" customFormat="1" x14ac:dyDescent="0.4"/>
    <row r="8045" s="5" customFormat="1" x14ac:dyDescent="0.4"/>
    <row r="8046" s="5" customFormat="1" x14ac:dyDescent="0.4"/>
    <row r="8047" s="5" customFormat="1" x14ac:dyDescent="0.4"/>
    <row r="8048" s="5" customFormat="1" x14ac:dyDescent="0.4"/>
    <row r="8049" s="5" customFormat="1" x14ac:dyDescent="0.4"/>
    <row r="8050" s="5" customFormat="1" x14ac:dyDescent="0.4"/>
    <row r="8051" s="5" customFormat="1" x14ac:dyDescent="0.4"/>
    <row r="8052" s="5" customFormat="1" x14ac:dyDescent="0.4"/>
    <row r="8053" s="5" customFormat="1" x14ac:dyDescent="0.4"/>
    <row r="8054" s="5" customFormat="1" x14ac:dyDescent="0.4"/>
    <row r="8055" s="5" customFormat="1" x14ac:dyDescent="0.4"/>
    <row r="8056" s="5" customFormat="1" x14ac:dyDescent="0.4"/>
    <row r="8057" s="5" customFormat="1" x14ac:dyDescent="0.4"/>
    <row r="8058" s="5" customFormat="1" x14ac:dyDescent="0.4"/>
    <row r="8059" s="5" customFormat="1" x14ac:dyDescent="0.4"/>
    <row r="8060" s="5" customFormat="1" x14ac:dyDescent="0.4"/>
    <row r="8061" s="5" customFormat="1" x14ac:dyDescent="0.4"/>
    <row r="8062" s="5" customFormat="1" x14ac:dyDescent="0.4"/>
    <row r="8063" s="5" customFormat="1" x14ac:dyDescent="0.4"/>
    <row r="8064" s="5" customFormat="1" x14ac:dyDescent="0.4"/>
    <row r="8065" s="5" customFormat="1" x14ac:dyDescent="0.4"/>
    <row r="8066" s="5" customFormat="1" x14ac:dyDescent="0.4"/>
    <row r="8067" s="5" customFormat="1" x14ac:dyDescent="0.4"/>
    <row r="8068" s="5" customFormat="1" x14ac:dyDescent="0.4"/>
    <row r="8069" s="5" customFormat="1" x14ac:dyDescent="0.4"/>
    <row r="8070" s="5" customFormat="1" x14ac:dyDescent="0.4"/>
    <row r="8071" s="5" customFormat="1" x14ac:dyDescent="0.4"/>
    <row r="8072" s="5" customFormat="1" x14ac:dyDescent="0.4"/>
    <row r="8073" s="5" customFormat="1" x14ac:dyDescent="0.4"/>
    <row r="8074" s="5" customFormat="1" x14ac:dyDescent="0.4"/>
    <row r="8075" s="5" customFormat="1" x14ac:dyDescent="0.4"/>
    <row r="8076" s="5" customFormat="1" x14ac:dyDescent="0.4"/>
    <row r="8077" s="5" customFormat="1" x14ac:dyDescent="0.4"/>
    <row r="8078" s="5" customFormat="1" x14ac:dyDescent="0.4"/>
    <row r="8079" s="5" customFormat="1" x14ac:dyDescent="0.4"/>
    <row r="8080" s="5" customFormat="1" x14ac:dyDescent="0.4"/>
    <row r="8081" s="5" customFormat="1" x14ac:dyDescent="0.4"/>
    <row r="8082" s="5" customFormat="1" x14ac:dyDescent="0.4"/>
    <row r="8083" s="5" customFormat="1" x14ac:dyDescent="0.4"/>
    <row r="8084" s="5" customFormat="1" x14ac:dyDescent="0.4"/>
    <row r="8085" s="5" customFormat="1" x14ac:dyDescent="0.4"/>
    <row r="8086" s="5" customFormat="1" x14ac:dyDescent="0.4"/>
    <row r="8087" s="5" customFormat="1" x14ac:dyDescent="0.4"/>
    <row r="8088" s="5" customFormat="1" x14ac:dyDescent="0.4"/>
    <row r="8089" s="5" customFormat="1" x14ac:dyDescent="0.4"/>
    <row r="8090" s="5" customFormat="1" x14ac:dyDescent="0.4"/>
    <row r="8091" s="5" customFormat="1" x14ac:dyDescent="0.4"/>
    <row r="8092" s="5" customFormat="1" x14ac:dyDescent="0.4"/>
    <row r="8093" s="5" customFormat="1" x14ac:dyDescent="0.4"/>
    <row r="8094" s="5" customFormat="1" x14ac:dyDescent="0.4"/>
    <row r="8095" s="5" customFormat="1" x14ac:dyDescent="0.4"/>
    <row r="8096" s="5" customFormat="1" x14ac:dyDescent="0.4"/>
    <row r="8097" s="5" customFormat="1" x14ac:dyDescent="0.4"/>
    <row r="8098" s="5" customFormat="1" x14ac:dyDescent="0.4"/>
    <row r="8099" s="5" customFormat="1" x14ac:dyDescent="0.4"/>
    <row r="8100" s="5" customFormat="1" x14ac:dyDescent="0.4"/>
    <row r="8101" s="5" customFormat="1" x14ac:dyDescent="0.4"/>
    <row r="8102" s="5" customFormat="1" x14ac:dyDescent="0.4"/>
    <row r="8103" s="5" customFormat="1" x14ac:dyDescent="0.4"/>
    <row r="8104" s="5" customFormat="1" x14ac:dyDescent="0.4"/>
    <row r="8105" s="5" customFormat="1" x14ac:dyDescent="0.4"/>
    <row r="8106" s="5" customFormat="1" x14ac:dyDescent="0.4"/>
    <row r="8107" s="5" customFormat="1" x14ac:dyDescent="0.4"/>
    <row r="8108" s="5" customFormat="1" x14ac:dyDescent="0.4"/>
    <row r="8109" s="5" customFormat="1" x14ac:dyDescent="0.4"/>
    <row r="8110" s="5" customFormat="1" x14ac:dyDescent="0.4"/>
    <row r="8111" s="5" customFormat="1" x14ac:dyDescent="0.4"/>
    <row r="8112" s="5" customFormat="1" x14ac:dyDescent="0.4"/>
    <row r="8113" s="5" customFormat="1" x14ac:dyDescent="0.4"/>
    <row r="8114" s="5" customFormat="1" x14ac:dyDescent="0.4"/>
    <row r="8115" s="5" customFormat="1" x14ac:dyDescent="0.4"/>
    <row r="8116" s="5" customFormat="1" x14ac:dyDescent="0.4"/>
    <row r="8117" s="5" customFormat="1" x14ac:dyDescent="0.4"/>
    <row r="8118" s="5" customFormat="1" x14ac:dyDescent="0.4"/>
    <row r="8119" s="5" customFormat="1" x14ac:dyDescent="0.4"/>
    <row r="8120" s="5" customFormat="1" x14ac:dyDescent="0.4"/>
    <row r="8121" s="5" customFormat="1" x14ac:dyDescent="0.4"/>
    <row r="8122" s="5" customFormat="1" x14ac:dyDescent="0.4"/>
    <row r="8123" s="5" customFormat="1" x14ac:dyDescent="0.4"/>
    <row r="8124" s="5" customFormat="1" x14ac:dyDescent="0.4"/>
    <row r="8125" s="5" customFormat="1" x14ac:dyDescent="0.4"/>
    <row r="8126" s="5" customFormat="1" x14ac:dyDescent="0.4"/>
    <row r="8127" s="5" customFormat="1" x14ac:dyDescent="0.4"/>
    <row r="8128" s="5" customFormat="1" x14ac:dyDescent="0.4"/>
    <row r="8129" s="5" customFormat="1" x14ac:dyDescent="0.4"/>
    <row r="8130" s="5" customFormat="1" x14ac:dyDescent="0.4"/>
    <row r="8131" s="5" customFormat="1" x14ac:dyDescent="0.4"/>
    <row r="8132" s="5" customFormat="1" x14ac:dyDescent="0.4"/>
    <row r="8133" s="5" customFormat="1" x14ac:dyDescent="0.4"/>
    <row r="8134" s="5" customFormat="1" x14ac:dyDescent="0.4"/>
    <row r="8135" s="5" customFormat="1" x14ac:dyDescent="0.4"/>
    <row r="8136" s="5" customFormat="1" x14ac:dyDescent="0.4"/>
    <row r="8137" s="5" customFormat="1" x14ac:dyDescent="0.4"/>
    <row r="8138" s="5" customFormat="1" x14ac:dyDescent="0.4"/>
    <row r="8139" s="5" customFormat="1" x14ac:dyDescent="0.4"/>
    <row r="8140" s="5" customFormat="1" x14ac:dyDescent="0.4"/>
    <row r="8141" s="5" customFormat="1" x14ac:dyDescent="0.4"/>
    <row r="8142" s="5" customFormat="1" x14ac:dyDescent="0.4"/>
    <row r="8143" s="5" customFormat="1" x14ac:dyDescent="0.4"/>
    <row r="8144" s="5" customFormat="1" x14ac:dyDescent="0.4"/>
    <row r="8145" s="5" customFormat="1" x14ac:dyDescent="0.4"/>
    <row r="8146" s="5" customFormat="1" x14ac:dyDescent="0.4"/>
    <row r="8147" s="5" customFormat="1" x14ac:dyDescent="0.4"/>
    <row r="8148" s="5" customFormat="1" x14ac:dyDescent="0.4"/>
    <row r="8149" s="5" customFormat="1" x14ac:dyDescent="0.4"/>
    <row r="8150" s="5" customFormat="1" x14ac:dyDescent="0.4"/>
    <row r="8151" s="5" customFormat="1" x14ac:dyDescent="0.4"/>
    <row r="8152" s="5" customFormat="1" x14ac:dyDescent="0.4"/>
    <row r="8153" s="5" customFormat="1" x14ac:dyDescent="0.4"/>
    <row r="8154" s="5" customFormat="1" x14ac:dyDescent="0.4"/>
    <row r="8155" s="5" customFormat="1" x14ac:dyDescent="0.4"/>
    <row r="8156" s="5" customFormat="1" x14ac:dyDescent="0.4"/>
    <row r="8157" s="5" customFormat="1" x14ac:dyDescent="0.4"/>
    <row r="8158" s="5" customFormat="1" x14ac:dyDescent="0.4"/>
    <row r="8159" s="5" customFormat="1" x14ac:dyDescent="0.4"/>
    <row r="8160" s="5" customFormat="1" x14ac:dyDescent="0.4"/>
    <row r="8161" s="5" customFormat="1" x14ac:dyDescent="0.4"/>
    <row r="8162" s="5" customFormat="1" x14ac:dyDescent="0.4"/>
    <row r="8163" s="5" customFormat="1" x14ac:dyDescent="0.4"/>
    <row r="8164" s="5" customFormat="1" x14ac:dyDescent="0.4"/>
    <row r="8165" s="5" customFormat="1" x14ac:dyDescent="0.4"/>
    <row r="8166" s="5" customFormat="1" x14ac:dyDescent="0.4"/>
    <row r="8167" s="5" customFormat="1" x14ac:dyDescent="0.4"/>
    <row r="8168" s="5" customFormat="1" x14ac:dyDescent="0.4"/>
    <row r="8169" s="5" customFormat="1" x14ac:dyDescent="0.4"/>
    <row r="8170" s="5" customFormat="1" x14ac:dyDescent="0.4"/>
    <row r="8171" s="5" customFormat="1" x14ac:dyDescent="0.4"/>
    <row r="8172" s="5" customFormat="1" x14ac:dyDescent="0.4"/>
    <row r="8173" s="5" customFormat="1" x14ac:dyDescent="0.4"/>
    <row r="8174" s="5" customFormat="1" x14ac:dyDescent="0.4"/>
    <row r="8175" s="5" customFormat="1" x14ac:dyDescent="0.4"/>
    <row r="8176" s="5" customFormat="1" x14ac:dyDescent="0.4"/>
    <row r="8177" s="5" customFormat="1" x14ac:dyDescent="0.4"/>
    <row r="8178" s="5" customFormat="1" x14ac:dyDescent="0.4"/>
    <row r="8179" s="5" customFormat="1" x14ac:dyDescent="0.4"/>
    <row r="8180" s="5" customFormat="1" x14ac:dyDescent="0.4"/>
    <row r="8181" s="5" customFormat="1" x14ac:dyDescent="0.4"/>
    <row r="8182" s="5" customFormat="1" x14ac:dyDescent="0.4"/>
    <row r="8183" s="5" customFormat="1" x14ac:dyDescent="0.4"/>
    <row r="8184" s="5" customFormat="1" x14ac:dyDescent="0.4"/>
    <row r="8185" s="5" customFormat="1" x14ac:dyDescent="0.4"/>
    <row r="8186" s="5" customFormat="1" x14ac:dyDescent="0.4"/>
    <row r="8187" s="5" customFormat="1" x14ac:dyDescent="0.4"/>
    <row r="8188" s="5" customFormat="1" x14ac:dyDescent="0.4"/>
    <row r="8189" s="5" customFormat="1" x14ac:dyDescent="0.4"/>
    <row r="8190" s="5" customFormat="1" x14ac:dyDescent="0.4"/>
    <row r="8191" s="5" customFormat="1" x14ac:dyDescent="0.4"/>
    <row r="8192" s="5" customFormat="1" x14ac:dyDescent="0.4"/>
    <row r="8193" s="5" customFormat="1" x14ac:dyDescent="0.4"/>
    <row r="8194" s="5" customFormat="1" x14ac:dyDescent="0.4"/>
    <row r="8195" s="5" customFormat="1" x14ac:dyDescent="0.4"/>
    <row r="8196" s="5" customFormat="1" x14ac:dyDescent="0.4"/>
    <row r="8197" s="5" customFormat="1" x14ac:dyDescent="0.4"/>
    <row r="8198" s="5" customFormat="1" x14ac:dyDescent="0.4"/>
    <row r="8199" s="5" customFormat="1" x14ac:dyDescent="0.4"/>
    <row r="8200" s="5" customFormat="1" x14ac:dyDescent="0.4"/>
    <row r="8201" s="5" customFormat="1" x14ac:dyDescent="0.4"/>
    <row r="8202" s="5" customFormat="1" x14ac:dyDescent="0.4"/>
    <row r="8203" s="5" customFormat="1" x14ac:dyDescent="0.4"/>
    <row r="8204" s="5" customFormat="1" x14ac:dyDescent="0.4"/>
    <row r="8205" s="5" customFormat="1" x14ac:dyDescent="0.4"/>
    <row r="8206" s="5" customFormat="1" x14ac:dyDescent="0.4"/>
    <row r="8207" s="5" customFormat="1" x14ac:dyDescent="0.4"/>
    <row r="8208" s="5" customFormat="1" x14ac:dyDescent="0.4"/>
    <row r="8209" s="5" customFormat="1" x14ac:dyDescent="0.4"/>
    <row r="8210" s="5" customFormat="1" x14ac:dyDescent="0.4"/>
    <row r="8211" s="5" customFormat="1" x14ac:dyDescent="0.4"/>
    <row r="8212" s="5" customFormat="1" x14ac:dyDescent="0.4"/>
    <row r="8213" s="5" customFormat="1" x14ac:dyDescent="0.4"/>
    <row r="8214" s="5" customFormat="1" x14ac:dyDescent="0.4"/>
    <row r="8215" s="5" customFormat="1" x14ac:dyDescent="0.4"/>
    <row r="8216" s="5" customFormat="1" x14ac:dyDescent="0.4"/>
    <row r="8217" s="5" customFormat="1" x14ac:dyDescent="0.4"/>
    <row r="8218" s="5" customFormat="1" x14ac:dyDescent="0.4"/>
    <row r="8219" s="5" customFormat="1" x14ac:dyDescent="0.4"/>
    <row r="8220" s="5" customFormat="1" x14ac:dyDescent="0.4"/>
    <row r="8221" s="5" customFormat="1" x14ac:dyDescent="0.4"/>
    <row r="8222" s="5" customFormat="1" x14ac:dyDescent="0.4"/>
    <row r="8223" s="5" customFormat="1" x14ac:dyDescent="0.4"/>
    <row r="8224" s="5" customFormat="1" x14ac:dyDescent="0.4"/>
    <row r="8225" s="5" customFormat="1" x14ac:dyDescent="0.4"/>
    <row r="8226" s="5" customFormat="1" x14ac:dyDescent="0.4"/>
    <row r="8227" s="5" customFormat="1" x14ac:dyDescent="0.4"/>
    <row r="8228" s="5" customFormat="1" x14ac:dyDescent="0.4"/>
    <row r="8229" s="5" customFormat="1" x14ac:dyDescent="0.4"/>
    <row r="8230" s="5" customFormat="1" x14ac:dyDescent="0.4"/>
    <row r="8231" s="5" customFormat="1" x14ac:dyDescent="0.4"/>
    <row r="8232" s="5" customFormat="1" x14ac:dyDescent="0.4"/>
    <row r="8233" s="5" customFormat="1" x14ac:dyDescent="0.4"/>
    <row r="8234" s="5" customFormat="1" x14ac:dyDescent="0.4"/>
    <row r="8235" s="5" customFormat="1" x14ac:dyDescent="0.4"/>
    <row r="8236" s="5" customFormat="1" x14ac:dyDescent="0.4"/>
    <row r="8237" s="5" customFormat="1" x14ac:dyDescent="0.4"/>
    <row r="8238" s="5" customFormat="1" x14ac:dyDescent="0.4"/>
    <row r="8239" s="5" customFormat="1" x14ac:dyDescent="0.4"/>
    <row r="8240" s="5" customFormat="1" x14ac:dyDescent="0.4"/>
    <row r="8241" s="5" customFormat="1" x14ac:dyDescent="0.4"/>
    <row r="8242" s="5" customFormat="1" x14ac:dyDescent="0.4"/>
    <row r="8243" s="5" customFormat="1" x14ac:dyDescent="0.4"/>
    <row r="8244" s="5" customFormat="1" x14ac:dyDescent="0.4"/>
    <row r="8245" s="5" customFormat="1" x14ac:dyDescent="0.4"/>
    <row r="8246" s="5" customFormat="1" x14ac:dyDescent="0.4"/>
    <row r="8247" s="5" customFormat="1" x14ac:dyDescent="0.4"/>
    <row r="8248" s="5" customFormat="1" x14ac:dyDescent="0.4"/>
    <row r="8249" s="5" customFormat="1" x14ac:dyDescent="0.4"/>
    <row r="8250" s="5" customFormat="1" x14ac:dyDescent="0.4"/>
    <row r="8251" s="5" customFormat="1" x14ac:dyDescent="0.4"/>
    <row r="8252" s="5" customFormat="1" x14ac:dyDescent="0.4"/>
    <row r="8253" s="5" customFormat="1" x14ac:dyDescent="0.4"/>
    <row r="8254" s="5" customFormat="1" x14ac:dyDescent="0.4"/>
    <row r="8255" s="5" customFormat="1" x14ac:dyDescent="0.4"/>
    <row r="8256" s="5" customFormat="1" x14ac:dyDescent="0.4"/>
    <row r="8257" s="5" customFormat="1" x14ac:dyDescent="0.4"/>
    <row r="8258" s="5" customFormat="1" x14ac:dyDescent="0.4"/>
    <row r="8259" s="5" customFormat="1" x14ac:dyDescent="0.4"/>
    <row r="8260" s="5" customFormat="1" x14ac:dyDescent="0.4"/>
    <row r="8261" s="5" customFormat="1" x14ac:dyDescent="0.4"/>
    <row r="8262" s="5" customFormat="1" x14ac:dyDescent="0.4"/>
    <row r="8263" s="5" customFormat="1" x14ac:dyDescent="0.4"/>
    <row r="8264" s="5" customFormat="1" x14ac:dyDescent="0.4"/>
    <row r="8265" s="5" customFormat="1" x14ac:dyDescent="0.4"/>
    <row r="8266" s="5" customFormat="1" x14ac:dyDescent="0.4"/>
    <row r="8267" s="5" customFormat="1" x14ac:dyDescent="0.4"/>
    <row r="8268" s="5" customFormat="1" x14ac:dyDescent="0.4"/>
    <row r="8269" s="5" customFormat="1" x14ac:dyDescent="0.4"/>
    <row r="8270" s="5" customFormat="1" x14ac:dyDescent="0.4"/>
    <row r="8271" s="5" customFormat="1" x14ac:dyDescent="0.4"/>
    <row r="8272" s="5" customFormat="1" x14ac:dyDescent="0.4"/>
    <row r="8273" s="5" customFormat="1" x14ac:dyDescent="0.4"/>
    <row r="8274" s="5" customFormat="1" x14ac:dyDescent="0.4"/>
    <row r="8275" s="5" customFormat="1" x14ac:dyDescent="0.4"/>
    <row r="8276" s="5" customFormat="1" x14ac:dyDescent="0.4"/>
    <row r="8277" s="5" customFormat="1" x14ac:dyDescent="0.4"/>
    <row r="8278" s="5" customFormat="1" x14ac:dyDescent="0.4"/>
    <row r="8279" s="5" customFormat="1" x14ac:dyDescent="0.4"/>
    <row r="8280" s="5" customFormat="1" x14ac:dyDescent="0.4"/>
    <row r="8281" s="5" customFormat="1" x14ac:dyDescent="0.4"/>
    <row r="8282" s="5" customFormat="1" x14ac:dyDescent="0.4"/>
    <row r="8283" s="5" customFormat="1" x14ac:dyDescent="0.4"/>
    <row r="8284" s="5" customFormat="1" x14ac:dyDescent="0.4"/>
    <row r="8285" s="5" customFormat="1" x14ac:dyDescent="0.4"/>
    <row r="8286" s="5" customFormat="1" x14ac:dyDescent="0.4"/>
    <row r="8287" s="5" customFormat="1" x14ac:dyDescent="0.4"/>
    <row r="8288" s="5" customFormat="1" x14ac:dyDescent="0.4"/>
    <row r="8289" s="5" customFormat="1" x14ac:dyDescent="0.4"/>
    <row r="8290" s="5" customFormat="1" x14ac:dyDescent="0.4"/>
    <row r="8291" s="5" customFormat="1" x14ac:dyDescent="0.4"/>
    <row r="8292" s="5" customFormat="1" x14ac:dyDescent="0.4"/>
    <row r="8293" s="5" customFormat="1" x14ac:dyDescent="0.4"/>
    <row r="8294" s="5" customFormat="1" x14ac:dyDescent="0.4"/>
    <row r="8295" s="5" customFormat="1" x14ac:dyDescent="0.4"/>
    <row r="8296" s="5" customFormat="1" x14ac:dyDescent="0.4"/>
    <row r="8297" s="5" customFormat="1" x14ac:dyDescent="0.4"/>
    <row r="8298" s="5" customFormat="1" x14ac:dyDescent="0.4"/>
    <row r="8299" s="5" customFormat="1" x14ac:dyDescent="0.4"/>
    <row r="8300" s="5" customFormat="1" x14ac:dyDescent="0.4"/>
    <row r="8301" s="5" customFormat="1" x14ac:dyDescent="0.4"/>
    <row r="8302" s="5" customFormat="1" x14ac:dyDescent="0.4"/>
    <row r="8303" s="5" customFormat="1" x14ac:dyDescent="0.4"/>
    <row r="8304" s="5" customFormat="1" x14ac:dyDescent="0.4"/>
    <row r="8305" s="5" customFormat="1" x14ac:dyDescent="0.4"/>
    <row r="8306" s="5" customFormat="1" x14ac:dyDescent="0.4"/>
    <row r="8307" s="5" customFormat="1" x14ac:dyDescent="0.4"/>
    <row r="8308" s="5" customFormat="1" x14ac:dyDescent="0.4"/>
    <row r="8309" s="5" customFormat="1" x14ac:dyDescent="0.4"/>
    <row r="8310" s="5" customFormat="1" x14ac:dyDescent="0.4"/>
    <row r="8311" s="5" customFormat="1" x14ac:dyDescent="0.4"/>
    <row r="8312" s="5" customFormat="1" x14ac:dyDescent="0.4"/>
    <row r="8313" s="5" customFormat="1" x14ac:dyDescent="0.4"/>
    <row r="8314" s="5" customFormat="1" x14ac:dyDescent="0.4"/>
    <row r="8315" s="5" customFormat="1" x14ac:dyDescent="0.4"/>
    <row r="8316" s="5" customFormat="1" x14ac:dyDescent="0.4"/>
    <row r="8317" s="5" customFormat="1" x14ac:dyDescent="0.4"/>
    <row r="8318" s="5" customFormat="1" x14ac:dyDescent="0.4"/>
    <row r="8319" s="5" customFormat="1" x14ac:dyDescent="0.4"/>
    <row r="8320" s="5" customFormat="1" x14ac:dyDescent="0.4"/>
    <row r="8321" s="5" customFormat="1" x14ac:dyDescent="0.4"/>
    <row r="8322" s="5" customFormat="1" x14ac:dyDescent="0.4"/>
    <row r="8323" s="5" customFormat="1" x14ac:dyDescent="0.4"/>
    <row r="8324" s="5" customFormat="1" x14ac:dyDescent="0.4"/>
    <row r="8325" s="5" customFormat="1" x14ac:dyDescent="0.4"/>
    <row r="8326" s="5" customFormat="1" x14ac:dyDescent="0.4"/>
    <row r="8327" s="5" customFormat="1" x14ac:dyDescent="0.4"/>
    <row r="8328" s="5" customFormat="1" x14ac:dyDescent="0.4"/>
    <row r="8329" s="5" customFormat="1" x14ac:dyDescent="0.4"/>
    <row r="8330" s="5" customFormat="1" x14ac:dyDescent="0.4"/>
    <row r="8331" s="5" customFormat="1" x14ac:dyDescent="0.4"/>
    <row r="8332" s="5" customFormat="1" x14ac:dyDescent="0.4"/>
    <row r="8333" s="5" customFormat="1" x14ac:dyDescent="0.4"/>
    <row r="8334" s="5" customFormat="1" x14ac:dyDescent="0.4"/>
    <row r="8335" s="5" customFormat="1" x14ac:dyDescent="0.4"/>
    <row r="8336" s="5" customFormat="1" x14ac:dyDescent="0.4"/>
    <row r="8337" s="5" customFormat="1" x14ac:dyDescent="0.4"/>
    <row r="8338" s="5" customFormat="1" x14ac:dyDescent="0.4"/>
    <row r="8339" s="5" customFormat="1" x14ac:dyDescent="0.4"/>
    <row r="8340" s="5" customFormat="1" x14ac:dyDescent="0.4"/>
    <row r="8341" s="5" customFormat="1" x14ac:dyDescent="0.4"/>
    <row r="8342" s="5" customFormat="1" x14ac:dyDescent="0.4"/>
    <row r="8343" s="5" customFormat="1" x14ac:dyDescent="0.4"/>
    <row r="8344" s="5" customFormat="1" x14ac:dyDescent="0.4"/>
    <row r="8345" s="5" customFormat="1" x14ac:dyDescent="0.4"/>
    <row r="8346" s="5" customFormat="1" x14ac:dyDescent="0.4"/>
    <row r="8347" s="5" customFormat="1" x14ac:dyDescent="0.4"/>
    <row r="8348" s="5" customFormat="1" x14ac:dyDescent="0.4"/>
    <row r="8349" s="5" customFormat="1" x14ac:dyDescent="0.4"/>
    <row r="8350" s="5" customFormat="1" x14ac:dyDescent="0.4"/>
    <row r="8351" s="5" customFormat="1" x14ac:dyDescent="0.4"/>
    <row r="8352" s="5" customFormat="1" x14ac:dyDescent="0.4"/>
    <row r="8353" s="5" customFormat="1" x14ac:dyDescent="0.4"/>
    <row r="8354" s="5" customFormat="1" x14ac:dyDescent="0.4"/>
    <row r="8355" s="5" customFormat="1" x14ac:dyDescent="0.4"/>
    <row r="8356" s="5" customFormat="1" x14ac:dyDescent="0.4"/>
    <row r="8357" s="5" customFormat="1" x14ac:dyDescent="0.4"/>
    <row r="8358" s="5" customFormat="1" x14ac:dyDescent="0.4"/>
    <row r="8359" s="5" customFormat="1" x14ac:dyDescent="0.4"/>
    <row r="8360" s="5" customFormat="1" x14ac:dyDescent="0.4"/>
    <row r="8361" s="5" customFormat="1" x14ac:dyDescent="0.4"/>
    <row r="8362" s="5" customFormat="1" x14ac:dyDescent="0.4"/>
    <row r="8363" s="5" customFormat="1" x14ac:dyDescent="0.4"/>
    <row r="8364" s="5" customFormat="1" x14ac:dyDescent="0.4"/>
    <row r="8365" s="5" customFormat="1" x14ac:dyDescent="0.4"/>
    <row r="8366" s="5" customFormat="1" x14ac:dyDescent="0.4"/>
    <row r="8367" s="5" customFormat="1" x14ac:dyDescent="0.4"/>
    <row r="8368" s="5" customFormat="1" x14ac:dyDescent="0.4"/>
    <row r="8369" s="5" customFormat="1" x14ac:dyDescent="0.4"/>
    <row r="8370" s="5" customFormat="1" x14ac:dyDescent="0.4"/>
    <row r="8371" s="5" customFormat="1" x14ac:dyDescent="0.4"/>
    <row r="8372" s="5" customFormat="1" x14ac:dyDescent="0.4"/>
    <row r="8373" s="5" customFormat="1" x14ac:dyDescent="0.4"/>
    <row r="8374" s="5" customFormat="1" x14ac:dyDescent="0.4"/>
    <row r="8375" s="5" customFormat="1" x14ac:dyDescent="0.4"/>
    <row r="8376" s="5" customFormat="1" x14ac:dyDescent="0.4"/>
    <row r="8377" s="5" customFormat="1" x14ac:dyDescent="0.4"/>
    <row r="8378" s="5" customFormat="1" x14ac:dyDescent="0.4"/>
    <row r="8379" s="5" customFormat="1" x14ac:dyDescent="0.4"/>
    <row r="8380" s="5" customFormat="1" x14ac:dyDescent="0.4"/>
    <row r="8381" s="5" customFormat="1" x14ac:dyDescent="0.4"/>
    <row r="8382" s="5" customFormat="1" x14ac:dyDescent="0.4"/>
    <row r="8383" s="5" customFormat="1" x14ac:dyDescent="0.4"/>
    <row r="8384" s="5" customFormat="1" x14ac:dyDescent="0.4"/>
    <row r="8385" s="5" customFormat="1" x14ac:dyDescent="0.4"/>
    <row r="8386" s="5" customFormat="1" x14ac:dyDescent="0.4"/>
    <row r="8387" s="5" customFormat="1" x14ac:dyDescent="0.4"/>
    <row r="8388" s="5" customFormat="1" x14ac:dyDescent="0.4"/>
    <row r="8389" s="5" customFormat="1" x14ac:dyDescent="0.4"/>
    <row r="8390" s="5" customFormat="1" x14ac:dyDescent="0.4"/>
    <row r="8391" s="5" customFormat="1" x14ac:dyDescent="0.4"/>
    <row r="8392" s="5" customFormat="1" x14ac:dyDescent="0.4"/>
    <row r="8393" s="5" customFormat="1" x14ac:dyDescent="0.4"/>
    <row r="8394" s="5" customFormat="1" x14ac:dyDescent="0.4"/>
    <row r="8395" s="5" customFormat="1" x14ac:dyDescent="0.4"/>
    <row r="8396" s="5" customFormat="1" x14ac:dyDescent="0.4"/>
    <row r="8397" s="5" customFormat="1" x14ac:dyDescent="0.4"/>
    <row r="8398" s="5" customFormat="1" x14ac:dyDescent="0.4"/>
    <row r="8399" s="5" customFormat="1" x14ac:dyDescent="0.4"/>
    <row r="8400" s="5" customFormat="1" x14ac:dyDescent="0.4"/>
    <row r="8401" s="5" customFormat="1" x14ac:dyDescent="0.4"/>
    <row r="8402" s="5" customFormat="1" x14ac:dyDescent="0.4"/>
    <row r="8403" s="5" customFormat="1" x14ac:dyDescent="0.4"/>
    <row r="8404" s="5" customFormat="1" x14ac:dyDescent="0.4"/>
    <row r="8405" s="5" customFormat="1" x14ac:dyDescent="0.4"/>
    <row r="8406" s="5" customFormat="1" x14ac:dyDescent="0.4"/>
    <row r="8407" s="5" customFormat="1" x14ac:dyDescent="0.4"/>
    <row r="8408" s="5" customFormat="1" x14ac:dyDescent="0.4"/>
    <row r="8409" s="5" customFormat="1" x14ac:dyDescent="0.4"/>
    <row r="8410" s="5" customFormat="1" x14ac:dyDescent="0.4"/>
    <row r="8411" s="5" customFormat="1" x14ac:dyDescent="0.4"/>
    <row r="8412" s="5" customFormat="1" x14ac:dyDescent="0.4"/>
    <row r="8413" s="5" customFormat="1" x14ac:dyDescent="0.4"/>
    <row r="8414" s="5" customFormat="1" x14ac:dyDescent="0.4"/>
    <row r="8415" s="5" customFormat="1" x14ac:dyDescent="0.4"/>
    <row r="8416" s="5" customFormat="1" x14ac:dyDescent="0.4"/>
    <row r="8417" s="5" customFormat="1" x14ac:dyDescent="0.4"/>
    <row r="8418" s="5" customFormat="1" x14ac:dyDescent="0.4"/>
    <row r="8419" s="5" customFormat="1" x14ac:dyDescent="0.4"/>
    <row r="8420" s="5" customFormat="1" x14ac:dyDescent="0.4"/>
    <row r="8421" s="5" customFormat="1" x14ac:dyDescent="0.4"/>
    <row r="8422" s="5" customFormat="1" x14ac:dyDescent="0.4"/>
    <row r="8423" s="5" customFormat="1" x14ac:dyDescent="0.4"/>
    <row r="8424" s="5" customFormat="1" x14ac:dyDescent="0.4"/>
    <row r="8425" s="5" customFormat="1" x14ac:dyDescent="0.4"/>
    <row r="8426" s="5" customFormat="1" x14ac:dyDescent="0.4"/>
    <row r="8427" s="5" customFormat="1" x14ac:dyDescent="0.4"/>
    <row r="8428" s="5" customFormat="1" x14ac:dyDescent="0.4"/>
    <row r="8429" s="5" customFormat="1" x14ac:dyDescent="0.4"/>
    <row r="8430" s="5" customFormat="1" x14ac:dyDescent="0.4"/>
    <row r="8431" s="5" customFormat="1" x14ac:dyDescent="0.4"/>
    <row r="8432" s="5" customFormat="1" x14ac:dyDescent="0.4"/>
    <row r="8433" s="5" customFormat="1" x14ac:dyDescent="0.4"/>
    <row r="8434" s="5" customFormat="1" x14ac:dyDescent="0.4"/>
    <row r="8435" s="5" customFormat="1" x14ac:dyDescent="0.4"/>
    <row r="8436" s="5" customFormat="1" x14ac:dyDescent="0.4"/>
    <row r="8437" s="5" customFormat="1" x14ac:dyDescent="0.4"/>
    <row r="8438" s="5" customFormat="1" x14ac:dyDescent="0.4"/>
    <row r="8439" s="5" customFormat="1" x14ac:dyDescent="0.4"/>
    <row r="8440" s="5" customFormat="1" x14ac:dyDescent="0.4"/>
    <row r="8441" s="5" customFormat="1" x14ac:dyDescent="0.4"/>
    <row r="8442" s="5" customFormat="1" x14ac:dyDescent="0.4"/>
    <row r="8443" s="5" customFormat="1" x14ac:dyDescent="0.4"/>
    <row r="8444" s="5" customFormat="1" x14ac:dyDescent="0.4"/>
    <row r="8445" s="5" customFormat="1" x14ac:dyDescent="0.4"/>
    <row r="8446" s="5" customFormat="1" x14ac:dyDescent="0.4"/>
    <row r="8447" s="5" customFormat="1" x14ac:dyDescent="0.4"/>
    <row r="8448" s="5" customFormat="1" x14ac:dyDescent="0.4"/>
    <row r="8449" s="5" customFormat="1" x14ac:dyDescent="0.4"/>
    <row r="8450" s="5" customFormat="1" x14ac:dyDescent="0.4"/>
    <row r="8451" s="5" customFormat="1" x14ac:dyDescent="0.4"/>
    <row r="8452" s="5" customFormat="1" x14ac:dyDescent="0.4"/>
    <row r="8453" s="5" customFormat="1" x14ac:dyDescent="0.4"/>
    <row r="8454" s="5" customFormat="1" x14ac:dyDescent="0.4"/>
    <row r="8455" s="5" customFormat="1" x14ac:dyDescent="0.4"/>
    <row r="8456" s="5" customFormat="1" x14ac:dyDescent="0.4"/>
    <row r="8457" s="5" customFormat="1" x14ac:dyDescent="0.4"/>
    <row r="8458" s="5" customFormat="1" x14ac:dyDescent="0.4"/>
    <row r="8459" s="5" customFormat="1" x14ac:dyDescent="0.4"/>
    <row r="8460" s="5" customFormat="1" x14ac:dyDescent="0.4"/>
    <row r="8461" s="5" customFormat="1" x14ac:dyDescent="0.4"/>
    <row r="8462" s="5" customFormat="1" x14ac:dyDescent="0.4"/>
    <row r="8463" s="5" customFormat="1" x14ac:dyDescent="0.4"/>
    <row r="8464" s="5" customFormat="1" x14ac:dyDescent="0.4"/>
    <row r="8465" s="5" customFormat="1" x14ac:dyDescent="0.4"/>
    <row r="8466" s="5" customFormat="1" x14ac:dyDescent="0.4"/>
    <row r="8467" s="5" customFormat="1" x14ac:dyDescent="0.4"/>
    <row r="8468" s="5" customFormat="1" x14ac:dyDescent="0.4"/>
    <row r="8469" s="5" customFormat="1" x14ac:dyDescent="0.4"/>
    <row r="8470" s="5" customFormat="1" x14ac:dyDescent="0.4"/>
    <row r="8471" s="5" customFormat="1" x14ac:dyDescent="0.4"/>
    <row r="8472" s="5" customFormat="1" x14ac:dyDescent="0.4"/>
    <row r="8473" s="5" customFormat="1" x14ac:dyDescent="0.4"/>
    <row r="8474" s="5" customFormat="1" x14ac:dyDescent="0.4"/>
    <row r="8475" s="5" customFormat="1" x14ac:dyDescent="0.4"/>
    <row r="8476" s="5" customFormat="1" x14ac:dyDescent="0.4"/>
    <row r="8477" s="5" customFormat="1" x14ac:dyDescent="0.4"/>
    <row r="8478" s="5" customFormat="1" x14ac:dyDescent="0.4"/>
    <row r="8479" s="5" customFormat="1" x14ac:dyDescent="0.4"/>
    <row r="8480" s="5" customFormat="1" x14ac:dyDescent="0.4"/>
    <row r="8481" s="5" customFormat="1" x14ac:dyDescent="0.4"/>
    <row r="8482" s="5" customFormat="1" x14ac:dyDescent="0.4"/>
    <row r="8483" s="5" customFormat="1" x14ac:dyDescent="0.4"/>
    <row r="8484" s="5" customFormat="1" x14ac:dyDescent="0.4"/>
    <row r="8485" s="5" customFormat="1" x14ac:dyDescent="0.4"/>
    <row r="8486" s="5" customFormat="1" x14ac:dyDescent="0.4"/>
    <row r="8487" s="5" customFormat="1" x14ac:dyDescent="0.4"/>
    <row r="8488" s="5" customFormat="1" x14ac:dyDescent="0.4"/>
    <row r="8489" s="5" customFormat="1" x14ac:dyDescent="0.4"/>
    <row r="8490" s="5" customFormat="1" x14ac:dyDescent="0.4"/>
    <row r="8491" s="5" customFormat="1" x14ac:dyDescent="0.4"/>
    <row r="8492" s="5" customFormat="1" x14ac:dyDescent="0.4"/>
    <row r="8493" s="5" customFormat="1" x14ac:dyDescent="0.4"/>
    <row r="8494" s="5" customFormat="1" x14ac:dyDescent="0.4"/>
    <row r="8495" s="5" customFormat="1" x14ac:dyDescent="0.4"/>
    <row r="8496" s="5" customFormat="1" x14ac:dyDescent="0.4"/>
    <row r="8497" s="5" customFormat="1" x14ac:dyDescent="0.4"/>
    <row r="8498" s="5" customFormat="1" x14ac:dyDescent="0.4"/>
    <row r="8499" s="5" customFormat="1" x14ac:dyDescent="0.4"/>
    <row r="8500" s="5" customFormat="1" x14ac:dyDescent="0.4"/>
    <row r="8501" s="5" customFormat="1" x14ac:dyDescent="0.4"/>
    <row r="8502" s="5" customFormat="1" x14ac:dyDescent="0.4"/>
    <row r="8503" s="5" customFormat="1" x14ac:dyDescent="0.4"/>
    <row r="8504" s="5" customFormat="1" x14ac:dyDescent="0.4"/>
    <row r="8505" s="5" customFormat="1" x14ac:dyDescent="0.4"/>
    <row r="8506" s="5" customFormat="1" x14ac:dyDescent="0.4"/>
    <row r="8507" s="5" customFormat="1" x14ac:dyDescent="0.4"/>
    <row r="8508" s="5" customFormat="1" x14ac:dyDescent="0.4"/>
    <row r="8509" s="5" customFormat="1" x14ac:dyDescent="0.4"/>
    <row r="8510" s="5" customFormat="1" x14ac:dyDescent="0.4"/>
    <row r="8511" s="5" customFormat="1" x14ac:dyDescent="0.4"/>
    <row r="8512" s="5" customFormat="1" x14ac:dyDescent="0.4"/>
    <row r="8513" s="5" customFormat="1" x14ac:dyDescent="0.4"/>
    <row r="8514" s="5" customFormat="1" x14ac:dyDescent="0.4"/>
    <row r="8515" s="5" customFormat="1" x14ac:dyDescent="0.4"/>
    <row r="8516" s="5" customFormat="1" x14ac:dyDescent="0.4"/>
    <row r="8517" s="5" customFormat="1" x14ac:dyDescent="0.4"/>
    <row r="8518" s="5" customFormat="1" x14ac:dyDescent="0.4"/>
    <row r="8519" s="5" customFormat="1" x14ac:dyDescent="0.4"/>
    <row r="8520" s="5" customFormat="1" x14ac:dyDescent="0.4"/>
    <row r="8521" s="5" customFormat="1" x14ac:dyDescent="0.4"/>
    <row r="8522" s="5" customFormat="1" x14ac:dyDescent="0.4"/>
    <row r="8523" s="5" customFormat="1" x14ac:dyDescent="0.4"/>
    <row r="8524" s="5" customFormat="1" x14ac:dyDescent="0.4"/>
    <row r="8525" s="5" customFormat="1" x14ac:dyDescent="0.4"/>
    <row r="8526" s="5" customFormat="1" x14ac:dyDescent="0.4"/>
    <row r="8527" s="5" customFormat="1" x14ac:dyDescent="0.4"/>
    <row r="8528" s="5" customFormat="1" x14ac:dyDescent="0.4"/>
    <row r="8529" s="5" customFormat="1" x14ac:dyDescent="0.4"/>
    <row r="8530" s="5" customFormat="1" x14ac:dyDescent="0.4"/>
    <row r="8531" s="5" customFormat="1" x14ac:dyDescent="0.4"/>
    <row r="8532" s="5" customFormat="1" x14ac:dyDescent="0.4"/>
    <row r="8533" s="5" customFormat="1" x14ac:dyDescent="0.4"/>
    <row r="8534" s="5" customFormat="1" x14ac:dyDescent="0.4"/>
    <row r="8535" s="5" customFormat="1" x14ac:dyDescent="0.4"/>
    <row r="8536" s="5" customFormat="1" x14ac:dyDescent="0.4"/>
    <row r="8537" s="5" customFormat="1" x14ac:dyDescent="0.4"/>
    <row r="8538" s="5" customFormat="1" x14ac:dyDescent="0.4"/>
    <row r="8539" s="5" customFormat="1" x14ac:dyDescent="0.4"/>
    <row r="8540" s="5" customFormat="1" x14ac:dyDescent="0.4"/>
    <row r="8541" s="5" customFormat="1" x14ac:dyDescent="0.4"/>
    <row r="8542" s="5" customFormat="1" x14ac:dyDescent="0.4"/>
    <row r="8543" s="5" customFormat="1" x14ac:dyDescent="0.4"/>
    <row r="8544" s="5" customFormat="1" x14ac:dyDescent="0.4"/>
    <row r="8545" s="5" customFormat="1" x14ac:dyDescent="0.4"/>
    <row r="8546" s="5" customFormat="1" x14ac:dyDescent="0.4"/>
    <row r="8547" s="5" customFormat="1" x14ac:dyDescent="0.4"/>
    <row r="8548" s="5" customFormat="1" x14ac:dyDescent="0.4"/>
    <row r="8549" s="5" customFormat="1" x14ac:dyDescent="0.4"/>
    <row r="8550" s="5" customFormat="1" x14ac:dyDescent="0.4"/>
    <row r="8551" s="5" customFormat="1" x14ac:dyDescent="0.4"/>
    <row r="8552" s="5" customFormat="1" x14ac:dyDescent="0.4"/>
    <row r="8553" s="5" customFormat="1" x14ac:dyDescent="0.4"/>
    <row r="8554" s="5" customFormat="1" x14ac:dyDescent="0.4"/>
    <row r="8555" s="5" customFormat="1" x14ac:dyDescent="0.4"/>
    <row r="8556" s="5" customFormat="1" x14ac:dyDescent="0.4"/>
    <row r="8557" s="5" customFormat="1" x14ac:dyDescent="0.4"/>
    <row r="8558" s="5" customFormat="1" x14ac:dyDescent="0.4"/>
    <row r="8559" s="5" customFormat="1" x14ac:dyDescent="0.4"/>
    <row r="8560" s="5" customFormat="1" x14ac:dyDescent="0.4"/>
    <row r="8561" s="5" customFormat="1" x14ac:dyDescent="0.4"/>
    <row r="8562" s="5" customFormat="1" x14ac:dyDescent="0.4"/>
    <row r="8563" s="5" customFormat="1" x14ac:dyDescent="0.4"/>
    <row r="8564" s="5" customFormat="1" x14ac:dyDescent="0.4"/>
    <row r="8565" s="5" customFormat="1" x14ac:dyDescent="0.4"/>
    <row r="8566" s="5" customFormat="1" x14ac:dyDescent="0.4"/>
    <row r="8567" s="5" customFormat="1" x14ac:dyDescent="0.4"/>
    <row r="8568" s="5" customFormat="1" x14ac:dyDescent="0.4"/>
    <row r="8569" s="5" customFormat="1" x14ac:dyDescent="0.4"/>
    <row r="8570" s="5" customFormat="1" x14ac:dyDescent="0.4"/>
    <row r="8571" s="5" customFormat="1" x14ac:dyDescent="0.4"/>
    <row r="8572" s="5" customFormat="1" x14ac:dyDescent="0.4"/>
    <row r="8573" s="5" customFormat="1" x14ac:dyDescent="0.4"/>
    <row r="8574" s="5" customFormat="1" x14ac:dyDescent="0.4"/>
    <row r="8575" s="5" customFormat="1" x14ac:dyDescent="0.4"/>
    <row r="8576" s="5" customFormat="1" x14ac:dyDescent="0.4"/>
    <row r="8577" s="5" customFormat="1" x14ac:dyDescent="0.4"/>
    <row r="8578" s="5" customFormat="1" x14ac:dyDescent="0.4"/>
    <row r="8579" s="5" customFormat="1" x14ac:dyDescent="0.4"/>
    <row r="8580" s="5" customFormat="1" x14ac:dyDescent="0.4"/>
    <row r="8581" s="5" customFormat="1" x14ac:dyDescent="0.4"/>
    <row r="8582" s="5" customFormat="1" x14ac:dyDescent="0.4"/>
    <row r="8583" s="5" customFormat="1" x14ac:dyDescent="0.4"/>
    <row r="8584" s="5" customFormat="1" x14ac:dyDescent="0.4"/>
    <row r="8585" s="5" customFormat="1" x14ac:dyDescent="0.4"/>
    <row r="8586" s="5" customFormat="1" x14ac:dyDescent="0.4"/>
    <row r="8587" s="5" customFormat="1" x14ac:dyDescent="0.4"/>
    <row r="8588" s="5" customFormat="1" x14ac:dyDescent="0.4"/>
    <row r="8589" s="5" customFormat="1" x14ac:dyDescent="0.4"/>
    <row r="8590" s="5" customFormat="1" x14ac:dyDescent="0.4"/>
    <row r="8591" s="5" customFormat="1" x14ac:dyDescent="0.4"/>
    <row r="8592" s="5" customFormat="1" x14ac:dyDescent="0.4"/>
    <row r="8593" s="5" customFormat="1" x14ac:dyDescent="0.4"/>
    <row r="8594" s="5" customFormat="1" x14ac:dyDescent="0.4"/>
    <row r="8595" s="5" customFormat="1" x14ac:dyDescent="0.4"/>
    <row r="8596" s="5" customFormat="1" x14ac:dyDescent="0.4"/>
    <row r="8597" s="5" customFormat="1" x14ac:dyDescent="0.4"/>
    <row r="8598" s="5" customFormat="1" x14ac:dyDescent="0.4"/>
    <row r="8599" s="5" customFormat="1" x14ac:dyDescent="0.4"/>
    <row r="8600" s="5" customFormat="1" x14ac:dyDescent="0.4"/>
    <row r="8601" s="5" customFormat="1" x14ac:dyDescent="0.4"/>
    <row r="8602" s="5" customFormat="1" x14ac:dyDescent="0.4"/>
    <row r="8603" s="5" customFormat="1" x14ac:dyDescent="0.4"/>
    <row r="8604" s="5" customFormat="1" x14ac:dyDescent="0.4"/>
    <row r="8605" s="5" customFormat="1" x14ac:dyDescent="0.4"/>
    <row r="8606" s="5" customFormat="1" x14ac:dyDescent="0.4"/>
    <row r="8607" s="5" customFormat="1" x14ac:dyDescent="0.4"/>
    <row r="8608" s="5" customFormat="1" x14ac:dyDescent="0.4"/>
    <row r="8609" s="5" customFormat="1" x14ac:dyDescent="0.4"/>
    <row r="8610" s="5" customFormat="1" x14ac:dyDescent="0.4"/>
    <row r="8611" s="5" customFormat="1" x14ac:dyDescent="0.4"/>
    <row r="8612" s="5" customFormat="1" x14ac:dyDescent="0.4"/>
    <row r="8613" s="5" customFormat="1" x14ac:dyDescent="0.4"/>
    <row r="8614" s="5" customFormat="1" x14ac:dyDescent="0.4"/>
    <row r="8615" s="5" customFormat="1" x14ac:dyDescent="0.4"/>
    <row r="8616" s="5" customFormat="1" x14ac:dyDescent="0.4"/>
    <row r="8617" s="5" customFormat="1" x14ac:dyDescent="0.4"/>
    <row r="8618" s="5" customFormat="1" x14ac:dyDescent="0.4"/>
    <row r="8619" s="5" customFormat="1" x14ac:dyDescent="0.4"/>
    <row r="8620" s="5" customFormat="1" x14ac:dyDescent="0.4"/>
    <row r="8621" s="5" customFormat="1" x14ac:dyDescent="0.4"/>
    <row r="8622" s="5" customFormat="1" x14ac:dyDescent="0.4"/>
    <row r="8623" s="5" customFormat="1" x14ac:dyDescent="0.4"/>
    <row r="8624" s="5" customFormat="1" x14ac:dyDescent="0.4"/>
    <row r="8625" s="5" customFormat="1" x14ac:dyDescent="0.4"/>
    <row r="8626" s="5" customFormat="1" x14ac:dyDescent="0.4"/>
    <row r="8627" s="5" customFormat="1" x14ac:dyDescent="0.4"/>
    <row r="8628" s="5" customFormat="1" x14ac:dyDescent="0.4"/>
    <row r="8629" s="5" customFormat="1" x14ac:dyDescent="0.4"/>
    <row r="8630" s="5" customFormat="1" x14ac:dyDescent="0.4"/>
    <row r="8631" s="5" customFormat="1" x14ac:dyDescent="0.4"/>
    <row r="8632" s="5" customFormat="1" x14ac:dyDescent="0.4"/>
    <row r="8633" s="5" customFormat="1" x14ac:dyDescent="0.4"/>
    <row r="8634" s="5" customFormat="1" x14ac:dyDescent="0.4"/>
    <row r="8635" s="5" customFormat="1" x14ac:dyDescent="0.4"/>
    <row r="8636" s="5" customFormat="1" x14ac:dyDescent="0.4"/>
    <row r="8637" s="5" customFormat="1" x14ac:dyDescent="0.4"/>
    <row r="8638" s="5" customFormat="1" x14ac:dyDescent="0.4"/>
    <row r="8639" s="5" customFormat="1" x14ac:dyDescent="0.4"/>
    <row r="8640" s="5" customFormat="1" x14ac:dyDescent="0.4"/>
    <row r="8641" s="5" customFormat="1" x14ac:dyDescent="0.4"/>
    <row r="8642" s="5" customFormat="1" x14ac:dyDescent="0.4"/>
    <row r="8643" s="5" customFormat="1" x14ac:dyDescent="0.4"/>
    <row r="8644" s="5" customFormat="1" x14ac:dyDescent="0.4"/>
    <row r="8645" s="5" customFormat="1" x14ac:dyDescent="0.4"/>
    <row r="8646" s="5" customFormat="1" x14ac:dyDescent="0.4"/>
    <row r="8647" s="5" customFormat="1" x14ac:dyDescent="0.4"/>
    <row r="8648" s="5" customFormat="1" x14ac:dyDescent="0.4"/>
    <row r="8649" s="5" customFormat="1" x14ac:dyDescent="0.4"/>
    <row r="8650" s="5" customFormat="1" x14ac:dyDescent="0.4"/>
    <row r="8651" s="5" customFormat="1" x14ac:dyDescent="0.4"/>
    <row r="8652" s="5" customFormat="1" x14ac:dyDescent="0.4"/>
    <row r="8653" s="5" customFormat="1" x14ac:dyDescent="0.4"/>
    <row r="8654" s="5" customFormat="1" x14ac:dyDescent="0.4"/>
    <row r="8655" s="5" customFormat="1" x14ac:dyDescent="0.4"/>
    <row r="8656" s="5" customFormat="1" x14ac:dyDescent="0.4"/>
    <row r="8657" s="5" customFormat="1" x14ac:dyDescent="0.4"/>
    <row r="8658" s="5" customFormat="1" x14ac:dyDescent="0.4"/>
    <row r="8659" s="5" customFormat="1" x14ac:dyDescent="0.4"/>
    <row r="8660" s="5" customFormat="1" x14ac:dyDescent="0.4"/>
    <row r="8661" s="5" customFormat="1" x14ac:dyDescent="0.4"/>
    <row r="8662" s="5" customFormat="1" x14ac:dyDescent="0.4"/>
    <row r="8663" s="5" customFormat="1" x14ac:dyDescent="0.4"/>
    <row r="8664" s="5" customFormat="1" x14ac:dyDescent="0.4"/>
    <row r="8665" s="5" customFormat="1" x14ac:dyDescent="0.4"/>
    <row r="8666" s="5" customFormat="1" x14ac:dyDescent="0.4"/>
    <row r="8667" s="5" customFormat="1" x14ac:dyDescent="0.4"/>
    <row r="8668" s="5" customFormat="1" x14ac:dyDescent="0.4"/>
    <row r="8669" s="5" customFormat="1" x14ac:dyDescent="0.4"/>
    <row r="8670" s="5" customFormat="1" x14ac:dyDescent="0.4"/>
    <row r="8671" s="5" customFormat="1" x14ac:dyDescent="0.4"/>
    <row r="8672" s="5" customFormat="1" x14ac:dyDescent="0.4"/>
    <row r="8673" s="5" customFormat="1" x14ac:dyDescent="0.4"/>
    <row r="8674" s="5" customFormat="1" x14ac:dyDescent="0.4"/>
    <row r="8675" s="5" customFormat="1" x14ac:dyDescent="0.4"/>
    <row r="8676" s="5" customFormat="1" x14ac:dyDescent="0.4"/>
    <row r="8677" s="5" customFormat="1" x14ac:dyDescent="0.4"/>
    <row r="8678" s="5" customFormat="1" x14ac:dyDescent="0.4"/>
    <row r="8679" s="5" customFormat="1" x14ac:dyDescent="0.4"/>
    <row r="8680" s="5" customFormat="1" x14ac:dyDescent="0.4"/>
    <row r="8681" s="5" customFormat="1" x14ac:dyDescent="0.4"/>
    <row r="8682" s="5" customFormat="1" x14ac:dyDescent="0.4"/>
    <row r="8683" s="5" customFormat="1" x14ac:dyDescent="0.4"/>
    <row r="8684" s="5" customFormat="1" x14ac:dyDescent="0.4"/>
    <row r="8685" s="5" customFormat="1" x14ac:dyDescent="0.4"/>
    <row r="8686" s="5" customFormat="1" x14ac:dyDescent="0.4"/>
    <row r="8687" s="5" customFormat="1" x14ac:dyDescent="0.4"/>
    <row r="8688" s="5" customFormat="1" x14ac:dyDescent="0.4"/>
    <row r="8689" s="5" customFormat="1" x14ac:dyDescent="0.4"/>
    <row r="8690" s="5" customFormat="1" x14ac:dyDescent="0.4"/>
    <row r="8691" s="5" customFormat="1" x14ac:dyDescent="0.4"/>
    <row r="8692" s="5" customFormat="1" x14ac:dyDescent="0.4"/>
    <row r="8693" s="5" customFormat="1" x14ac:dyDescent="0.4"/>
    <row r="8694" s="5" customFormat="1" x14ac:dyDescent="0.4"/>
    <row r="8695" s="5" customFormat="1" x14ac:dyDescent="0.4"/>
    <row r="8696" s="5" customFormat="1" x14ac:dyDescent="0.4"/>
    <row r="8697" s="5" customFormat="1" x14ac:dyDescent="0.4"/>
    <row r="8698" s="5" customFormat="1" x14ac:dyDescent="0.4"/>
    <row r="8699" s="5" customFormat="1" x14ac:dyDescent="0.4"/>
    <row r="8700" s="5" customFormat="1" x14ac:dyDescent="0.4"/>
    <row r="8701" s="5" customFormat="1" x14ac:dyDescent="0.4"/>
    <row r="8702" s="5" customFormat="1" x14ac:dyDescent="0.4"/>
    <row r="8703" s="5" customFormat="1" x14ac:dyDescent="0.4"/>
    <row r="8704" s="5" customFormat="1" x14ac:dyDescent="0.4"/>
    <row r="8705" s="5" customFormat="1" x14ac:dyDescent="0.4"/>
    <row r="8706" s="5" customFormat="1" x14ac:dyDescent="0.4"/>
    <row r="8707" s="5" customFormat="1" x14ac:dyDescent="0.4"/>
    <row r="8708" s="5" customFormat="1" x14ac:dyDescent="0.4"/>
    <row r="8709" s="5" customFormat="1" x14ac:dyDescent="0.4"/>
    <row r="8710" s="5" customFormat="1" x14ac:dyDescent="0.4"/>
    <row r="8711" s="5" customFormat="1" x14ac:dyDescent="0.4"/>
    <row r="8712" s="5" customFormat="1" x14ac:dyDescent="0.4"/>
    <row r="8713" s="5" customFormat="1" x14ac:dyDescent="0.4"/>
    <row r="8714" s="5" customFormat="1" x14ac:dyDescent="0.4"/>
    <row r="8715" s="5" customFormat="1" x14ac:dyDescent="0.4"/>
    <row r="8716" s="5" customFormat="1" x14ac:dyDescent="0.4"/>
    <row r="8717" s="5" customFormat="1" x14ac:dyDescent="0.4"/>
    <row r="8718" s="5" customFormat="1" x14ac:dyDescent="0.4"/>
    <row r="8719" s="5" customFormat="1" x14ac:dyDescent="0.4"/>
    <row r="8720" s="5" customFormat="1" x14ac:dyDescent="0.4"/>
    <row r="8721" s="5" customFormat="1" x14ac:dyDescent="0.4"/>
    <row r="8722" s="5" customFormat="1" x14ac:dyDescent="0.4"/>
    <row r="8723" s="5" customFormat="1" x14ac:dyDescent="0.4"/>
    <row r="8724" s="5" customFormat="1" x14ac:dyDescent="0.4"/>
    <row r="8725" s="5" customFormat="1" x14ac:dyDescent="0.4"/>
    <row r="8726" s="5" customFormat="1" x14ac:dyDescent="0.4"/>
    <row r="8727" s="5" customFormat="1" x14ac:dyDescent="0.4"/>
    <row r="8728" s="5" customFormat="1" x14ac:dyDescent="0.4"/>
    <row r="8729" s="5" customFormat="1" x14ac:dyDescent="0.4"/>
    <row r="8730" s="5" customFormat="1" x14ac:dyDescent="0.4"/>
    <row r="8731" s="5" customFormat="1" x14ac:dyDescent="0.4"/>
    <row r="8732" s="5" customFormat="1" x14ac:dyDescent="0.4"/>
    <row r="8733" s="5" customFormat="1" x14ac:dyDescent="0.4"/>
    <row r="8734" s="5" customFormat="1" x14ac:dyDescent="0.4"/>
    <row r="8735" s="5" customFormat="1" x14ac:dyDescent="0.4"/>
    <row r="8736" s="5" customFormat="1" x14ac:dyDescent="0.4"/>
    <row r="8737" s="5" customFormat="1" x14ac:dyDescent="0.4"/>
    <row r="8738" s="5" customFormat="1" x14ac:dyDescent="0.4"/>
    <row r="8739" s="5" customFormat="1" x14ac:dyDescent="0.4"/>
    <row r="8740" s="5" customFormat="1" x14ac:dyDescent="0.4"/>
    <row r="8741" s="5" customFormat="1" x14ac:dyDescent="0.4"/>
    <row r="8742" s="5" customFormat="1" x14ac:dyDescent="0.4"/>
    <row r="8743" s="5" customFormat="1" x14ac:dyDescent="0.4"/>
    <row r="8744" s="5" customFormat="1" x14ac:dyDescent="0.4"/>
    <row r="8745" s="5" customFormat="1" x14ac:dyDescent="0.4"/>
    <row r="8746" s="5" customFormat="1" x14ac:dyDescent="0.4"/>
    <row r="8747" s="5" customFormat="1" x14ac:dyDescent="0.4"/>
    <row r="8748" s="5" customFormat="1" x14ac:dyDescent="0.4"/>
    <row r="8749" s="5" customFormat="1" x14ac:dyDescent="0.4"/>
    <row r="8750" s="5" customFormat="1" x14ac:dyDescent="0.4"/>
    <row r="8751" s="5" customFormat="1" x14ac:dyDescent="0.4"/>
    <row r="8752" s="5" customFormat="1" x14ac:dyDescent="0.4"/>
    <row r="8753" s="5" customFormat="1" x14ac:dyDescent="0.4"/>
    <row r="8754" s="5" customFormat="1" x14ac:dyDescent="0.4"/>
    <row r="8755" s="5" customFormat="1" x14ac:dyDescent="0.4"/>
    <row r="8756" s="5" customFormat="1" x14ac:dyDescent="0.4"/>
    <row r="8757" s="5" customFormat="1" x14ac:dyDescent="0.4"/>
    <row r="8758" s="5" customFormat="1" x14ac:dyDescent="0.4"/>
    <row r="8759" s="5" customFormat="1" x14ac:dyDescent="0.4"/>
    <row r="8760" s="5" customFormat="1" x14ac:dyDescent="0.4"/>
    <row r="8761" s="5" customFormat="1" x14ac:dyDescent="0.4"/>
    <row r="8762" s="5" customFormat="1" x14ac:dyDescent="0.4"/>
    <row r="8763" s="5" customFormat="1" x14ac:dyDescent="0.4"/>
    <row r="8764" s="5" customFormat="1" x14ac:dyDescent="0.4"/>
    <row r="8765" s="5" customFormat="1" x14ac:dyDescent="0.4"/>
    <row r="8766" s="5" customFormat="1" x14ac:dyDescent="0.4"/>
    <row r="8767" s="5" customFormat="1" x14ac:dyDescent="0.4"/>
    <row r="8768" s="5" customFormat="1" x14ac:dyDescent="0.4"/>
    <row r="8769" s="5" customFormat="1" x14ac:dyDescent="0.4"/>
    <row r="8770" s="5" customFormat="1" x14ac:dyDescent="0.4"/>
    <row r="8771" s="5" customFormat="1" x14ac:dyDescent="0.4"/>
    <row r="8772" s="5" customFormat="1" x14ac:dyDescent="0.4"/>
    <row r="8773" s="5" customFormat="1" x14ac:dyDescent="0.4"/>
    <row r="8774" s="5" customFormat="1" x14ac:dyDescent="0.4"/>
    <row r="8775" s="5" customFormat="1" x14ac:dyDescent="0.4"/>
    <row r="8776" s="5" customFormat="1" x14ac:dyDescent="0.4"/>
    <row r="8777" s="5" customFormat="1" x14ac:dyDescent="0.4"/>
    <row r="8778" s="5" customFormat="1" x14ac:dyDescent="0.4"/>
    <row r="8779" s="5" customFormat="1" x14ac:dyDescent="0.4"/>
    <row r="8780" s="5" customFormat="1" x14ac:dyDescent="0.4"/>
    <row r="8781" s="5" customFormat="1" x14ac:dyDescent="0.4"/>
    <row r="8782" s="5" customFormat="1" x14ac:dyDescent="0.4"/>
    <row r="8783" s="5" customFormat="1" x14ac:dyDescent="0.4"/>
    <row r="8784" s="5" customFormat="1" x14ac:dyDescent="0.4"/>
    <row r="8785" s="5" customFormat="1" x14ac:dyDescent="0.4"/>
    <row r="8786" s="5" customFormat="1" x14ac:dyDescent="0.4"/>
    <row r="8787" s="5" customFormat="1" x14ac:dyDescent="0.4"/>
    <row r="8788" s="5" customFormat="1" x14ac:dyDescent="0.4"/>
    <row r="8789" s="5" customFormat="1" x14ac:dyDescent="0.4"/>
    <row r="8790" s="5" customFormat="1" x14ac:dyDescent="0.4"/>
    <row r="8791" s="5" customFormat="1" x14ac:dyDescent="0.4"/>
    <row r="8792" s="5" customFormat="1" x14ac:dyDescent="0.4"/>
    <row r="8793" s="5" customFormat="1" x14ac:dyDescent="0.4"/>
    <row r="8794" s="5" customFormat="1" x14ac:dyDescent="0.4"/>
    <row r="8795" s="5" customFormat="1" x14ac:dyDescent="0.4"/>
    <row r="8796" s="5" customFormat="1" x14ac:dyDescent="0.4"/>
    <row r="8797" s="5" customFormat="1" x14ac:dyDescent="0.4"/>
    <row r="8798" s="5" customFormat="1" x14ac:dyDescent="0.4"/>
    <row r="8799" s="5" customFormat="1" x14ac:dyDescent="0.4"/>
    <row r="8800" s="5" customFormat="1" x14ac:dyDescent="0.4"/>
    <row r="8801" s="5" customFormat="1" x14ac:dyDescent="0.4"/>
    <row r="8802" s="5" customFormat="1" x14ac:dyDescent="0.4"/>
    <row r="8803" s="5" customFormat="1" x14ac:dyDescent="0.4"/>
    <row r="8804" s="5" customFormat="1" x14ac:dyDescent="0.4"/>
    <row r="8805" s="5" customFormat="1" x14ac:dyDescent="0.4"/>
    <row r="8806" s="5" customFormat="1" x14ac:dyDescent="0.4"/>
    <row r="8807" s="5" customFormat="1" x14ac:dyDescent="0.4"/>
    <row r="8808" s="5" customFormat="1" x14ac:dyDescent="0.4"/>
    <row r="8809" s="5" customFormat="1" x14ac:dyDescent="0.4"/>
    <row r="8810" s="5" customFormat="1" x14ac:dyDescent="0.4"/>
    <row r="8811" s="5" customFormat="1" x14ac:dyDescent="0.4"/>
    <row r="8812" s="5" customFormat="1" x14ac:dyDescent="0.4"/>
    <row r="8813" s="5" customFormat="1" x14ac:dyDescent="0.4"/>
    <row r="8814" s="5" customFormat="1" x14ac:dyDescent="0.4"/>
    <row r="8815" s="5" customFormat="1" x14ac:dyDescent="0.4"/>
    <row r="8816" s="5" customFormat="1" x14ac:dyDescent="0.4"/>
    <row r="8817" s="5" customFormat="1" x14ac:dyDescent="0.4"/>
    <row r="8818" s="5" customFormat="1" x14ac:dyDescent="0.4"/>
    <row r="8819" s="5" customFormat="1" x14ac:dyDescent="0.4"/>
    <row r="8820" s="5" customFormat="1" x14ac:dyDescent="0.4"/>
    <row r="8821" s="5" customFormat="1" x14ac:dyDescent="0.4"/>
    <row r="8822" s="5" customFormat="1" x14ac:dyDescent="0.4"/>
    <row r="8823" s="5" customFormat="1" x14ac:dyDescent="0.4"/>
    <row r="8824" s="5" customFormat="1" x14ac:dyDescent="0.4"/>
    <row r="8825" s="5" customFormat="1" x14ac:dyDescent="0.4"/>
    <row r="8826" s="5" customFormat="1" x14ac:dyDescent="0.4"/>
    <row r="8827" s="5" customFormat="1" x14ac:dyDescent="0.4"/>
    <row r="8828" s="5" customFormat="1" x14ac:dyDescent="0.4"/>
    <row r="8829" s="5" customFormat="1" x14ac:dyDescent="0.4"/>
    <row r="8830" s="5" customFormat="1" x14ac:dyDescent="0.4"/>
    <row r="8831" s="5" customFormat="1" x14ac:dyDescent="0.4"/>
    <row r="8832" s="5" customFormat="1" x14ac:dyDescent="0.4"/>
    <row r="8833" s="5" customFormat="1" x14ac:dyDescent="0.4"/>
    <row r="8834" s="5" customFormat="1" x14ac:dyDescent="0.4"/>
    <row r="8835" s="5" customFormat="1" x14ac:dyDescent="0.4"/>
    <row r="8836" s="5" customFormat="1" x14ac:dyDescent="0.4"/>
    <row r="8837" s="5" customFormat="1" x14ac:dyDescent="0.4"/>
    <row r="8838" s="5" customFormat="1" x14ac:dyDescent="0.4"/>
    <row r="8839" s="5" customFormat="1" x14ac:dyDescent="0.4"/>
    <row r="8840" s="5" customFormat="1" x14ac:dyDescent="0.4"/>
    <row r="8841" s="5" customFormat="1" x14ac:dyDescent="0.4"/>
    <row r="8842" s="5" customFormat="1" x14ac:dyDescent="0.4"/>
    <row r="8843" s="5" customFormat="1" x14ac:dyDescent="0.4"/>
    <row r="8844" s="5" customFormat="1" x14ac:dyDescent="0.4"/>
    <row r="8845" s="5" customFormat="1" x14ac:dyDescent="0.4"/>
    <row r="8846" s="5" customFormat="1" x14ac:dyDescent="0.4"/>
    <row r="8847" s="5" customFormat="1" x14ac:dyDescent="0.4"/>
    <row r="8848" s="5" customFormat="1" x14ac:dyDescent="0.4"/>
    <row r="8849" s="5" customFormat="1" x14ac:dyDescent="0.4"/>
    <row r="8850" s="5" customFormat="1" x14ac:dyDescent="0.4"/>
    <row r="8851" s="5" customFormat="1" x14ac:dyDescent="0.4"/>
    <row r="8852" s="5" customFormat="1" x14ac:dyDescent="0.4"/>
    <row r="8853" s="5" customFormat="1" x14ac:dyDescent="0.4"/>
    <row r="8854" s="5" customFormat="1" x14ac:dyDescent="0.4"/>
    <row r="8855" s="5" customFormat="1" x14ac:dyDescent="0.4"/>
    <row r="8856" s="5" customFormat="1" x14ac:dyDescent="0.4"/>
    <row r="8857" s="5" customFormat="1" x14ac:dyDescent="0.4"/>
    <row r="8858" s="5" customFormat="1" x14ac:dyDescent="0.4"/>
    <row r="8859" s="5" customFormat="1" x14ac:dyDescent="0.4"/>
    <row r="8860" s="5" customFormat="1" x14ac:dyDescent="0.4"/>
    <row r="8861" s="5" customFormat="1" x14ac:dyDescent="0.4"/>
    <row r="8862" s="5" customFormat="1" x14ac:dyDescent="0.4"/>
    <row r="8863" s="5" customFormat="1" x14ac:dyDescent="0.4"/>
    <row r="8864" s="5" customFormat="1" x14ac:dyDescent="0.4"/>
    <row r="8865" s="5" customFormat="1" x14ac:dyDescent="0.4"/>
    <row r="8866" s="5" customFormat="1" x14ac:dyDescent="0.4"/>
    <row r="8867" s="5" customFormat="1" x14ac:dyDescent="0.4"/>
    <row r="8868" s="5" customFormat="1" x14ac:dyDescent="0.4"/>
    <row r="8869" s="5" customFormat="1" x14ac:dyDescent="0.4"/>
    <row r="8870" s="5" customFormat="1" x14ac:dyDescent="0.4"/>
    <row r="8871" s="5" customFormat="1" x14ac:dyDescent="0.4"/>
    <row r="8872" s="5" customFormat="1" x14ac:dyDescent="0.4"/>
    <row r="8873" s="5" customFormat="1" x14ac:dyDescent="0.4"/>
    <row r="8874" s="5" customFormat="1" x14ac:dyDescent="0.4"/>
    <row r="8875" s="5" customFormat="1" x14ac:dyDescent="0.4"/>
    <row r="8876" s="5" customFormat="1" x14ac:dyDescent="0.4"/>
    <row r="8877" s="5" customFormat="1" x14ac:dyDescent="0.4"/>
    <row r="8878" s="5" customFormat="1" x14ac:dyDescent="0.4"/>
    <row r="8879" s="5" customFormat="1" x14ac:dyDescent="0.4"/>
    <row r="8880" s="5" customFormat="1" x14ac:dyDescent="0.4"/>
    <row r="8881" s="5" customFormat="1" x14ac:dyDescent="0.4"/>
    <row r="8882" s="5" customFormat="1" x14ac:dyDescent="0.4"/>
    <row r="8883" s="5" customFormat="1" x14ac:dyDescent="0.4"/>
    <row r="8884" s="5" customFormat="1" x14ac:dyDescent="0.4"/>
    <row r="8885" s="5" customFormat="1" x14ac:dyDescent="0.4"/>
    <row r="8886" s="5" customFormat="1" x14ac:dyDescent="0.4"/>
    <row r="8887" s="5" customFormat="1" x14ac:dyDescent="0.4"/>
    <row r="8888" s="5" customFormat="1" x14ac:dyDescent="0.4"/>
    <row r="8889" s="5" customFormat="1" x14ac:dyDescent="0.4"/>
    <row r="8890" s="5" customFormat="1" x14ac:dyDescent="0.4"/>
    <row r="8891" s="5" customFormat="1" x14ac:dyDescent="0.4"/>
    <row r="8892" s="5" customFormat="1" x14ac:dyDescent="0.4"/>
    <row r="8893" s="5" customFormat="1" x14ac:dyDescent="0.4"/>
    <row r="8894" s="5" customFormat="1" x14ac:dyDescent="0.4"/>
    <row r="8895" s="5" customFormat="1" x14ac:dyDescent="0.4"/>
    <row r="8896" s="5" customFormat="1" x14ac:dyDescent="0.4"/>
    <row r="8897" s="5" customFormat="1" x14ac:dyDescent="0.4"/>
    <row r="8898" s="5" customFormat="1" x14ac:dyDescent="0.4"/>
    <row r="8899" s="5" customFormat="1" x14ac:dyDescent="0.4"/>
    <row r="8900" s="5" customFormat="1" x14ac:dyDescent="0.4"/>
    <row r="8901" s="5" customFormat="1" x14ac:dyDescent="0.4"/>
    <row r="8902" s="5" customFormat="1" x14ac:dyDescent="0.4"/>
    <row r="8903" s="5" customFormat="1" x14ac:dyDescent="0.4"/>
    <row r="8904" s="5" customFormat="1" x14ac:dyDescent="0.4"/>
    <row r="8905" s="5" customFormat="1" x14ac:dyDescent="0.4"/>
    <row r="8906" s="5" customFormat="1" x14ac:dyDescent="0.4"/>
    <row r="8907" s="5" customFormat="1" x14ac:dyDescent="0.4"/>
    <row r="8908" s="5" customFormat="1" x14ac:dyDescent="0.4"/>
    <row r="8909" s="5" customFormat="1" x14ac:dyDescent="0.4"/>
    <row r="8910" s="5" customFormat="1" x14ac:dyDescent="0.4"/>
    <row r="8911" s="5" customFormat="1" x14ac:dyDescent="0.4"/>
    <row r="8912" s="5" customFormat="1" x14ac:dyDescent="0.4"/>
    <row r="8913" s="5" customFormat="1" x14ac:dyDescent="0.4"/>
    <row r="8914" s="5" customFormat="1" x14ac:dyDescent="0.4"/>
    <row r="8915" s="5" customFormat="1" x14ac:dyDescent="0.4"/>
    <row r="8916" s="5" customFormat="1" x14ac:dyDescent="0.4"/>
    <row r="8917" s="5" customFormat="1" x14ac:dyDescent="0.4"/>
    <row r="8918" s="5" customFormat="1" x14ac:dyDescent="0.4"/>
    <row r="8919" s="5" customFormat="1" x14ac:dyDescent="0.4"/>
    <row r="8920" s="5" customFormat="1" x14ac:dyDescent="0.4"/>
    <row r="8921" s="5" customFormat="1" x14ac:dyDescent="0.4"/>
    <row r="8922" s="5" customFormat="1" x14ac:dyDescent="0.4"/>
    <row r="8923" s="5" customFormat="1" x14ac:dyDescent="0.4"/>
    <row r="8924" s="5" customFormat="1" x14ac:dyDescent="0.4"/>
    <row r="8925" s="5" customFormat="1" x14ac:dyDescent="0.4"/>
    <row r="8926" s="5" customFormat="1" x14ac:dyDescent="0.4"/>
    <row r="8927" s="5" customFormat="1" x14ac:dyDescent="0.4"/>
    <row r="8928" s="5" customFormat="1" x14ac:dyDescent="0.4"/>
    <row r="8929" s="5" customFormat="1" x14ac:dyDescent="0.4"/>
    <row r="8930" s="5" customFormat="1" x14ac:dyDescent="0.4"/>
    <row r="8931" s="5" customFormat="1" x14ac:dyDescent="0.4"/>
    <row r="8932" s="5" customFormat="1" x14ac:dyDescent="0.4"/>
    <row r="8933" s="5" customFormat="1" x14ac:dyDescent="0.4"/>
    <row r="8934" s="5" customFormat="1" x14ac:dyDescent="0.4"/>
    <row r="8935" s="5" customFormat="1" x14ac:dyDescent="0.4"/>
    <row r="8936" s="5" customFormat="1" x14ac:dyDescent="0.4"/>
    <row r="8937" s="5" customFormat="1" x14ac:dyDescent="0.4"/>
    <row r="8938" s="5" customFormat="1" x14ac:dyDescent="0.4"/>
    <row r="8939" s="5" customFormat="1" x14ac:dyDescent="0.4"/>
    <row r="8940" s="5" customFormat="1" x14ac:dyDescent="0.4"/>
    <row r="8941" s="5" customFormat="1" x14ac:dyDescent="0.4"/>
    <row r="8942" s="5" customFormat="1" x14ac:dyDescent="0.4"/>
    <row r="8943" s="5" customFormat="1" x14ac:dyDescent="0.4"/>
    <row r="8944" s="5" customFormat="1" x14ac:dyDescent="0.4"/>
    <row r="8945" s="5" customFormat="1" x14ac:dyDescent="0.4"/>
    <row r="8946" s="5" customFormat="1" x14ac:dyDescent="0.4"/>
    <row r="8947" s="5" customFormat="1" x14ac:dyDescent="0.4"/>
    <row r="8948" s="5" customFormat="1" x14ac:dyDescent="0.4"/>
    <row r="8949" s="5" customFormat="1" x14ac:dyDescent="0.4"/>
    <row r="8950" s="5" customFormat="1" x14ac:dyDescent="0.4"/>
    <row r="8951" s="5" customFormat="1" x14ac:dyDescent="0.4"/>
    <row r="8952" s="5" customFormat="1" x14ac:dyDescent="0.4"/>
    <row r="8953" s="5" customFormat="1" x14ac:dyDescent="0.4"/>
    <row r="8954" s="5" customFormat="1" x14ac:dyDescent="0.4"/>
    <row r="8955" s="5" customFormat="1" x14ac:dyDescent="0.4"/>
    <row r="8956" s="5" customFormat="1" x14ac:dyDescent="0.4"/>
    <row r="8957" s="5" customFormat="1" x14ac:dyDescent="0.4"/>
    <row r="8958" s="5" customFormat="1" x14ac:dyDescent="0.4"/>
    <row r="8959" s="5" customFormat="1" x14ac:dyDescent="0.4"/>
    <row r="8960" s="5" customFormat="1" x14ac:dyDescent="0.4"/>
    <row r="8961" s="5" customFormat="1" x14ac:dyDescent="0.4"/>
    <row r="8962" s="5" customFormat="1" x14ac:dyDescent="0.4"/>
    <row r="8963" s="5" customFormat="1" x14ac:dyDescent="0.4"/>
    <row r="8964" s="5" customFormat="1" x14ac:dyDescent="0.4"/>
    <row r="8965" s="5" customFormat="1" x14ac:dyDescent="0.4"/>
    <row r="8966" s="5" customFormat="1" x14ac:dyDescent="0.4"/>
    <row r="8967" s="5" customFormat="1" x14ac:dyDescent="0.4"/>
    <row r="8968" s="5" customFormat="1" x14ac:dyDescent="0.4"/>
    <row r="8969" s="5" customFormat="1" x14ac:dyDescent="0.4"/>
    <row r="8970" s="5" customFormat="1" x14ac:dyDescent="0.4"/>
    <row r="8971" s="5" customFormat="1" x14ac:dyDescent="0.4"/>
    <row r="8972" s="5" customFormat="1" x14ac:dyDescent="0.4"/>
    <row r="8973" s="5" customFormat="1" x14ac:dyDescent="0.4"/>
    <row r="8974" s="5" customFormat="1" x14ac:dyDescent="0.4"/>
    <row r="8975" s="5" customFormat="1" x14ac:dyDescent="0.4"/>
    <row r="8976" s="5" customFormat="1" x14ac:dyDescent="0.4"/>
    <row r="8977" s="5" customFormat="1" x14ac:dyDescent="0.4"/>
    <row r="8978" s="5" customFormat="1" x14ac:dyDescent="0.4"/>
    <row r="8979" s="5" customFormat="1" x14ac:dyDescent="0.4"/>
    <row r="8980" s="5" customFormat="1" x14ac:dyDescent="0.4"/>
    <row r="8981" s="5" customFormat="1" x14ac:dyDescent="0.4"/>
    <row r="8982" s="5" customFormat="1" x14ac:dyDescent="0.4"/>
    <row r="8983" s="5" customFormat="1" x14ac:dyDescent="0.4"/>
    <row r="8984" s="5" customFormat="1" x14ac:dyDescent="0.4"/>
    <row r="8985" s="5" customFormat="1" x14ac:dyDescent="0.4"/>
    <row r="8986" s="5" customFormat="1" x14ac:dyDescent="0.4"/>
    <row r="8987" s="5" customFormat="1" x14ac:dyDescent="0.4"/>
    <row r="8988" s="5" customFormat="1" x14ac:dyDescent="0.4"/>
    <row r="8989" s="5" customFormat="1" x14ac:dyDescent="0.4"/>
    <row r="8990" s="5" customFormat="1" x14ac:dyDescent="0.4"/>
    <row r="8991" s="5" customFormat="1" x14ac:dyDescent="0.4"/>
    <row r="8992" s="5" customFormat="1" x14ac:dyDescent="0.4"/>
    <row r="8993" s="5" customFormat="1" x14ac:dyDescent="0.4"/>
    <row r="8994" s="5" customFormat="1" x14ac:dyDescent="0.4"/>
    <row r="8995" s="5" customFormat="1" x14ac:dyDescent="0.4"/>
    <row r="8996" s="5" customFormat="1" x14ac:dyDescent="0.4"/>
    <row r="8997" s="5" customFormat="1" x14ac:dyDescent="0.4"/>
    <row r="8998" s="5" customFormat="1" x14ac:dyDescent="0.4"/>
    <row r="8999" s="5" customFormat="1" x14ac:dyDescent="0.4"/>
    <row r="9000" s="5" customFormat="1" x14ac:dyDescent="0.4"/>
    <row r="9001" s="5" customFormat="1" x14ac:dyDescent="0.4"/>
    <row r="9002" s="5" customFormat="1" x14ac:dyDescent="0.4"/>
    <row r="9003" s="5" customFormat="1" x14ac:dyDescent="0.4"/>
    <row r="9004" s="5" customFormat="1" x14ac:dyDescent="0.4"/>
    <row r="9005" s="5" customFormat="1" x14ac:dyDescent="0.4"/>
    <row r="9006" s="5" customFormat="1" x14ac:dyDescent="0.4"/>
    <row r="9007" s="5" customFormat="1" x14ac:dyDescent="0.4"/>
    <row r="9008" s="5" customFormat="1" x14ac:dyDescent="0.4"/>
    <row r="9009" s="5" customFormat="1" x14ac:dyDescent="0.4"/>
    <row r="9010" s="5" customFormat="1" x14ac:dyDescent="0.4"/>
    <row r="9011" s="5" customFormat="1" x14ac:dyDescent="0.4"/>
    <row r="9012" s="5" customFormat="1" x14ac:dyDescent="0.4"/>
    <row r="9013" s="5" customFormat="1" x14ac:dyDescent="0.4"/>
    <row r="9014" s="5" customFormat="1" x14ac:dyDescent="0.4"/>
    <row r="9015" s="5" customFormat="1" x14ac:dyDescent="0.4"/>
    <row r="9016" s="5" customFormat="1" x14ac:dyDescent="0.4"/>
    <row r="9017" s="5" customFormat="1" x14ac:dyDescent="0.4"/>
    <row r="9018" s="5" customFormat="1" x14ac:dyDescent="0.4"/>
    <row r="9019" s="5" customFormat="1" x14ac:dyDescent="0.4"/>
    <row r="9020" s="5" customFormat="1" x14ac:dyDescent="0.4"/>
    <row r="9021" s="5" customFormat="1" x14ac:dyDescent="0.4"/>
    <row r="9022" s="5" customFormat="1" x14ac:dyDescent="0.4"/>
    <row r="9023" s="5" customFormat="1" x14ac:dyDescent="0.4"/>
    <row r="9024" s="5" customFormat="1" x14ac:dyDescent="0.4"/>
    <row r="9025" s="5" customFormat="1" x14ac:dyDescent="0.4"/>
    <row r="9026" s="5" customFormat="1" x14ac:dyDescent="0.4"/>
    <row r="9027" s="5" customFormat="1" x14ac:dyDescent="0.4"/>
    <row r="9028" s="5" customFormat="1" x14ac:dyDescent="0.4"/>
    <row r="9029" s="5" customFormat="1" x14ac:dyDescent="0.4"/>
    <row r="9030" s="5" customFormat="1" x14ac:dyDescent="0.4"/>
    <row r="9031" s="5" customFormat="1" x14ac:dyDescent="0.4"/>
    <row r="9032" s="5" customFormat="1" x14ac:dyDescent="0.4"/>
    <row r="9033" s="5" customFormat="1" x14ac:dyDescent="0.4"/>
    <row r="9034" s="5" customFormat="1" x14ac:dyDescent="0.4"/>
    <row r="9035" s="5" customFormat="1" x14ac:dyDescent="0.4"/>
    <row r="9036" s="5" customFormat="1" x14ac:dyDescent="0.4"/>
    <row r="9037" s="5" customFormat="1" x14ac:dyDescent="0.4"/>
    <row r="9038" s="5" customFormat="1" x14ac:dyDescent="0.4"/>
    <row r="9039" s="5" customFormat="1" x14ac:dyDescent="0.4"/>
    <row r="9040" s="5" customFormat="1" x14ac:dyDescent="0.4"/>
    <row r="9041" s="5" customFormat="1" x14ac:dyDescent="0.4"/>
    <row r="9042" s="5" customFormat="1" x14ac:dyDescent="0.4"/>
    <row r="9043" s="5" customFormat="1" x14ac:dyDescent="0.4"/>
    <row r="9044" s="5" customFormat="1" x14ac:dyDescent="0.4"/>
    <row r="9045" s="5" customFormat="1" x14ac:dyDescent="0.4"/>
    <row r="9046" s="5" customFormat="1" x14ac:dyDescent="0.4"/>
    <row r="9047" s="5" customFormat="1" x14ac:dyDescent="0.4"/>
    <row r="9048" s="5" customFormat="1" x14ac:dyDescent="0.4"/>
    <row r="9049" s="5" customFormat="1" x14ac:dyDescent="0.4"/>
    <row r="9050" s="5" customFormat="1" x14ac:dyDescent="0.4"/>
    <row r="9051" s="5" customFormat="1" x14ac:dyDescent="0.4"/>
    <row r="9052" s="5" customFormat="1" x14ac:dyDescent="0.4"/>
    <row r="9053" s="5" customFormat="1" x14ac:dyDescent="0.4"/>
    <row r="9054" s="5" customFormat="1" x14ac:dyDescent="0.4"/>
    <row r="9055" s="5" customFormat="1" x14ac:dyDescent="0.4"/>
    <row r="9056" s="5" customFormat="1" x14ac:dyDescent="0.4"/>
    <row r="9057" s="5" customFormat="1" x14ac:dyDescent="0.4"/>
    <row r="9058" s="5" customFormat="1" x14ac:dyDescent="0.4"/>
    <row r="9059" s="5" customFormat="1" x14ac:dyDescent="0.4"/>
    <row r="9060" s="5" customFormat="1" x14ac:dyDescent="0.4"/>
    <row r="9061" s="5" customFormat="1" x14ac:dyDescent="0.4"/>
    <row r="9062" s="5" customFormat="1" x14ac:dyDescent="0.4"/>
    <row r="9063" s="5" customFormat="1" x14ac:dyDescent="0.4"/>
    <row r="9064" s="5" customFormat="1" x14ac:dyDescent="0.4"/>
    <row r="9065" s="5" customFormat="1" x14ac:dyDescent="0.4"/>
    <row r="9066" s="5" customFormat="1" x14ac:dyDescent="0.4"/>
    <row r="9067" s="5" customFormat="1" x14ac:dyDescent="0.4"/>
    <row r="9068" s="5" customFormat="1" x14ac:dyDescent="0.4"/>
    <row r="9069" s="5" customFormat="1" x14ac:dyDescent="0.4"/>
    <row r="9070" s="5" customFormat="1" x14ac:dyDescent="0.4"/>
    <row r="9071" s="5" customFormat="1" x14ac:dyDescent="0.4"/>
    <row r="9072" s="5" customFormat="1" x14ac:dyDescent="0.4"/>
    <row r="9073" s="5" customFormat="1" x14ac:dyDescent="0.4"/>
    <row r="9074" s="5" customFormat="1" x14ac:dyDescent="0.4"/>
    <row r="9075" s="5" customFormat="1" x14ac:dyDescent="0.4"/>
    <row r="9076" s="5" customFormat="1" x14ac:dyDescent="0.4"/>
    <row r="9077" s="5" customFormat="1" x14ac:dyDescent="0.4"/>
    <row r="9078" s="5" customFormat="1" x14ac:dyDescent="0.4"/>
    <row r="9079" s="5" customFormat="1" x14ac:dyDescent="0.4"/>
    <row r="9080" s="5" customFormat="1" x14ac:dyDescent="0.4"/>
    <row r="9081" s="5" customFormat="1" x14ac:dyDescent="0.4"/>
    <row r="9082" s="5" customFormat="1" x14ac:dyDescent="0.4"/>
    <row r="9083" s="5" customFormat="1" x14ac:dyDescent="0.4"/>
    <row r="9084" s="5" customFormat="1" x14ac:dyDescent="0.4"/>
    <row r="9085" s="5" customFormat="1" x14ac:dyDescent="0.4"/>
    <row r="9086" s="5" customFormat="1" x14ac:dyDescent="0.4"/>
    <row r="9087" s="5" customFormat="1" x14ac:dyDescent="0.4"/>
    <row r="9088" s="5" customFormat="1" x14ac:dyDescent="0.4"/>
    <row r="9089" s="5" customFormat="1" x14ac:dyDescent="0.4"/>
    <row r="9090" s="5" customFormat="1" x14ac:dyDescent="0.4"/>
    <row r="9091" s="5" customFormat="1" x14ac:dyDescent="0.4"/>
    <row r="9092" s="5" customFormat="1" x14ac:dyDescent="0.4"/>
    <row r="9093" s="5" customFormat="1" x14ac:dyDescent="0.4"/>
    <row r="9094" s="5" customFormat="1" x14ac:dyDescent="0.4"/>
    <row r="9095" s="5" customFormat="1" x14ac:dyDescent="0.4"/>
    <row r="9096" s="5" customFormat="1" x14ac:dyDescent="0.4"/>
    <row r="9097" s="5" customFormat="1" x14ac:dyDescent="0.4"/>
    <row r="9098" s="5" customFormat="1" x14ac:dyDescent="0.4"/>
    <row r="9099" s="5" customFormat="1" x14ac:dyDescent="0.4"/>
    <row r="9100" s="5" customFormat="1" x14ac:dyDescent="0.4"/>
    <row r="9101" s="5" customFormat="1" x14ac:dyDescent="0.4"/>
    <row r="9102" s="5" customFormat="1" x14ac:dyDescent="0.4"/>
    <row r="9103" s="5" customFormat="1" x14ac:dyDescent="0.4"/>
    <row r="9104" s="5" customFormat="1" x14ac:dyDescent="0.4"/>
    <row r="9105" s="5" customFormat="1" x14ac:dyDescent="0.4"/>
    <row r="9106" s="5" customFormat="1" x14ac:dyDescent="0.4"/>
    <row r="9107" s="5" customFormat="1" x14ac:dyDescent="0.4"/>
    <row r="9108" s="5" customFormat="1" x14ac:dyDescent="0.4"/>
    <row r="9109" s="5" customFormat="1" x14ac:dyDescent="0.4"/>
    <row r="9110" s="5" customFormat="1" x14ac:dyDescent="0.4"/>
    <row r="9111" s="5" customFormat="1" x14ac:dyDescent="0.4"/>
    <row r="9112" s="5" customFormat="1" x14ac:dyDescent="0.4"/>
    <row r="9113" s="5" customFormat="1" x14ac:dyDescent="0.4"/>
    <row r="9114" s="5" customFormat="1" x14ac:dyDescent="0.4"/>
    <row r="9115" s="5" customFormat="1" x14ac:dyDescent="0.4"/>
    <row r="9116" s="5" customFormat="1" x14ac:dyDescent="0.4"/>
    <row r="9117" s="5" customFormat="1" x14ac:dyDescent="0.4"/>
    <row r="9118" s="5" customFormat="1" x14ac:dyDescent="0.4"/>
    <row r="9119" s="5" customFormat="1" x14ac:dyDescent="0.4"/>
    <row r="9120" s="5" customFormat="1" x14ac:dyDescent="0.4"/>
    <row r="9121" s="5" customFormat="1" x14ac:dyDescent="0.4"/>
    <row r="9122" s="5" customFormat="1" x14ac:dyDescent="0.4"/>
    <row r="9123" s="5" customFormat="1" x14ac:dyDescent="0.4"/>
    <row r="9124" s="5" customFormat="1" x14ac:dyDescent="0.4"/>
    <row r="9125" s="5" customFormat="1" x14ac:dyDescent="0.4"/>
    <row r="9126" s="5" customFormat="1" x14ac:dyDescent="0.4"/>
    <row r="9127" s="5" customFormat="1" x14ac:dyDescent="0.4"/>
    <row r="9128" s="5" customFormat="1" x14ac:dyDescent="0.4"/>
    <row r="9129" s="5" customFormat="1" x14ac:dyDescent="0.4"/>
    <row r="9130" s="5" customFormat="1" x14ac:dyDescent="0.4"/>
    <row r="9131" s="5" customFormat="1" x14ac:dyDescent="0.4"/>
    <row r="9132" s="5" customFormat="1" x14ac:dyDescent="0.4"/>
    <row r="9133" s="5" customFormat="1" x14ac:dyDescent="0.4"/>
    <row r="9134" s="5" customFormat="1" x14ac:dyDescent="0.4"/>
    <row r="9135" s="5" customFormat="1" x14ac:dyDescent="0.4"/>
    <row r="9136" s="5" customFormat="1" x14ac:dyDescent="0.4"/>
    <row r="9137" s="5" customFormat="1" x14ac:dyDescent="0.4"/>
    <row r="9138" s="5" customFormat="1" x14ac:dyDescent="0.4"/>
    <row r="9139" s="5" customFormat="1" x14ac:dyDescent="0.4"/>
    <row r="9140" s="5" customFormat="1" x14ac:dyDescent="0.4"/>
    <row r="9141" s="5" customFormat="1" x14ac:dyDescent="0.4"/>
    <row r="9142" s="5" customFormat="1" x14ac:dyDescent="0.4"/>
    <row r="9143" s="5" customFormat="1" x14ac:dyDescent="0.4"/>
    <row r="9144" s="5" customFormat="1" x14ac:dyDescent="0.4"/>
    <row r="9145" s="5" customFormat="1" x14ac:dyDescent="0.4"/>
    <row r="9146" s="5" customFormat="1" x14ac:dyDescent="0.4"/>
    <row r="9147" s="5" customFormat="1" x14ac:dyDescent="0.4"/>
    <row r="9148" s="5" customFormat="1" x14ac:dyDescent="0.4"/>
    <row r="9149" s="5" customFormat="1" x14ac:dyDescent="0.4"/>
    <row r="9150" s="5" customFormat="1" x14ac:dyDescent="0.4"/>
    <row r="9151" s="5" customFormat="1" x14ac:dyDescent="0.4"/>
    <row r="9152" s="5" customFormat="1" x14ac:dyDescent="0.4"/>
    <row r="9153" s="5" customFormat="1" x14ac:dyDescent="0.4"/>
    <row r="9154" s="5" customFormat="1" x14ac:dyDescent="0.4"/>
    <row r="9155" s="5" customFormat="1" x14ac:dyDescent="0.4"/>
    <row r="9156" s="5" customFormat="1" x14ac:dyDescent="0.4"/>
    <row r="9157" s="5" customFormat="1" x14ac:dyDescent="0.4"/>
    <row r="9158" s="5" customFormat="1" x14ac:dyDescent="0.4"/>
    <row r="9159" s="5" customFormat="1" x14ac:dyDescent="0.4"/>
    <row r="9160" s="5" customFormat="1" x14ac:dyDescent="0.4"/>
    <row r="9161" s="5" customFormat="1" x14ac:dyDescent="0.4"/>
    <row r="9162" s="5" customFormat="1" x14ac:dyDescent="0.4"/>
    <row r="9163" s="5" customFormat="1" x14ac:dyDescent="0.4"/>
    <row r="9164" s="5" customFormat="1" x14ac:dyDescent="0.4"/>
    <row r="9165" s="5" customFormat="1" x14ac:dyDescent="0.4"/>
    <row r="9166" s="5" customFormat="1" x14ac:dyDescent="0.4"/>
    <row r="9167" s="5" customFormat="1" x14ac:dyDescent="0.4"/>
    <row r="9168" s="5" customFormat="1" x14ac:dyDescent="0.4"/>
    <row r="9169" s="5" customFormat="1" x14ac:dyDescent="0.4"/>
    <row r="9170" s="5" customFormat="1" x14ac:dyDescent="0.4"/>
    <row r="9171" s="5" customFormat="1" x14ac:dyDescent="0.4"/>
    <row r="9172" s="5" customFormat="1" x14ac:dyDescent="0.4"/>
    <row r="9173" s="5" customFormat="1" x14ac:dyDescent="0.4"/>
    <row r="9174" s="5" customFormat="1" x14ac:dyDescent="0.4"/>
    <row r="9175" s="5" customFormat="1" x14ac:dyDescent="0.4"/>
    <row r="9176" s="5" customFormat="1" x14ac:dyDescent="0.4"/>
    <row r="9177" s="5" customFormat="1" x14ac:dyDescent="0.4"/>
    <row r="9178" s="5" customFormat="1" x14ac:dyDescent="0.4"/>
    <row r="9179" s="5" customFormat="1" x14ac:dyDescent="0.4"/>
    <row r="9180" s="5" customFormat="1" x14ac:dyDescent="0.4"/>
    <row r="9181" s="5" customFormat="1" x14ac:dyDescent="0.4"/>
    <row r="9182" s="5" customFormat="1" x14ac:dyDescent="0.4"/>
    <row r="9183" s="5" customFormat="1" x14ac:dyDescent="0.4"/>
    <row r="9184" s="5" customFormat="1" x14ac:dyDescent="0.4"/>
    <row r="9185" s="5" customFormat="1" x14ac:dyDescent="0.4"/>
    <row r="9186" s="5" customFormat="1" x14ac:dyDescent="0.4"/>
    <row r="9187" s="5" customFormat="1" x14ac:dyDescent="0.4"/>
    <row r="9188" s="5" customFormat="1" x14ac:dyDescent="0.4"/>
    <row r="9189" s="5" customFormat="1" x14ac:dyDescent="0.4"/>
    <row r="9190" s="5" customFormat="1" x14ac:dyDescent="0.4"/>
    <row r="9191" s="5" customFormat="1" x14ac:dyDescent="0.4"/>
    <row r="9192" s="5" customFormat="1" x14ac:dyDescent="0.4"/>
    <row r="9193" s="5" customFormat="1" x14ac:dyDescent="0.4"/>
    <row r="9194" s="5" customFormat="1" x14ac:dyDescent="0.4"/>
    <row r="9195" s="5" customFormat="1" x14ac:dyDescent="0.4"/>
    <row r="9196" s="5" customFormat="1" x14ac:dyDescent="0.4"/>
    <row r="9197" s="5" customFormat="1" x14ac:dyDescent="0.4"/>
    <row r="9198" s="5" customFormat="1" x14ac:dyDescent="0.4"/>
    <row r="9199" s="5" customFormat="1" x14ac:dyDescent="0.4"/>
    <row r="9200" s="5" customFormat="1" x14ac:dyDescent="0.4"/>
    <row r="9201" s="5" customFormat="1" x14ac:dyDescent="0.4"/>
    <row r="9202" s="5" customFormat="1" x14ac:dyDescent="0.4"/>
    <row r="9203" s="5" customFormat="1" x14ac:dyDescent="0.4"/>
    <row r="9204" s="5" customFormat="1" x14ac:dyDescent="0.4"/>
    <row r="9205" s="5" customFormat="1" x14ac:dyDescent="0.4"/>
    <row r="9206" s="5" customFormat="1" x14ac:dyDescent="0.4"/>
    <row r="9207" s="5" customFormat="1" x14ac:dyDescent="0.4"/>
    <row r="9208" s="5" customFormat="1" x14ac:dyDescent="0.4"/>
    <row r="9209" s="5" customFormat="1" x14ac:dyDescent="0.4"/>
    <row r="9210" s="5" customFormat="1" x14ac:dyDescent="0.4"/>
    <row r="9211" s="5" customFormat="1" x14ac:dyDescent="0.4"/>
    <row r="9212" s="5" customFormat="1" x14ac:dyDescent="0.4"/>
    <row r="9213" s="5" customFormat="1" x14ac:dyDescent="0.4"/>
    <row r="9214" s="5" customFormat="1" x14ac:dyDescent="0.4"/>
    <row r="9215" s="5" customFormat="1" x14ac:dyDescent="0.4"/>
    <row r="9216" s="5" customFormat="1" x14ac:dyDescent="0.4"/>
    <row r="9217" s="5" customFormat="1" x14ac:dyDescent="0.4"/>
    <row r="9218" s="5" customFormat="1" x14ac:dyDescent="0.4"/>
    <row r="9219" s="5" customFormat="1" x14ac:dyDescent="0.4"/>
    <row r="9220" s="5" customFormat="1" x14ac:dyDescent="0.4"/>
    <row r="9221" s="5" customFormat="1" x14ac:dyDescent="0.4"/>
    <row r="9222" s="5" customFormat="1" x14ac:dyDescent="0.4"/>
    <row r="9223" s="5" customFormat="1" x14ac:dyDescent="0.4"/>
    <row r="9224" s="5" customFormat="1" x14ac:dyDescent="0.4"/>
    <row r="9225" s="5" customFormat="1" x14ac:dyDescent="0.4"/>
    <row r="9226" s="5" customFormat="1" x14ac:dyDescent="0.4"/>
    <row r="9227" s="5" customFormat="1" x14ac:dyDescent="0.4"/>
    <row r="9228" s="5" customFormat="1" x14ac:dyDescent="0.4"/>
    <row r="9229" s="5" customFormat="1" x14ac:dyDescent="0.4"/>
    <row r="9230" s="5" customFormat="1" x14ac:dyDescent="0.4"/>
    <row r="9231" s="5" customFormat="1" x14ac:dyDescent="0.4"/>
    <row r="9232" s="5" customFormat="1" x14ac:dyDescent="0.4"/>
    <row r="9233" s="5" customFormat="1" x14ac:dyDescent="0.4"/>
    <row r="9234" s="5" customFormat="1" x14ac:dyDescent="0.4"/>
    <row r="9235" s="5" customFormat="1" x14ac:dyDescent="0.4"/>
    <row r="9236" s="5" customFormat="1" x14ac:dyDescent="0.4"/>
    <row r="9237" s="5" customFormat="1" x14ac:dyDescent="0.4"/>
    <row r="9238" s="5" customFormat="1" x14ac:dyDescent="0.4"/>
    <row r="9239" s="5" customFormat="1" x14ac:dyDescent="0.4"/>
    <row r="9240" s="5" customFormat="1" x14ac:dyDescent="0.4"/>
    <row r="9241" s="5" customFormat="1" x14ac:dyDescent="0.4"/>
    <row r="9242" s="5" customFormat="1" x14ac:dyDescent="0.4"/>
    <row r="9243" s="5" customFormat="1" x14ac:dyDescent="0.4"/>
    <row r="9244" s="5" customFormat="1" x14ac:dyDescent="0.4"/>
    <row r="9245" s="5" customFormat="1" x14ac:dyDescent="0.4"/>
    <row r="9246" s="5" customFormat="1" x14ac:dyDescent="0.4"/>
    <row r="9247" s="5" customFormat="1" x14ac:dyDescent="0.4"/>
    <row r="9248" s="5" customFormat="1" x14ac:dyDescent="0.4"/>
    <row r="9249" s="5" customFormat="1" x14ac:dyDescent="0.4"/>
    <row r="9250" s="5" customFormat="1" x14ac:dyDescent="0.4"/>
    <row r="9251" s="5" customFormat="1" x14ac:dyDescent="0.4"/>
    <row r="9252" s="5" customFormat="1" x14ac:dyDescent="0.4"/>
    <row r="9253" s="5" customFormat="1" x14ac:dyDescent="0.4"/>
    <row r="9254" s="5" customFormat="1" x14ac:dyDescent="0.4"/>
    <row r="9255" s="5" customFormat="1" x14ac:dyDescent="0.4"/>
    <row r="9256" s="5" customFormat="1" x14ac:dyDescent="0.4"/>
    <row r="9257" s="5" customFormat="1" x14ac:dyDescent="0.4"/>
    <row r="9258" s="5" customFormat="1" x14ac:dyDescent="0.4"/>
    <row r="9259" s="5" customFormat="1" x14ac:dyDescent="0.4"/>
    <row r="9260" s="5" customFormat="1" x14ac:dyDescent="0.4"/>
    <row r="9261" s="5" customFormat="1" x14ac:dyDescent="0.4"/>
    <row r="9262" s="5" customFormat="1" x14ac:dyDescent="0.4"/>
    <row r="9263" s="5" customFormat="1" x14ac:dyDescent="0.4"/>
    <row r="9264" s="5" customFormat="1" x14ac:dyDescent="0.4"/>
    <row r="9265" s="5" customFormat="1" x14ac:dyDescent="0.4"/>
    <row r="9266" s="5" customFormat="1" x14ac:dyDescent="0.4"/>
    <row r="9267" s="5" customFormat="1" x14ac:dyDescent="0.4"/>
    <row r="9268" s="5" customFormat="1" x14ac:dyDescent="0.4"/>
    <row r="9269" s="5" customFormat="1" x14ac:dyDescent="0.4"/>
    <row r="9270" s="5" customFormat="1" x14ac:dyDescent="0.4"/>
    <row r="9271" s="5" customFormat="1" x14ac:dyDescent="0.4"/>
    <row r="9272" s="5" customFormat="1" x14ac:dyDescent="0.4"/>
    <row r="9273" s="5" customFormat="1" x14ac:dyDescent="0.4"/>
    <row r="9274" s="5" customFormat="1" x14ac:dyDescent="0.4"/>
    <row r="9275" s="5" customFormat="1" x14ac:dyDescent="0.4"/>
    <row r="9276" s="5" customFormat="1" x14ac:dyDescent="0.4"/>
    <row r="9277" s="5" customFormat="1" x14ac:dyDescent="0.4"/>
    <row r="9278" s="5" customFormat="1" x14ac:dyDescent="0.4"/>
    <row r="9279" s="5" customFormat="1" x14ac:dyDescent="0.4"/>
    <row r="9280" s="5" customFormat="1" x14ac:dyDescent="0.4"/>
    <row r="9281" s="5" customFormat="1" x14ac:dyDescent="0.4"/>
    <row r="9282" s="5" customFormat="1" x14ac:dyDescent="0.4"/>
    <row r="9283" s="5" customFormat="1" x14ac:dyDescent="0.4"/>
    <row r="9284" s="5" customFormat="1" x14ac:dyDescent="0.4"/>
    <row r="9285" s="5" customFormat="1" x14ac:dyDescent="0.4"/>
    <row r="9286" s="5" customFormat="1" x14ac:dyDescent="0.4"/>
    <row r="9287" s="5" customFormat="1" x14ac:dyDescent="0.4"/>
    <row r="9288" s="5" customFormat="1" x14ac:dyDescent="0.4"/>
    <row r="9289" s="5" customFormat="1" x14ac:dyDescent="0.4"/>
    <row r="9290" s="5" customFormat="1" x14ac:dyDescent="0.4"/>
    <row r="9291" s="5" customFormat="1" x14ac:dyDescent="0.4"/>
    <row r="9292" s="5" customFormat="1" x14ac:dyDescent="0.4"/>
    <row r="9293" s="5" customFormat="1" x14ac:dyDescent="0.4"/>
    <row r="9294" s="5" customFormat="1" x14ac:dyDescent="0.4"/>
    <row r="9295" s="5" customFormat="1" x14ac:dyDescent="0.4"/>
    <row r="9296" s="5" customFormat="1" x14ac:dyDescent="0.4"/>
    <row r="9297" s="5" customFormat="1" x14ac:dyDescent="0.4"/>
    <row r="9298" s="5" customFormat="1" x14ac:dyDescent="0.4"/>
    <row r="9299" s="5" customFormat="1" x14ac:dyDescent="0.4"/>
    <row r="9300" s="5" customFormat="1" x14ac:dyDescent="0.4"/>
    <row r="9301" s="5" customFormat="1" x14ac:dyDescent="0.4"/>
    <row r="9302" s="5" customFormat="1" x14ac:dyDescent="0.4"/>
    <row r="9303" s="5" customFormat="1" x14ac:dyDescent="0.4"/>
    <row r="9304" s="5" customFormat="1" x14ac:dyDescent="0.4"/>
    <row r="9305" s="5" customFormat="1" x14ac:dyDescent="0.4"/>
    <row r="9306" s="5" customFormat="1" x14ac:dyDescent="0.4"/>
    <row r="9307" s="5" customFormat="1" x14ac:dyDescent="0.4"/>
    <row r="9308" s="5" customFormat="1" x14ac:dyDescent="0.4"/>
    <row r="9309" s="5" customFormat="1" x14ac:dyDescent="0.4"/>
    <row r="9310" s="5" customFormat="1" x14ac:dyDescent="0.4"/>
    <row r="9311" s="5" customFormat="1" x14ac:dyDescent="0.4"/>
    <row r="9312" s="5" customFormat="1" x14ac:dyDescent="0.4"/>
    <row r="9313" s="5" customFormat="1" x14ac:dyDescent="0.4"/>
    <row r="9314" s="5" customFormat="1" x14ac:dyDescent="0.4"/>
    <row r="9315" s="5" customFormat="1" x14ac:dyDescent="0.4"/>
    <row r="9316" s="5" customFormat="1" x14ac:dyDescent="0.4"/>
    <row r="9317" s="5" customFormat="1" x14ac:dyDescent="0.4"/>
    <row r="9318" s="5" customFormat="1" x14ac:dyDescent="0.4"/>
    <row r="9319" s="5" customFormat="1" x14ac:dyDescent="0.4"/>
    <row r="9320" s="5" customFormat="1" x14ac:dyDescent="0.4"/>
    <row r="9321" s="5" customFormat="1" x14ac:dyDescent="0.4"/>
    <row r="9322" s="5" customFormat="1" x14ac:dyDescent="0.4"/>
    <row r="9323" s="5" customFormat="1" x14ac:dyDescent="0.4"/>
    <row r="9324" s="5" customFormat="1" x14ac:dyDescent="0.4"/>
    <row r="9325" s="5" customFormat="1" x14ac:dyDescent="0.4"/>
    <row r="9326" s="5" customFormat="1" x14ac:dyDescent="0.4"/>
    <row r="9327" s="5" customFormat="1" x14ac:dyDescent="0.4"/>
    <row r="9328" s="5" customFormat="1" x14ac:dyDescent="0.4"/>
    <row r="9329" s="5" customFormat="1" x14ac:dyDescent="0.4"/>
    <row r="9330" s="5" customFormat="1" x14ac:dyDescent="0.4"/>
    <row r="9331" s="5" customFormat="1" x14ac:dyDescent="0.4"/>
    <row r="9332" s="5" customFormat="1" x14ac:dyDescent="0.4"/>
    <row r="9333" s="5" customFormat="1" x14ac:dyDescent="0.4"/>
    <row r="9334" s="5" customFormat="1" x14ac:dyDescent="0.4"/>
    <row r="9335" s="5" customFormat="1" x14ac:dyDescent="0.4"/>
    <row r="9336" s="5" customFormat="1" x14ac:dyDescent="0.4"/>
    <row r="9337" s="5" customFormat="1" x14ac:dyDescent="0.4"/>
    <row r="9338" s="5" customFormat="1" x14ac:dyDescent="0.4"/>
    <row r="9339" s="5" customFormat="1" x14ac:dyDescent="0.4"/>
    <row r="9340" s="5" customFormat="1" x14ac:dyDescent="0.4"/>
    <row r="9341" s="5" customFormat="1" x14ac:dyDescent="0.4"/>
    <row r="9342" s="5" customFormat="1" x14ac:dyDescent="0.4"/>
    <row r="9343" s="5" customFormat="1" x14ac:dyDescent="0.4"/>
    <row r="9344" s="5" customFormat="1" x14ac:dyDescent="0.4"/>
    <row r="9345" s="5" customFormat="1" x14ac:dyDescent="0.4"/>
    <row r="9346" s="5" customFormat="1" x14ac:dyDescent="0.4"/>
    <row r="9347" s="5" customFormat="1" x14ac:dyDescent="0.4"/>
    <row r="9348" s="5" customFormat="1" x14ac:dyDescent="0.4"/>
    <row r="9349" s="5" customFormat="1" x14ac:dyDescent="0.4"/>
    <row r="9350" s="5" customFormat="1" x14ac:dyDescent="0.4"/>
    <row r="9351" s="5" customFormat="1" x14ac:dyDescent="0.4"/>
    <row r="9352" s="5" customFormat="1" x14ac:dyDescent="0.4"/>
    <row r="9353" s="5" customFormat="1" x14ac:dyDescent="0.4"/>
    <row r="9354" s="5" customFormat="1" x14ac:dyDescent="0.4"/>
    <row r="9355" s="5" customFormat="1" x14ac:dyDescent="0.4"/>
    <row r="9356" s="5" customFormat="1" x14ac:dyDescent="0.4"/>
    <row r="9357" s="5" customFormat="1" x14ac:dyDescent="0.4"/>
    <row r="9358" s="5" customFormat="1" x14ac:dyDescent="0.4"/>
    <row r="9359" s="5" customFormat="1" x14ac:dyDescent="0.4"/>
    <row r="9360" s="5" customFormat="1" x14ac:dyDescent="0.4"/>
    <row r="9361" s="5" customFormat="1" x14ac:dyDescent="0.4"/>
    <row r="9362" s="5" customFormat="1" x14ac:dyDescent="0.4"/>
    <row r="9363" s="5" customFormat="1" x14ac:dyDescent="0.4"/>
    <row r="9364" s="5" customFormat="1" x14ac:dyDescent="0.4"/>
    <row r="9365" s="5" customFormat="1" x14ac:dyDescent="0.4"/>
    <row r="9366" s="5" customFormat="1" x14ac:dyDescent="0.4"/>
    <row r="9367" s="5" customFormat="1" x14ac:dyDescent="0.4"/>
    <row r="9368" s="5" customFormat="1" x14ac:dyDescent="0.4"/>
    <row r="9369" s="5" customFormat="1" x14ac:dyDescent="0.4"/>
    <row r="9370" s="5" customFormat="1" x14ac:dyDescent="0.4"/>
    <row r="9371" s="5" customFormat="1" x14ac:dyDescent="0.4"/>
    <row r="9372" s="5" customFormat="1" x14ac:dyDescent="0.4"/>
    <row r="9373" s="5" customFormat="1" x14ac:dyDescent="0.4"/>
    <row r="9374" s="5" customFormat="1" x14ac:dyDescent="0.4"/>
    <row r="9375" s="5" customFormat="1" x14ac:dyDescent="0.4"/>
    <row r="9376" s="5" customFormat="1" x14ac:dyDescent="0.4"/>
    <row r="9377" s="5" customFormat="1" x14ac:dyDescent="0.4"/>
    <row r="9378" s="5" customFormat="1" x14ac:dyDescent="0.4"/>
    <row r="9379" s="5" customFormat="1" x14ac:dyDescent="0.4"/>
    <row r="9380" s="5" customFormat="1" x14ac:dyDescent="0.4"/>
    <row r="9381" s="5" customFormat="1" x14ac:dyDescent="0.4"/>
    <row r="9382" s="5" customFormat="1" x14ac:dyDescent="0.4"/>
    <row r="9383" s="5" customFormat="1" x14ac:dyDescent="0.4"/>
    <row r="9384" s="5" customFormat="1" x14ac:dyDescent="0.4"/>
    <row r="9385" s="5" customFormat="1" x14ac:dyDescent="0.4"/>
    <row r="9386" s="5" customFormat="1" x14ac:dyDescent="0.4"/>
    <row r="9387" s="5" customFormat="1" x14ac:dyDescent="0.4"/>
    <row r="9388" s="5" customFormat="1" x14ac:dyDescent="0.4"/>
    <row r="9389" s="5" customFormat="1" x14ac:dyDescent="0.4"/>
    <row r="9390" s="5" customFormat="1" x14ac:dyDescent="0.4"/>
    <row r="9391" s="5" customFormat="1" x14ac:dyDescent="0.4"/>
    <row r="9392" s="5" customFormat="1" x14ac:dyDescent="0.4"/>
    <row r="9393" s="5" customFormat="1" x14ac:dyDescent="0.4"/>
    <row r="9394" s="5" customFormat="1" x14ac:dyDescent="0.4"/>
    <row r="9395" s="5" customFormat="1" x14ac:dyDescent="0.4"/>
    <row r="9396" s="5" customFormat="1" x14ac:dyDescent="0.4"/>
    <row r="9397" s="5" customFormat="1" x14ac:dyDescent="0.4"/>
    <row r="9398" s="5" customFormat="1" x14ac:dyDescent="0.4"/>
    <row r="9399" s="5" customFormat="1" x14ac:dyDescent="0.4"/>
    <row r="9400" s="5" customFormat="1" x14ac:dyDescent="0.4"/>
    <row r="9401" s="5" customFormat="1" x14ac:dyDescent="0.4"/>
    <row r="9402" s="5" customFormat="1" x14ac:dyDescent="0.4"/>
    <row r="9403" s="5" customFormat="1" x14ac:dyDescent="0.4"/>
    <row r="9404" s="5" customFormat="1" x14ac:dyDescent="0.4"/>
    <row r="9405" s="5" customFormat="1" x14ac:dyDescent="0.4"/>
    <row r="9406" s="5" customFormat="1" x14ac:dyDescent="0.4"/>
    <row r="9407" s="5" customFormat="1" x14ac:dyDescent="0.4"/>
    <row r="9408" s="5" customFormat="1" x14ac:dyDescent="0.4"/>
    <row r="9409" s="5" customFormat="1" x14ac:dyDescent="0.4"/>
    <row r="9410" s="5" customFormat="1" x14ac:dyDescent="0.4"/>
    <row r="9411" s="5" customFormat="1" x14ac:dyDescent="0.4"/>
    <row r="9412" s="5" customFormat="1" x14ac:dyDescent="0.4"/>
    <row r="9413" s="5" customFormat="1" x14ac:dyDescent="0.4"/>
    <row r="9414" s="5" customFormat="1" x14ac:dyDescent="0.4"/>
    <row r="9415" s="5" customFormat="1" x14ac:dyDescent="0.4"/>
    <row r="9416" s="5" customFormat="1" x14ac:dyDescent="0.4"/>
    <row r="9417" s="5" customFormat="1" x14ac:dyDescent="0.4"/>
    <row r="9418" s="5" customFormat="1" x14ac:dyDescent="0.4"/>
    <row r="9419" s="5" customFormat="1" x14ac:dyDescent="0.4"/>
    <row r="9420" s="5" customFormat="1" x14ac:dyDescent="0.4"/>
    <row r="9421" s="5" customFormat="1" x14ac:dyDescent="0.4"/>
    <row r="9422" s="5" customFormat="1" x14ac:dyDescent="0.4"/>
    <row r="9423" s="5" customFormat="1" x14ac:dyDescent="0.4"/>
    <row r="9424" s="5" customFormat="1" x14ac:dyDescent="0.4"/>
    <row r="9425" s="5" customFormat="1" x14ac:dyDescent="0.4"/>
    <row r="9426" s="5" customFormat="1" x14ac:dyDescent="0.4"/>
    <row r="9427" s="5" customFormat="1" x14ac:dyDescent="0.4"/>
    <row r="9428" s="5" customFormat="1" x14ac:dyDescent="0.4"/>
    <row r="9429" s="5" customFormat="1" x14ac:dyDescent="0.4"/>
    <row r="9430" s="5" customFormat="1" x14ac:dyDescent="0.4"/>
    <row r="9431" s="5" customFormat="1" x14ac:dyDescent="0.4"/>
    <row r="9432" s="5" customFormat="1" x14ac:dyDescent="0.4"/>
    <row r="9433" s="5" customFormat="1" x14ac:dyDescent="0.4"/>
    <row r="9434" s="5" customFormat="1" x14ac:dyDescent="0.4"/>
    <row r="9435" s="5" customFormat="1" x14ac:dyDescent="0.4"/>
    <row r="9436" s="5" customFormat="1" x14ac:dyDescent="0.4"/>
    <row r="9437" s="5" customFormat="1" x14ac:dyDescent="0.4"/>
    <row r="9438" s="5" customFormat="1" x14ac:dyDescent="0.4"/>
    <row r="9439" s="5" customFormat="1" x14ac:dyDescent="0.4"/>
    <row r="9440" s="5" customFormat="1" x14ac:dyDescent="0.4"/>
    <row r="9441" s="5" customFormat="1" x14ac:dyDescent="0.4"/>
    <row r="9442" s="5" customFormat="1" x14ac:dyDescent="0.4"/>
    <row r="9443" s="5" customFormat="1" x14ac:dyDescent="0.4"/>
    <row r="9444" s="5" customFormat="1" x14ac:dyDescent="0.4"/>
    <row r="9445" s="5" customFormat="1" x14ac:dyDescent="0.4"/>
    <row r="9446" s="5" customFormat="1" x14ac:dyDescent="0.4"/>
    <row r="9447" s="5" customFormat="1" x14ac:dyDescent="0.4"/>
    <row r="9448" s="5" customFormat="1" x14ac:dyDescent="0.4"/>
    <row r="9449" s="5" customFormat="1" x14ac:dyDescent="0.4"/>
    <row r="9450" s="5" customFormat="1" x14ac:dyDescent="0.4"/>
    <row r="9451" s="5" customFormat="1" x14ac:dyDescent="0.4"/>
    <row r="9452" s="5" customFormat="1" x14ac:dyDescent="0.4"/>
    <row r="9453" s="5" customFormat="1" x14ac:dyDescent="0.4"/>
    <row r="9454" s="5" customFormat="1" x14ac:dyDescent="0.4"/>
    <row r="9455" s="5" customFormat="1" x14ac:dyDescent="0.4"/>
    <row r="9456" s="5" customFormat="1" x14ac:dyDescent="0.4"/>
    <row r="9457" s="5" customFormat="1" x14ac:dyDescent="0.4"/>
    <row r="9458" s="5" customFormat="1" x14ac:dyDescent="0.4"/>
    <row r="9459" s="5" customFormat="1" x14ac:dyDescent="0.4"/>
    <row r="9460" s="5" customFormat="1" x14ac:dyDescent="0.4"/>
    <row r="9461" s="5" customFormat="1" x14ac:dyDescent="0.4"/>
    <row r="9462" s="5" customFormat="1" x14ac:dyDescent="0.4"/>
    <row r="9463" s="5" customFormat="1" x14ac:dyDescent="0.4"/>
    <row r="9464" s="5" customFormat="1" x14ac:dyDescent="0.4"/>
    <row r="9465" s="5" customFormat="1" x14ac:dyDescent="0.4"/>
    <row r="9466" s="5" customFormat="1" x14ac:dyDescent="0.4"/>
    <row r="9467" s="5" customFormat="1" x14ac:dyDescent="0.4"/>
    <row r="9468" s="5" customFormat="1" x14ac:dyDescent="0.4"/>
    <row r="9469" s="5" customFormat="1" x14ac:dyDescent="0.4"/>
    <row r="9470" s="5" customFormat="1" x14ac:dyDescent="0.4"/>
    <row r="9471" s="5" customFormat="1" x14ac:dyDescent="0.4"/>
    <row r="9472" s="5" customFormat="1" x14ac:dyDescent="0.4"/>
    <row r="9473" s="5" customFormat="1" x14ac:dyDescent="0.4"/>
    <row r="9474" s="5" customFormat="1" x14ac:dyDescent="0.4"/>
    <row r="9475" s="5" customFormat="1" x14ac:dyDescent="0.4"/>
    <row r="9476" s="5" customFormat="1" x14ac:dyDescent="0.4"/>
    <row r="9477" s="5" customFormat="1" x14ac:dyDescent="0.4"/>
    <row r="9478" s="5" customFormat="1" x14ac:dyDescent="0.4"/>
    <row r="9479" s="5" customFormat="1" x14ac:dyDescent="0.4"/>
    <row r="9480" s="5" customFormat="1" x14ac:dyDescent="0.4"/>
    <row r="9481" s="5" customFormat="1" x14ac:dyDescent="0.4"/>
    <row r="9482" s="5" customFormat="1" x14ac:dyDescent="0.4"/>
    <row r="9483" s="5" customFormat="1" x14ac:dyDescent="0.4"/>
    <row r="9484" s="5" customFormat="1" x14ac:dyDescent="0.4"/>
    <row r="9485" s="5" customFormat="1" x14ac:dyDescent="0.4"/>
    <row r="9486" s="5" customFormat="1" x14ac:dyDescent="0.4"/>
    <row r="9487" s="5" customFormat="1" x14ac:dyDescent="0.4"/>
    <row r="9488" s="5" customFormat="1" x14ac:dyDescent="0.4"/>
    <row r="9489" s="5" customFormat="1" x14ac:dyDescent="0.4"/>
    <row r="9490" s="5" customFormat="1" x14ac:dyDescent="0.4"/>
    <row r="9491" s="5" customFormat="1" x14ac:dyDescent="0.4"/>
    <row r="9492" s="5" customFormat="1" x14ac:dyDescent="0.4"/>
    <row r="9493" s="5" customFormat="1" x14ac:dyDescent="0.4"/>
    <row r="9494" s="5" customFormat="1" x14ac:dyDescent="0.4"/>
    <row r="9495" s="5" customFormat="1" x14ac:dyDescent="0.4"/>
    <row r="9496" s="5" customFormat="1" x14ac:dyDescent="0.4"/>
    <row r="9497" s="5" customFormat="1" x14ac:dyDescent="0.4"/>
    <row r="9498" s="5" customFormat="1" x14ac:dyDescent="0.4"/>
    <row r="9499" s="5" customFormat="1" x14ac:dyDescent="0.4"/>
    <row r="9500" s="5" customFormat="1" x14ac:dyDescent="0.4"/>
    <row r="9501" s="5" customFormat="1" x14ac:dyDescent="0.4"/>
    <row r="9502" s="5" customFormat="1" x14ac:dyDescent="0.4"/>
    <row r="9503" s="5" customFormat="1" x14ac:dyDescent="0.4"/>
    <row r="9504" s="5" customFormat="1" x14ac:dyDescent="0.4"/>
    <row r="9505" s="5" customFormat="1" x14ac:dyDescent="0.4"/>
    <row r="9506" s="5" customFormat="1" x14ac:dyDescent="0.4"/>
    <row r="9507" s="5" customFormat="1" x14ac:dyDescent="0.4"/>
    <row r="9508" s="5" customFormat="1" x14ac:dyDescent="0.4"/>
    <row r="9509" s="5" customFormat="1" x14ac:dyDescent="0.4"/>
    <row r="9510" s="5" customFormat="1" x14ac:dyDescent="0.4"/>
    <row r="9511" s="5" customFormat="1" x14ac:dyDescent="0.4"/>
    <row r="9512" s="5" customFormat="1" x14ac:dyDescent="0.4"/>
    <row r="9513" s="5" customFormat="1" x14ac:dyDescent="0.4"/>
    <row r="9514" s="5" customFormat="1" x14ac:dyDescent="0.4"/>
    <row r="9515" s="5" customFormat="1" x14ac:dyDescent="0.4"/>
    <row r="9516" s="5" customFormat="1" x14ac:dyDescent="0.4"/>
    <row r="9517" s="5" customFormat="1" x14ac:dyDescent="0.4"/>
    <row r="9518" s="5" customFormat="1" x14ac:dyDescent="0.4"/>
    <row r="9519" s="5" customFormat="1" x14ac:dyDescent="0.4"/>
    <row r="9520" s="5" customFormat="1" x14ac:dyDescent="0.4"/>
    <row r="9521" s="5" customFormat="1" x14ac:dyDescent="0.4"/>
    <row r="9522" s="5" customFormat="1" x14ac:dyDescent="0.4"/>
    <row r="9523" s="5" customFormat="1" x14ac:dyDescent="0.4"/>
    <row r="9524" s="5" customFormat="1" x14ac:dyDescent="0.4"/>
    <row r="9525" s="5" customFormat="1" x14ac:dyDescent="0.4"/>
    <row r="9526" s="5" customFormat="1" x14ac:dyDescent="0.4"/>
    <row r="9527" s="5" customFormat="1" x14ac:dyDescent="0.4"/>
    <row r="9528" s="5" customFormat="1" x14ac:dyDescent="0.4"/>
    <row r="9529" s="5" customFormat="1" x14ac:dyDescent="0.4"/>
    <row r="9530" s="5" customFormat="1" x14ac:dyDescent="0.4"/>
    <row r="9531" s="5" customFormat="1" x14ac:dyDescent="0.4"/>
    <row r="9532" s="5" customFormat="1" x14ac:dyDescent="0.4"/>
    <row r="9533" s="5" customFormat="1" x14ac:dyDescent="0.4"/>
    <row r="9534" s="5" customFormat="1" x14ac:dyDescent="0.4"/>
    <row r="9535" s="5" customFormat="1" x14ac:dyDescent="0.4"/>
    <row r="9536" s="5" customFormat="1" x14ac:dyDescent="0.4"/>
    <row r="9537" s="5" customFormat="1" x14ac:dyDescent="0.4"/>
    <row r="9538" s="5" customFormat="1" x14ac:dyDescent="0.4"/>
    <row r="9539" s="5" customFormat="1" x14ac:dyDescent="0.4"/>
    <row r="9540" s="5" customFormat="1" x14ac:dyDescent="0.4"/>
    <row r="9541" s="5" customFormat="1" x14ac:dyDescent="0.4"/>
    <row r="9542" s="5" customFormat="1" x14ac:dyDescent="0.4"/>
    <row r="9543" s="5" customFormat="1" x14ac:dyDescent="0.4"/>
    <row r="9544" s="5" customFormat="1" x14ac:dyDescent="0.4"/>
    <row r="9545" s="5" customFormat="1" x14ac:dyDescent="0.4"/>
    <row r="9546" s="5" customFormat="1" x14ac:dyDescent="0.4"/>
    <row r="9547" s="5" customFormat="1" x14ac:dyDescent="0.4"/>
    <row r="9548" s="5" customFormat="1" x14ac:dyDescent="0.4"/>
    <row r="9549" s="5" customFormat="1" x14ac:dyDescent="0.4"/>
    <row r="9550" s="5" customFormat="1" x14ac:dyDescent="0.4"/>
    <row r="9551" s="5" customFormat="1" x14ac:dyDescent="0.4"/>
    <row r="9552" s="5" customFormat="1" x14ac:dyDescent="0.4"/>
    <row r="9553" s="5" customFormat="1" x14ac:dyDescent="0.4"/>
    <row r="9554" s="5" customFormat="1" x14ac:dyDescent="0.4"/>
    <row r="9555" s="5" customFormat="1" x14ac:dyDescent="0.4"/>
    <row r="9556" s="5" customFormat="1" x14ac:dyDescent="0.4"/>
    <row r="9557" s="5" customFormat="1" x14ac:dyDescent="0.4"/>
    <row r="9558" s="5" customFormat="1" x14ac:dyDescent="0.4"/>
    <row r="9559" s="5" customFormat="1" x14ac:dyDescent="0.4"/>
    <row r="9560" s="5" customFormat="1" x14ac:dyDescent="0.4"/>
    <row r="9561" s="5" customFormat="1" x14ac:dyDescent="0.4"/>
    <row r="9562" s="5" customFormat="1" x14ac:dyDescent="0.4"/>
    <row r="9563" s="5" customFormat="1" x14ac:dyDescent="0.4"/>
    <row r="9564" s="5" customFormat="1" x14ac:dyDescent="0.4"/>
    <row r="9565" s="5" customFormat="1" x14ac:dyDescent="0.4"/>
    <row r="9566" s="5" customFormat="1" x14ac:dyDescent="0.4"/>
    <row r="9567" s="5" customFormat="1" x14ac:dyDescent="0.4"/>
    <row r="9568" s="5" customFormat="1" x14ac:dyDescent="0.4"/>
    <row r="9569" s="5" customFormat="1" x14ac:dyDescent="0.4"/>
    <row r="9570" s="5" customFormat="1" x14ac:dyDescent="0.4"/>
    <row r="9571" s="5" customFormat="1" x14ac:dyDescent="0.4"/>
    <row r="9572" s="5" customFormat="1" x14ac:dyDescent="0.4"/>
    <row r="9573" s="5" customFormat="1" x14ac:dyDescent="0.4"/>
    <row r="9574" s="5" customFormat="1" x14ac:dyDescent="0.4"/>
    <row r="9575" s="5" customFormat="1" x14ac:dyDescent="0.4"/>
    <row r="9576" s="5" customFormat="1" x14ac:dyDescent="0.4"/>
    <row r="9577" s="5" customFormat="1" x14ac:dyDescent="0.4"/>
    <row r="9578" s="5" customFormat="1" x14ac:dyDescent="0.4"/>
    <row r="9579" s="5" customFormat="1" x14ac:dyDescent="0.4"/>
    <row r="9580" s="5" customFormat="1" x14ac:dyDescent="0.4"/>
    <row r="9581" s="5" customFormat="1" x14ac:dyDescent="0.4"/>
    <row r="9582" s="5" customFormat="1" x14ac:dyDescent="0.4"/>
    <row r="9583" s="5" customFormat="1" x14ac:dyDescent="0.4"/>
    <row r="9584" s="5" customFormat="1" x14ac:dyDescent="0.4"/>
    <row r="9585" s="5" customFormat="1" x14ac:dyDescent="0.4"/>
    <row r="9586" s="5" customFormat="1" x14ac:dyDescent="0.4"/>
    <row r="9587" s="5" customFormat="1" x14ac:dyDescent="0.4"/>
    <row r="9588" s="5" customFormat="1" x14ac:dyDescent="0.4"/>
    <row r="9589" s="5" customFormat="1" x14ac:dyDescent="0.4"/>
    <row r="9590" s="5" customFormat="1" x14ac:dyDescent="0.4"/>
    <row r="9591" s="5" customFormat="1" x14ac:dyDescent="0.4"/>
    <row r="9592" s="5" customFormat="1" x14ac:dyDescent="0.4"/>
    <row r="9593" s="5" customFormat="1" x14ac:dyDescent="0.4"/>
    <row r="9594" s="5" customFormat="1" x14ac:dyDescent="0.4"/>
    <row r="9595" s="5" customFormat="1" x14ac:dyDescent="0.4"/>
    <row r="9596" s="5" customFormat="1" x14ac:dyDescent="0.4"/>
    <row r="9597" s="5" customFormat="1" x14ac:dyDescent="0.4"/>
    <row r="9598" s="5" customFormat="1" x14ac:dyDescent="0.4"/>
    <row r="9599" s="5" customFormat="1" x14ac:dyDescent="0.4"/>
    <row r="9600" s="5" customFormat="1" x14ac:dyDescent="0.4"/>
    <row r="9601" s="5" customFormat="1" x14ac:dyDescent="0.4"/>
    <row r="9602" s="5" customFormat="1" x14ac:dyDescent="0.4"/>
    <row r="9603" s="5" customFormat="1" x14ac:dyDescent="0.4"/>
    <row r="9604" s="5" customFormat="1" x14ac:dyDescent="0.4"/>
    <row r="9605" s="5" customFormat="1" x14ac:dyDescent="0.4"/>
    <row r="9606" s="5" customFormat="1" x14ac:dyDescent="0.4"/>
    <row r="9607" s="5" customFormat="1" x14ac:dyDescent="0.4"/>
    <row r="9608" s="5" customFormat="1" x14ac:dyDescent="0.4"/>
    <row r="9609" s="5" customFormat="1" x14ac:dyDescent="0.4"/>
    <row r="9610" s="5" customFormat="1" x14ac:dyDescent="0.4"/>
    <row r="9611" s="5" customFormat="1" x14ac:dyDescent="0.4"/>
    <row r="9612" s="5" customFormat="1" x14ac:dyDescent="0.4"/>
    <row r="9613" s="5" customFormat="1" x14ac:dyDescent="0.4"/>
    <row r="9614" s="5" customFormat="1" x14ac:dyDescent="0.4"/>
    <row r="9615" s="5" customFormat="1" x14ac:dyDescent="0.4"/>
    <row r="9616" s="5" customFormat="1" x14ac:dyDescent="0.4"/>
    <row r="9617" s="5" customFormat="1" x14ac:dyDescent="0.4"/>
    <row r="9618" s="5" customFormat="1" x14ac:dyDescent="0.4"/>
    <row r="9619" s="5" customFormat="1" x14ac:dyDescent="0.4"/>
    <row r="9620" s="5" customFormat="1" x14ac:dyDescent="0.4"/>
    <row r="9621" s="5" customFormat="1" x14ac:dyDescent="0.4"/>
    <row r="9622" s="5" customFormat="1" x14ac:dyDescent="0.4"/>
    <row r="9623" s="5" customFormat="1" x14ac:dyDescent="0.4"/>
    <row r="9624" s="5" customFormat="1" x14ac:dyDescent="0.4"/>
    <row r="9625" s="5" customFormat="1" x14ac:dyDescent="0.4"/>
    <row r="9626" s="5" customFormat="1" x14ac:dyDescent="0.4"/>
    <row r="9627" s="5" customFormat="1" x14ac:dyDescent="0.4"/>
    <row r="9628" s="5" customFormat="1" x14ac:dyDescent="0.4"/>
    <row r="9629" s="5" customFormat="1" x14ac:dyDescent="0.4"/>
    <row r="9630" s="5" customFormat="1" x14ac:dyDescent="0.4"/>
    <row r="9631" s="5" customFormat="1" x14ac:dyDescent="0.4"/>
    <row r="9632" s="5" customFormat="1" x14ac:dyDescent="0.4"/>
    <row r="9633" s="5" customFormat="1" x14ac:dyDescent="0.4"/>
    <row r="9634" s="5" customFormat="1" x14ac:dyDescent="0.4"/>
    <row r="9635" s="5" customFormat="1" x14ac:dyDescent="0.4"/>
    <row r="9636" s="5" customFormat="1" x14ac:dyDescent="0.4"/>
    <row r="9637" s="5" customFormat="1" x14ac:dyDescent="0.4"/>
    <row r="9638" s="5" customFormat="1" x14ac:dyDescent="0.4"/>
    <row r="9639" s="5" customFormat="1" x14ac:dyDescent="0.4"/>
    <row r="9640" s="5" customFormat="1" x14ac:dyDescent="0.4"/>
    <row r="9641" s="5" customFormat="1" x14ac:dyDescent="0.4"/>
    <row r="9642" s="5" customFormat="1" x14ac:dyDescent="0.4"/>
    <row r="9643" s="5" customFormat="1" x14ac:dyDescent="0.4"/>
    <row r="9644" s="5" customFormat="1" x14ac:dyDescent="0.4"/>
    <row r="9645" s="5" customFormat="1" x14ac:dyDescent="0.4"/>
    <row r="9646" s="5" customFormat="1" x14ac:dyDescent="0.4"/>
    <row r="9647" s="5" customFormat="1" x14ac:dyDescent="0.4"/>
    <row r="9648" s="5" customFormat="1" x14ac:dyDescent="0.4"/>
    <row r="9649" s="5" customFormat="1" x14ac:dyDescent="0.4"/>
    <row r="9650" s="5" customFormat="1" x14ac:dyDescent="0.4"/>
    <row r="9651" s="5" customFormat="1" x14ac:dyDescent="0.4"/>
    <row r="9652" s="5" customFormat="1" x14ac:dyDescent="0.4"/>
    <row r="9653" s="5" customFormat="1" x14ac:dyDescent="0.4"/>
    <row r="9654" s="5" customFormat="1" x14ac:dyDescent="0.4"/>
    <row r="9655" s="5" customFormat="1" x14ac:dyDescent="0.4"/>
    <row r="9656" s="5" customFormat="1" x14ac:dyDescent="0.4"/>
    <row r="9657" s="5" customFormat="1" x14ac:dyDescent="0.4"/>
    <row r="9658" s="5" customFormat="1" x14ac:dyDescent="0.4"/>
    <row r="9659" s="5" customFormat="1" x14ac:dyDescent="0.4"/>
    <row r="9660" s="5" customFormat="1" x14ac:dyDescent="0.4"/>
    <row r="9661" s="5" customFormat="1" x14ac:dyDescent="0.4"/>
    <row r="9662" s="5" customFormat="1" x14ac:dyDescent="0.4"/>
    <row r="9663" s="5" customFormat="1" x14ac:dyDescent="0.4"/>
    <row r="9664" s="5" customFormat="1" x14ac:dyDescent="0.4"/>
    <row r="9665" s="5" customFormat="1" x14ac:dyDescent="0.4"/>
    <row r="9666" s="5" customFormat="1" x14ac:dyDescent="0.4"/>
    <row r="9667" s="5" customFormat="1" x14ac:dyDescent="0.4"/>
    <row r="9668" s="5" customFormat="1" x14ac:dyDescent="0.4"/>
    <row r="9669" s="5" customFormat="1" x14ac:dyDescent="0.4"/>
    <row r="9670" s="5" customFormat="1" x14ac:dyDescent="0.4"/>
    <row r="9671" s="5" customFormat="1" x14ac:dyDescent="0.4"/>
    <row r="9672" s="5" customFormat="1" x14ac:dyDescent="0.4"/>
    <row r="9673" s="5" customFormat="1" x14ac:dyDescent="0.4"/>
    <row r="9674" s="5" customFormat="1" x14ac:dyDescent="0.4"/>
    <row r="9675" s="5" customFormat="1" x14ac:dyDescent="0.4"/>
    <row r="9676" s="5" customFormat="1" x14ac:dyDescent="0.4"/>
    <row r="9677" s="5" customFormat="1" x14ac:dyDescent="0.4"/>
    <row r="9678" s="5" customFormat="1" x14ac:dyDescent="0.4"/>
    <row r="9679" s="5" customFormat="1" x14ac:dyDescent="0.4"/>
    <row r="9680" s="5" customFormat="1" x14ac:dyDescent="0.4"/>
    <row r="9681" s="5" customFormat="1" x14ac:dyDescent="0.4"/>
    <row r="9682" s="5" customFormat="1" x14ac:dyDescent="0.4"/>
    <row r="9683" s="5" customFormat="1" x14ac:dyDescent="0.4"/>
    <row r="9684" s="5" customFormat="1" x14ac:dyDescent="0.4"/>
    <row r="9685" s="5" customFormat="1" x14ac:dyDescent="0.4"/>
    <row r="9686" s="5" customFormat="1" x14ac:dyDescent="0.4"/>
    <row r="9687" s="5" customFormat="1" x14ac:dyDescent="0.4"/>
    <row r="9688" s="5" customFormat="1" x14ac:dyDescent="0.4"/>
    <row r="9689" s="5" customFormat="1" x14ac:dyDescent="0.4"/>
    <row r="9690" s="5" customFormat="1" x14ac:dyDescent="0.4"/>
    <row r="9691" s="5" customFormat="1" x14ac:dyDescent="0.4"/>
    <row r="9692" s="5" customFormat="1" x14ac:dyDescent="0.4"/>
    <row r="9693" s="5" customFormat="1" x14ac:dyDescent="0.4"/>
    <row r="9694" s="5" customFormat="1" x14ac:dyDescent="0.4"/>
    <row r="9695" s="5" customFormat="1" x14ac:dyDescent="0.4"/>
    <row r="9696" s="5" customFormat="1" x14ac:dyDescent="0.4"/>
    <row r="9697" s="5" customFormat="1" x14ac:dyDescent="0.4"/>
    <row r="9698" s="5" customFormat="1" x14ac:dyDescent="0.4"/>
    <row r="9699" s="5" customFormat="1" x14ac:dyDescent="0.4"/>
    <row r="9700" s="5" customFormat="1" x14ac:dyDescent="0.4"/>
    <row r="9701" s="5" customFormat="1" x14ac:dyDescent="0.4"/>
    <row r="9702" s="5" customFormat="1" x14ac:dyDescent="0.4"/>
    <row r="9703" s="5" customFormat="1" x14ac:dyDescent="0.4"/>
    <row r="9704" s="5" customFormat="1" x14ac:dyDescent="0.4"/>
    <row r="9705" s="5" customFormat="1" x14ac:dyDescent="0.4"/>
    <row r="9706" s="5" customFormat="1" x14ac:dyDescent="0.4"/>
    <row r="9707" s="5" customFormat="1" x14ac:dyDescent="0.4"/>
    <row r="9708" s="5" customFormat="1" x14ac:dyDescent="0.4"/>
    <row r="9709" s="5" customFormat="1" x14ac:dyDescent="0.4"/>
    <row r="9710" s="5" customFormat="1" x14ac:dyDescent="0.4"/>
    <row r="9711" s="5" customFormat="1" x14ac:dyDescent="0.4"/>
    <row r="9712" s="5" customFormat="1" x14ac:dyDescent="0.4"/>
    <row r="9713" s="5" customFormat="1" x14ac:dyDescent="0.4"/>
    <row r="9714" s="5" customFormat="1" x14ac:dyDescent="0.4"/>
    <row r="9715" s="5" customFormat="1" x14ac:dyDescent="0.4"/>
    <row r="9716" s="5" customFormat="1" x14ac:dyDescent="0.4"/>
    <row r="9717" s="5" customFormat="1" x14ac:dyDescent="0.4"/>
    <row r="9718" s="5" customFormat="1" x14ac:dyDescent="0.4"/>
    <row r="9719" s="5" customFormat="1" x14ac:dyDescent="0.4"/>
    <row r="9720" s="5" customFormat="1" x14ac:dyDescent="0.4"/>
    <row r="9721" s="5" customFormat="1" x14ac:dyDescent="0.4"/>
    <row r="9722" s="5" customFormat="1" x14ac:dyDescent="0.4"/>
    <row r="9723" s="5" customFormat="1" x14ac:dyDescent="0.4"/>
    <row r="9724" s="5" customFormat="1" x14ac:dyDescent="0.4"/>
    <row r="9725" s="5" customFormat="1" x14ac:dyDescent="0.4"/>
    <row r="9726" s="5" customFormat="1" x14ac:dyDescent="0.4"/>
    <row r="9727" s="5" customFormat="1" x14ac:dyDescent="0.4"/>
    <row r="9728" s="5" customFormat="1" x14ac:dyDescent="0.4"/>
    <row r="9729" s="5" customFormat="1" x14ac:dyDescent="0.4"/>
    <row r="9730" s="5" customFormat="1" x14ac:dyDescent="0.4"/>
    <row r="9731" s="5" customFormat="1" x14ac:dyDescent="0.4"/>
    <row r="9732" s="5" customFormat="1" x14ac:dyDescent="0.4"/>
    <row r="9733" s="5" customFormat="1" x14ac:dyDescent="0.4"/>
    <row r="9734" s="5" customFormat="1" x14ac:dyDescent="0.4"/>
    <row r="9735" s="5" customFormat="1" x14ac:dyDescent="0.4"/>
    <row r="9736" s="5" customFormat="1" x14ac:dyDescent="0.4"/>
    <row r="9737" s="5" customFormat="1" x14ac:dyDescent="0.4"/>
    <row r="9738" s="5" customFormat="1" x14ac:dyDescent="0.4"/>
    <row r="9739" s="5" customFormat="1" x14ac:dyDescent="0.4"/>
    <row r="9740" s="5" customFormat="1" x14ac:dyDescent="0.4"/>
    <row r="9741" s="5" customFormat="1" x14ac:dyDescent="0.4"/>
    <row r="9742" s="5" customFormat="1" x14ac:dyDescent="0.4"/>
    <row r="9743" s="5" customFormat="1" x14ac:dyDescent="0.4"/>
    <row r="9744" s="5" customFormat="1" x14ac:dyDescent="0.4"/>
    <row r="9745" s="5" customFormat="1" x14ac:dyDescent="0.4"/>
    <row r="9746" s="5" customFormat="1" x14ac:dyDescent="0.4"/>
    <row r="9747" s="5" customFormat="1" x14ac:dyDescent="0.4"/>
    <row r="9748" s="5" customFormat="1" x14ac:dyDescent="0.4"/>
    <row r="9749" s="5" customFormat="1" x14ac:dyDescent="0.4"/>
    <row r="9750" s="5" customFormat="1" x14ac:dyDescent="0.4"/>
    <row r="9751" s="5" customFormat="1" x14ac:dyDescent="0.4"/>
    <row r="9752" s="5" customFormat="1" x14ac:dyDescent="0.4"/>
    <row r="9753" s="5" customFormat="1" x14ac:dyDescent="0.4"/>
    <row r="9754" s="5" customFormat="1" x14ac:dyDescent="0.4"/>
    <row r="9755" s="5" customFormat="1" x14ac:dyDescent="0.4"/>
    <row r="9756" s="5" customFormat="1" x14ac:dyDescent="0.4"/>
    <row r="9757" s="5" customFormat="1" x14ac:dyDescent="0.4"/>
    <row r="9758" s="5" customFormat="1" x14ac:dyDescent="0.4"/>
    <row r="9759" s="5" customFormat="1" x14ac:dyDescent="0.4"/>
    <row r="9760" s="5" customFormat="1" x14ac:dyDescent="0.4"/>
    <row r="9761" s="5" customFormat="1" x14ac:dyDescent="0.4"/>
    <row r="9762" s="5" customFormat="1" x14ac:dyDescent="0.4"/>
    <row r="9763" s="5" customFormat="1" x14ac:dyDescent="0.4"/>
    <row r="9764" s="5" customFormat="1" x14ac:dyDescent="0.4"/>
    <row r="9765" s="5" customFormat="1" x14ac:dyDescent="0.4"/>
    <row r="9766" s="5" customFormat="1" x14ac:dyDescent="0.4"/>
    <row r="9767" s="5" customFormat="1" x14ac:dyDescent="0.4"/>
    <row r="9768" s="5" customFormat="1" x14ac:dyDescent="0.4"/>
    <row r="9769" s="5" customFormat="1" x14ac:dyDescent="0.4"/>
    <row r="9770" s="5" customFormat="1" x14ac:dyDescent="0.4"/>
    <row r="9771" s="5" customFormat="1" x14ac:dyDescent="0.4"/>
    <row r="9772" s="5" customFormat="1" x14ac:dyDescent="0.4"/>
    <row r="9773" s="5" customFormat="1" x14ac:dyDescent="0.4"/>
    <row r="9774" s="5" customFormat="1" x14ac:dyDescent="0.4"/>
    <row r="9775" s="5" customFormat="1" x14ac:dyDescent="0.4"/>
    <row r="9776" s="5" customFormat="1" x14ac:dyDescent="0.4"/>
    <row r="9777" s="5" customFormat="1" x14ac:dyDescent="0.4"/>
    <row r="9778" s="5" customFormat="1" x14ac:dyDescent="0.4"/>
    <row r="9779" s="5" customFormat="1" x14ac:dyDescent="0.4"/>
    <row r="9780" s="5" customFormat="1" x14ac:dyDescent="0.4"/>
    <row r="9781" s="5" customFormat="1" x14ac:dyDescent="0.4"/>
    <row r="9782" s="5" customFormat="1" x14ac:dyDescent="0.4"/>
    <row r="9783" s="5" customFormat="1" x14ac:dyDescent="0.4"/>
    <row r="9784" s="5" customFormat="1" x14ac:dyDescent="0.4"/>
    <row r="9785" s="5" customFormat="1" x14ac:dyDescent="0.4"/>
    <row r="9786" s="5" customFormat="1" x14ac:dyDescent="0.4"/>
    <row r="9787" s="5" customFormat="1" x14ac:dyDescent="0.4"/>
    <row r="9788" s="5" customFormat="1" x14ac:dyDescent="0.4"/>
    <row r="9789" s="5" customFormat="1" x14ac:dyDescent="0.4"/>
    <row r="9790" s="5" customFormat="1" x14ac:dyDescent="0.4"/>
    <row r="9791" s="5" customFormat="1" x14ac:dyDescent="0.4"/>
    <row r="9792" s="5" customFormat="1" x14ac:dyDescent="0.4"/>
    <row r="9793" s="5" customFormat="1" x14ac:dyDescent="0.4"/>
    <row r="9794" s="5" customFormat="1" x14ac:dyDescent="0.4"/>
    <row r="9795" s="5" customFormat="1" x14ac:dyDescent="0.4"/>
    <row r="9796" s="5" customFormat="1" x14ac:dyDescent="0.4"/>
    <row r="9797" s="5" customFormat="1" x14ac:dyDescent="0.4"/>
    <row r="9798" s="5" customFormat="1" x14ac:dyDescent="0.4"/>
    <row r="9799" s="5" customFormat="1" x14ac:dyDescent="0.4"/>
    <row r="9800" s="5" customFormat="1" x14ac:dyDescent="0.4"/>
    <row r="9801" s="5" customFormat="1" x14ac:dyDescent="0.4"/>
    <row r="9802" s="5" customFormat="1" x14ac:dyDescent="0.4"/>
    <row r="9803" s="5" customFormat="1" x14ac:dyDescent="0.4"/>
    <row r="9804" s="5" customFormat="1" x14ac:dyDescent="0.4"/>
    <row r="9805" s="5" customFormat="1" x14ac:dyDescent="0.4"/>
    <row r="9806" s="5" customFormat="1" x14ac:dyDescent="0.4"/>
    <row r="9807" s="5" customFormat="1" x14ac:dyDescent="0.4"/>
    <row r="9808" s="5" customFormat="1" x14ac:dyDescent="0.4"/>
    <row r="9809" s="5" customFormat="1" x14ac:dyDescent="0.4"/>
    <row r="9810" s="5" customFormat="1" x14ac:dyDescent="0.4"/>
    <row r="9811" s="5" customFormat="1" x14ac:dyDescent="0.4"/>
    <row r="9812" s="5" customFormat="1" x14ac:dyDescent="0.4"/>
    <row r="9813" s="5" customFormat="1" x14ac:dyDescent="0.4"/>
    <row r="9814" s="5" customFormat="1" x14ac:dyDescent="0.4"/>
    <row r="9815" s="5" customFormat="1" x14ac:dyDescent="0.4"/>
    <row r="9816" s="5" customFormat="1" x14ac:dyDescent="0.4"/>
    <row r="9817" s="5" customFormat="1" x14ac:dyDescent="0.4"/>
    <row r="9818" s="5" customFormat="1" x14ac:dyDescent="0.4"/>
    <row r="9819" s="5" customFormat="1" x14ac:dyDescent="0.4"/>
    <row r="9820" s="5" customFormat="1" x14ac:dyDescent="0.4"/>
    <row r="9821" s="5" customFormat="1" x14ac:dyDescent="0.4"/>
    <row r="9822" s="5" customFormat="1" x14ac:dyDescent="0.4"/>
    <row r="9823" s="5" customFormat="1" x14ac:dyDescent="0.4"/>
    <row r="9824" s="5" customFormat="1" x14ac:dyDescent="0.4"/>
    <row r="9825" s="5" customFormat="1" x14ac:dyDescent="0.4"/>
    <row r="9826" s="5" customFormat="1" x14ac:dyDescent="0.4"/>
    <row r="9827" s="5" customFormat="1" x14ac:dyDescent="0.4"/>
    <row r="9828" s="5" customFormat="1" x14ac:dyDescent="0.4"/>
    <row r="9829" s="5" customFormat="1" x14ac:dyDescent="0.4"/>
    <row r="9830" s="5" customFormat="1" x14ac:dyDescent="0.4"/>
    <row r="9831" s="5" customFormat="1" x14ac:dyDescent="0.4"/>
    <row r="9832" s="5" customFormat="1" x14ac:dyDescent="0.4"/>
    <row r="9833" s="5" customFormat="1" x14ac:dyDescent="0.4"/>
    <row r="9834" s="5" customFormat="1" x14ac:dyDescent="0.4"/>
    <row r="9835" s="5" customFormat="1" x14ac:dyDescent="0.4"/>
    <row r="9836" s="5" customFormat="1" x14ac:dyDescent="0.4"/>
    <row r="9837" s="5" customFormat="1" x14ac:dyDescent="0.4"/>
    <row r="9838" s="5" customFormat="1" x14ac:dyDescent="0.4"/>
    <row r="9839" s="5" customFormat="1" x14ac:dyDescent="0.4"/>
    <row r="9840" s="5" customFormat="1" x14ac:dyDescent="0.4"/>
    <row r="9841" s="5" customFormat="1" x14ac:dyDescent="0.4"/>
    <row r="9842" s="5" customFormat="1" x14ac:dyDescent="0.4"/>
    <row r="9843" s="5" customFormat="1" x14ac:dyDescent="0.4"/>
    <row r="9844" s="5" customFormat="1" x14ac:dyDescent="0.4"/>
    <row r="9845" s="5" customFormat="1" x14ac:dyDescent="0.4"/>
    <row r="9846" s="5" customFormat="1" x14ac:dyDescent="0.4"/>
    <row r="9847" s="5" customFormat="1" x14ac:dyDescent="0.4"/>
    <row r="9848" s="5" customFormat="1" x14ac:dyDescent="0.4"/>
    <row r="9849" s="5" customFormat="1" x14ac:dyDescent="0.4"/>
    <row r="9850" s="5" customFormat="1" x14ac:dyDescent="0.4"/>
    <row r="9851" s="5" customFormat="1" x14ac:dyDescent="0.4"/>
    <row r="9852" s="5" customFormat="1" x14ac:dyDescent="0.4"/>
    <row r="9853" s="5" customFormat="1" x14ac:dyDescent="0.4"/>
    <row r="9854" s="5" customFormat="1" x14ac:dyDescent="0.4"/>
    <row r="9855" s="5" customFormat="1" x14ac:dyDescent="0.4"/>
    <row r="9856" s="5" customFormat="1" x14ac:dyDescent="0.4"/>
    <row r="9857" s="5" customFormat="1" x14ac:dyDescent="0.4"/>
    <row r="9858" s="5" customFormat="1" x14ac:dyDescent="0.4"/>
    <row r="9859" s="5" customFormat="1" x14ac:dyDescent="0.4"/>
    <row r="9860" s="5" customFormat="1" x14ac:dyDescent="0.4"/>
    <row r="9861" s="5" customFormat="1" x14ac:dyDescent="0.4"/>
    <row r="9862" s="5" customFormat="1" x14ac:dyDescent="0.4"/>
    <row r="9863" s="5" customFormat="1" x14ac:dyDescent="0.4"/>
    <row r="9864" s="5" customFormat="1" x14ac:dyDescent="0.4"/>
    <row r="9865" s="5" customFormat="1" x14ac:dyDescent="0.4"/>
    <row r="9866" s="5" customFormat="1" x14ac:dyDescent="0.4"/>
    <row r="9867" s="5" customFormat="1" x14ac:dyDescent="0.4"/>
    <row r="9868" s="5" customFormat="1" x14ac:dyDescent="0.4"/>
    <row r="9869" s="5" customFormat="1" x14ac:dyDescent="0.4"/>
    <row r="9870" s="5" customFormat="1" x14ac:dyDescent="0.4"/>
    <row r="9871" s="5" customFormat="1" x14ac:dyDescent="0.4"/>
    <row r="9872" s="5" customFormat="1" x14ac:dyDescent="0.4"/>
    <row r="9873" s="5" customFormat="1" x14ac:dyDescent="0.4"/>
    <row r="9874" s="5" customFormat="1" x14ac:dyDescent="0.4"/>
    <row r="9875" s="5" customFormat="1" x14ac:dyDescent="0.4"/>
    <row r="9876" s="5" customFormat="1" x14ac:dyDescent="0.4"/>
    <row r="9877" s="5" customFormat="1" x14ac:dyDescent="0.4"/>
    <row r="9878" s="5" customFormat="1" x14ac:dyDescent="0.4"/>
    <row r="9879" s="5" customFormat="1" x14ac:dyDescent="0.4"/>
    <row r="9880" s="5" customFormat="1" x14ac:dyDescent="0.4"/>
    <row r="9881" s="5" customFormat="1" x14ac:dyDescent="0.4"/>
    <row r="9882" s="5" customFormat="1" x14ac:dyDescent="0.4"/>
    <row r="9883" s="5" customFormat="1" x14ac:dyDescent="0.4"/>
    <row r="9884" s="5" customFormat="1" x14ac:dyDescent="0.4"/>
    <row r="9885" s="5" customFormat="1" x14ac:dyDescent="0.4"/>
    <row r="9886" s="5" customFormat="1" x14ac:dyDescent="0.4"/>
    <row r="9887" s="5" customFormat="1" x14ac:dyDescent="0.4"/>
    <row r="9888" s="5" customFormat="1" x14ac:dyDescent="0.4"/>
    <row r="9889" s="5" customFormat="1" x14ac:dyDescent="0.4"/>
    <row r="9890" s="5" customFormat="1" x14ac:dyDescent="0.4"/>
    <row r="9891" s="5" customFormat="1" x14ac:dyDescent="0.4"/>
    <row r="9892" s="5" customFormat="1" x14ac:dyDescent="0.4"/>
    <row r="9893" s="5" customFormat="1" x14ac:dyDescent="0.4"/>
    <row r="9894" s="5" customFormat="1" x14ac:dyDescent="0.4"/>
    <row r="9895" s="5" customFormat="1" x14ac:dyDescent="0.4"/>
    <row r="9896" s="5" customFormat="1" x14ac:dyDescent="0.4"/>
    <row r="9897" s="5" customFormat="1" x14ac:dyDescent="0.4"/>
    <row r="9898" s="5" customFormat="1" x14ac:dyDescent="0.4"/>
    <row r="9899" s="5" customFormat="1" x14ac:dyDescent="0.4"/>
    <row r="9900" s="5" customFormat="1" x14ac:dyDescent="0.4"/>
    <row r="9901" s="5" customFormat="1" x14ac:dyDescent="0.4"/>
    <row r="9902" s="5" customFormat="1" x14ac:dyDescent="0.4"/>
    <row r="9903" s="5" customFormat="1" x14ac:dyDescent="0.4"/>
    <row r="9904" s="5" customFormat="1" x14ac:dyDescent="0.4"/>
    <row r="9905" s="5" customFormat="1" x14ac:dyDescent="0.4"/>
    <row r="9906" s="5" customFormat="1" x14ac:dyDescent="0.4"/>
    <row r="9907" s="5" customFormat="1" x14ac:dyDescent="0.4"/>
    <row r="9908" s="5" customFormat="1" x14ac:dyDescent="0.4"/>
    <row r="9909" s="5" customFormat="1" x14ac:dyDescent="0.4"/>
    <row r="9910" s="5" customFormat="1" x14ac:dyDescent="0.4"/>
    <row r="9911" s="5" customFormat="1" x14ac:dyDescent="0.4"/>
    <row r="9912" s="5" customFormat="1" x14ac:dyDescent="0.4"/>
    <row r="9913" s="5" customFormat="1" x14ac:dyDescent="0.4"/>
    <row r="9914" s="5" customFormat="1" x14ac:dyDescent="0.4"/>
    <row r="9915" s="5" customFormat="1" x14ac:dyDescent="0.4"/>
    <row r="9916" s="5" customFormat="1" x14ac:dyDescent="0.4"/>
    <row r="9917" s="5" customFormat="1" x14ac:dyDescent="0.4"/>
    <row r="9918" s="5" customFormat="1" x14ac:dyDescent="0.4"/>
    <row r="9919" s="5" customFormat="1" x14ac:dyDescent="0.4"/>
    <row r="9920" s="5" customFormat="1" x14ac:dyDescent="0.4"/>
    <row r="9921" s="5" customFormat="1" x14ac:dyDescent="0.4"/>
    <row r="9922" s="5" customFormat="1" x14ac:dyDescent="0.4"/>
    <row r="9923" s="5" customFormat="1" x14ac:dyDescent="0.4"/>
    <row r="9924" s="5" customFormat="1" x14ac:dyDescent="0.4"/>
    <row r="9925" s="5" customFormat="1" x14ac:dyDescent="0.4"/>
    <row r="9926" s="5" customFormat="1" x14ac:dyDescent="0.4"/>
    <row r="9927" s="5" customFormat="1" x14ac:dyDescent="0.4"/>
    <row r="9928" s="5" customFormat="1" x14ac:dyDescent="0.4"/>
    <row r="9929" s="5" customFormat="1" x14ac:dyDescent="0.4"/>
    <row r="9930" s="5" customFormat="1" x14ac:dyDescent="0.4"/>
    <row r="9931" s="5" customFormat="1" x14ac:dyDescent="0.4"/>
    <row r="9932" s="5" customFormat="1" x14ac:dyDescent="0.4"/>
    <row r="9933" s="5" customFormat="1" x14ac:dyDescent="0.4"/>
    <row r="9934" s="5" customFormat="1" x14ac:dyDescent="0.4"/>
    <row r="9935" s="5" customFormat="1" x14ac:dyDescent="0.4"/>
    <row r="9936" s="5" customFormat="1" x14ac:dyDescent="0.4"/>
    <row r="9937" s="5" customFormat="1" x14ac:dyDescent="0.4"/>
    <row r="9938" s="5" customFormat="1" x14ac:dyDescent="0.4"/>
    <row r="9939" s="5" customFormat="1" x14ac:dyDescent="0.4"/>
    <row r="9940" s="5" customFormat="1" x14ac:dyDescent="0.4"/>
    <row r="9941" s="5" customFormat="1" x14ac:dyDescent="0.4"/>
    <row r="9942" s="5" customFormat="1" x14ac:dyDescent="0.4"/>
    <row r="9943" s="5" customFormat="1" x14ac:dyDescent="0.4"/>
    <row r="9944" s="5" customFormat="1" x14ac:dyDescent="0.4"/>
    <row r="9945" s="5" customFormat="1" x14ac:dyDescent="0.4"/>
    <row r="9946" s="5" customFormat="1" x14ac:dyDescent="0.4"/>
    <row r="9947" s="5" customFormat="1" x14ac:dyDescent="0.4"/>
    <row r="9948" s="5" customFormat="1" x14ac:dyDescent="0.4"/>
    <row r="9949" s="5" customFormat="1" x14ac:dyDescent="0.4"/>
    <row r="9950" s="5" customFormat="1" x14ac:dyDescent="0.4"/>
    <row r="9951" s="5" customFormat="1" x14ac:dyDescent="0.4"/>
    <row r="9952" s="5" customFormat="1" x14ac:dyDescent="0.4"/>
    <row r="9953" s="5" customFormat="1" x14ac:dyDescent="0.4"/>
    <row r="9954" s="5" customFormat="1" x14ac:dyDescent="0.4"/>
    <row r="9955" s="5" customFormat="1" x14ac:dyDescent="0.4"/>
    <row r="9956" s="5" customFormat="1" x14ac:dyDescent="0.4"/>
    <row r="9957" s="5" customFormat="1" x14ac:dyDescent="0.4"/>
    <row r="9958" s="5" customFormat="1" x14ac:dyDescent="0.4"/>
    <row r="9959" s="5" customFormat="1" x14ac:dyDescent="0.4"/>
    <row r="9960" s="5" customFormat="1" x14ac:dyDescent="0.4"/>
    <row r="9961" s="5" customFormat="1" x14ac:dyDescent="0.4"/>
    <row r="9962" s="5" customFormat="1" x14ac:dyDescent="0.4"/>
    <row r="9963" s="5" customFormat="1" x14ac:dyDescent="0.4"/>
    <row r="9964" s="5" customFormat="1" x14ac:dyDescent="0.4"/>
    <row r="9965" s="5" customFormat="1" x14ac:dyDescent="0.4"/>
    <row r="9966" s="5" customFormat="1" x14ac:dyDescent="0.4"/>
    <row r="9967" s="5" customFormat="1" x14ac:dyDescent="0.4"/>
    <row r="9968" s="5" customFormat="1" x14ac:dyDescent="0.4"/>
    <row r="9969" s="5" customFormat="1" x14ac:dyDescent="0.4"/>
    <row r="9970" s="5" customFormat="1" x14ac:dyDescent="0.4"/>
    <row r="9971" s="5" customFormat="1" x14ac:dyDescent="0.4"/>
    <row r="9972" s="5" customFormat="1" x14ac:dyDescent="0.4"/>
    <row r="9973" s="5" customFormat="1" x14ac:dyDescent="0.4"/>
    <row r="9974" s="5" customFormat="1" x14ac:dyDescent="0.4"/>
    <row r="9975" s="5" customFormat="1" x14ac:dyDescent="0.4"/>
    <row r="9976" s="5" customFormat="1" x14ac:dyDescent="0.4"/>
    <row r="9977" s="5" customFormat="1" x14ac:dyDescent="0.4"/>
    <row r="9978" s="5" customFormat="1" x14ac:dyDescent="0.4"/>
    <row r="9979" s="5" customFormat="1" x14ac:dyDescent="0.4"/>
    <row r="9980" s="5" customFormat="1" x14ac:dyDescent="0.4"/>
    <row r="9981" s="5" customFormat="1" x14ac:dyDescent="0.4"/>
    <row r="9982" s="5" customFormat="1" x14ac:dyDescent="0.4"/>
    <row r="9983" s="5" customFormat="1" x14ac:dyDescent="0.4"/>
    <row r="9984" s="5" customFormat="1" x14ac:dyDescent="0.4"/>
    <row r="9985" s="5" customFormat="1" x14ac:dyDescent="0.4"/>
    <row r="9986" s="5" customFormat="1" x14ac:dyDescent="0.4"/>
    <row r="9987" s="5" customFormat="1" x14ac:dyDescent="0.4"/>
    <row r="9988" s="5" customFormat="1" x14ac:dyDescent="0.4"/>
    <row r="9989" s="5" customFormat="1" x14ac:dyDescent="0.4"/>
    <row r="9990" s="5" customFormat="1" x14ac:dyDescent="0.4"/>
    <row r="9991" s="5" customFormat="1" x14ac:dyDescent="0.4"/>
    <row r="9992" s="5" customFormat="1" x14ac:dyDescent="0.4"/>
    <row r="9993" s="5" customFormat="1" x14ac:dyDescent="0.4"/>
    <row r="9994" s="5" customFormat="1" x14ac:dyDescent="0.4"/>
    <row r="9995" s="5" customFormat="1" x14ac:dyDescent="0.4"/>
    <row r="9996" s="5" customFormat="1" x14ac:dyDescent="0.4"/>
    <row r="9997" s="5" customFormat="1" x14ac:dyDescent="0.4"/>
    <row r="9998" s="5" customFormat="1" x14ac:dyDescent="0.4"/>
    <row r="9999" s="5" customFormat="1" x14ac:dyDescent="0.4"/>
    <row r="10000" s="5" customFormat="1" x14ac:dyDescent="0.4"/>
    <row r="10001" s="5" customFormat="1" x14ac:dyDescent="0.4"/>
    <row r="10002" s="5" customFormat="1" x14ac:dyDescent="0.4"/>
    <row r="10003" s="5" customFormat="1" x14ac:dyDescent="0.4"/>
    <row r="10004" s="5" customFormat="1" x14ac:dyDescent="0.4"/>
    <row r="10005" s="5" customFormat="1" x14ac:dyDescent="0.4"/>
    <row r="10006" s="5" customFormat="1" x14ac:dyDescent="0.4"/>
    <row r="10007" s="5" customFormat="1" x14ac:dyDescent="0.4"/>
    <row r="10008" s="5" customFormat="1" x14ac:dyDescent="0.4"/>
    <row r="10009" s="5" customFormat="1" x14ac:dyDescent="0.4"/>
    <row r="10010" s="5" customFormat="1" x14ac:dyDescent="0.4"/>
    <row r="10011" s="5" customFormat="1" x14ac:dyDescent="0.4"/>
    <row r="10012" s="5" customFormat="1" x14ac:dyDescent="0.4"/>
    <row r="10013" s="5" customFormat="1" x14ac:dyDescent="0.4"/>
    <row r="10014" s="5" customFormat="1" x14ac:dyDescent="0.4"/>
    <row r="10015" s="5" customFormat="1" x14ac:dyDescent="0.4"/>
    <row r="10016" s="5" customFormat="1" x14ac:dyDescent="0.4"/>
    <row r="10017" s="5" customFormat="1" x14ac:dyDescent="0.4"/>
    <row r="10018" s="5" customFormat="1" x14ac:dyDescent="0.4"/>
    <row r="10019" s="5" customFormat="1" x14ac:dyDescent="0.4"/>
    <row r="10020" s="5" customFormat="1" x14ac:dyDescent="0.4"/>
    <row r="10021" s="5" customFormat="1" x14ac:dyDescent="0.4"/>
    <row r="10022" s="5" customFormat="1" x14ac:dyDescent="0.4"/>
    <row r="10023" s="5" customFormat="1" x14ac:dyDescent="0.4"/>
    <row r="10024" s="5" customFormat="1" x14ac:dyDescent="0.4"/>
    <row r="10025" s="5" customFormat="1" x14ac:dyDescent="0.4"/>
    <row r="10026" s="5" customFormat="1" x14ac:dyDescent="0.4"/>
    <row r="10027" s="5" customFormat="1" x14ac:dyDescent="0.4"/>
    <row r="10028" s="5" customFormat="1" x14ac:dyDescent="0.4"/>
    <row r="10029" s="5" customFormat="1" x14ac:dyDescent="0.4"/>
    <row r="10030" s="5" customFormat="1" x14ac:dyDescent="0.4"/>
    <row r="10031" s="5" customFormat="1" x14ac:dyDescent="0.4"/>
    <row r="10032" s="5" customFormat="1" x14ac:dyDescent="0.4"/>
    <row r="10033" s="5" customFormat="1" x14ac:dyDescent="0.4"/>
    <row r="10034" s="5" customFormat="1" x14ac:dyDescent="0.4"/>
    <row r="10035" s="5" customFormat="1" x14ac:dyDescent="0.4"/>
    <row r="10036" s="5" customFormat="1" x14ac:dyDescent="0.4"/>
    <row r="10037" s="5" customFormat="1" x14ac:dyDescent="0.4"/>
    <row r="10038" s="5" customFormat="1" x14ac:dyDescent="0.4"/>
    <row r="10039" s="5" customFormat="1" x14ac:dyDescent="0.4"/>
    <row r="10040" s="5" customFormat="1" x14ac:dyDescent="0.4"/>
    <row r="10041" s="5" customFormat="1" x14ac:dyDescent="0.4"/>
    <row r="10042" s="5" customFormat="1" x14ac:dyDescent="0.4"/>
    <row r="10043" s="5" customFormat="1" x14ac:dyDescent="0.4"/>
    <row r="10044" s="5" customFormat="1" x14ac:dyDescent="0.4"/>
    <row r="10045" s="5" customFormat="1" x14ac:dyDescent="0.4"/>
    <row r="10046" s="5" customFormat="1" x14ac:dyDescent="0.4"/>
    <row r="10047" s="5" customFormat="1" x14ac:dyDescent="0.4"/>
    <row r="10048" s="5" customFormat="1" x14ac:dyDescent="0.4"/>
    <row r="10049" s="5" customFormat="1" x14ac:dyDescent="0.4"/>
    <row r="10050" s="5" customFormat="1" x14ac:dyDescent="0.4"/>
    <row r="10051" s="5" customFormat="1" x14ac:dyDescent="0.4"/>
    <row r="10052" s="5" customFormat="1" x14ac:dyDescent="0.4"/>
    <row r="10053" s="5" customFormat="1" x14ac:dyDescent="0.4"/>
    <row r="10054" s="5" customFormat="1" x14ac:dyDescent="0.4"/>
    <row r="10055" s="5" customFormat="1" x14ac:dyDescent="0.4"/>
    <row r="10056" s="5" customFormat="1" x14ac:dyDescent="0.4"/>
    <row r="10057" s="5" customFormat="1" x14ac:dyDescent="0.4"/>
    <row r="10058" s="5" customFormat="1" x14ac:dyDescent="0.4"/>
    <row r="10059" s="5" customFormat="1" x14ac:dyDescent="0.4"/>
    <row r="10060" s="5" customFormat="1" x14ac:dyDescent="0.4"/>
    <row r="10061" s="5" customFormat="1" x14ac:dyDescent="0.4"/>
    <row r="10062" s="5" customFormat="1" x14ac:dyDescent="0.4"/>
    <row r="10063" s="5" customFormat="1" x14ac:dyDescent="0.4"/>
    <row r="10064" s="5" customFormat="1" x14ac:dyDescent="0.4"/>
    <row r="10065" s="5" customFormat="1" x14ac:dyDescent="0.4"/>
    <row r="10066" s="5" customFormat="1" x14ac:dyDescent="0.4"/>
    <row r="10067" s="5" customFormat="1" x14ac:dyDescent="0.4"/>
    <row r="10068" s="5" customFormat="1" x14ac:dyDescent="0.4"/>
    <row r="10069" s="5" customFormat="1" x14ac:dyDescent="0.4"/>
    <row r="10070" s="5" customFormat="1" x14ac:dyDescent="0.4"/>
    <row r="10071" s="5" customFormat="1" x14ac:dyDescent="0.4"/>
    <row r="10072" s="5" customFormat="1" x14ac:dyDescent="0.4"/>
    <row r="10073" s="5" customFormat="1" x14ac:dyDescent="0.4"/>
    <row r="10074" s="5" customFormat="1" x14ac:dyDescent="0.4"/>
    <row r="10075" s="5" customFormat="1" x14ac:dyDescent="0.4"/>
    <row r="10076" s="5" customFormat="1" x14ac:dyDescent="0.4"/>
    <row r="10077" s="5" customFormat="1" x14ac:dyDescent="0.4"/>
    <row r="10078" s="5" customFormat="1" x14ac:dyDescent="0.4"/>
    <row r="10079" s="5" customFormat="1" x14ac:dyDescent="0.4"/>
    <row r="10080" s="5" customFormat="1" x14ac:dyDescent="0.4"/>
    <row r="10081" s="5" customFormat="1" x14ac:dyDescent="0.4"/>
    <row r="10082" s="5" customFormat="1" x14ac:dyDescent="0.4"/>
    <row r="10083" s="5" customFormat="1" x14ac:dyDescent="0.4"/>
    <row r="10084" s="5" customFormat="1" x14ac:dyDescent="0.4"/>
    <row r="10085" s="5" customFormat="1" x14ac:dyDescent="0.4"/>
    <row r="10086" s="5" customFormat="1" x14ac:dyDescent="0.4"/>
    <row r="10087" s="5" customFormat="1" x14ac:dyDescent="0.4"/>
    <row r="10088" s="5" customFormat="1" x14ac:dyDescent="0.4"/>
    <row r="10089" s="5" customFormat="1" x14ac:dyDescent="0.4"/>
    <row r="10090" s="5" customFormat="1" x14ac:dyDescent="0.4"/>
    <row r="10091" s="5" customFormat="1" x14ac:dyDescent="0.4"/>
    <row r="10092" s="5" customFormat="1" x14ac:dyDescent="0.4"/>
    <row r="10093" s="5" customFormat="1" x14ac:dyDescent="0.4"/>
    <row r="10094" s="5" customFormat="1" x14ac:dyDescent="0.4"/>
    <row r="10095" s="5" customFormat="1" x14ac:dyDescent="0.4"/>
    <row r="10096" s="5" customFormat="1" x14ac:dyDescent="0.4"/>
    <row r="10097" s="5" customFormat="1" x14ac:dyDescent="0.4"/>
    <row r="10098" s="5" customFormat="1" x14ac:dyDescent="0.4"/>
    <row r="10099" s="5" customFormat="1" x14ac:dyDescent="0.4"/>
    <row r="10100" s="5" customFormat="1" x14ac:dyDescent="0.4"/>
    <row r="10101" s="5" customFormat="1" x14ac:dyDescent="0.4"/>
    <row r="10102" s="5" customFormat="1" x14ac:dyDescent="0.4"/>
    <row r="10103" s="5" customFormat="1" x14ac:dyDescent="0.4"/>
    <row r="10104" s="5" customFormat="1" x14ac:dyDescent="0.4"/>
    <row r="10105" s="5" customFormat="1" x14ac:dyDescent="0.4"/>
    <row r="10106" s="5" customFormat="1" x14ac:dyDescent="0.4"/>
    <row r="10107" s="5" customFormat="1" x14ac:dyDescent="0.4"/>
    <row r="10108" s="5" customFormat="1" x14ac:dyDescent="0.4"/>
    <row r="10109" s="5" customFormat="1" x14ac:dyDescent="0.4"/>
    <row r="10110" s="5" customFormat="1" x14ac:dyDescent="0.4"/>
    <row r="10111" s="5" customFormat="1" x14ac:dyDescent="0.4"/>
    <row r="10112" s="5" customFormat="1" x14ac:dyDescent="0.4"/>
    <row r="10113" s="5" customFormat="1" x14ac:dyDescent="0.4"/>
    <row r="10114" s="5" customFormat="1" x14ac:dyDescent="0.4"/>
    <row r="10115" s="5" customFormat="1" x14ac:dyDescent="0.4"/>
    <row r="10116" s="5" customFormat="1" x14ac:dyDescent="0.4"/>
    <row r="10117" s="5" customFormat="1" x14ac:dyDescent="0.4"/>
    <row r="10118" s="5" customFormat="1" x14ac:dyDescent="0.4"/>
    <row r="10119" s="5" customFormat="1" x14ac:dyDescent="0.4"/>
    <row r="10120" s="5" customFormat="1" x14ac:dyDescent="0.4"/>
    <row r="10121" s="5" customFormat="1" x14ac:dyDescent="0.4"/>
    <row r="10122" s="5" customFormat="1" x14ac:dyDescent="0.4"/>
    <row r="10123" s="5" customFormat="1" x14ac:dyDescent="0.4"/>
    <row r="10124" s="5" customFormat="1" x14ac:dyDescent="0.4"/>
    <row r="10125" s="5" customFormat="1" x14ac:dyDescent="0.4"/>
    <row r="10126" s="5" customFormat="1" x14ac:dyDescent="0.4"/>
    <row r="10127" s="5" customFormat="1" x14ac:dyDescent="0.4"/>
    <row r="10128" s="5" customFormat="1" x14ac:dyDescent="0.4"/>
    <row r="10129" s="5" customFormat="1" x14ac:dyDescent="0.4"/>
    <row r="10130" s="5" customFormat="1" x14ac:dyDescent="0.4"/>
    <row r="10131" s="5" customFormat="1" x14ac:dyDescent="0.4"/>
    <row r="10132" s="5" customFormat="1" x14ac:dyDescent="0.4"/>
    <row r="10133" s="5" customFormat="1" x14ac:dyDescent="0.4"/>
    <row r="10134" s="5" customFormat="1" x14ac:dyDescent="0.4"/>
    <row r="10135" s="5" customFormat="1" x14ac:dyDescent="0.4"/>
    <row r="10136" s="5" customFormat="1" x14ac:dyDescent="0.4"/>
    <row r="10137" s="5" customFormat="1" x14ac:dyDescent="0.4"/>
    <row r="10138" s="5" customFormat="1" x14ac:dyDescent="0.4"/>
    <row r="10139" s="5" customFormat="1" x14ac:dyDescent="0.4"/>
    <row r="10140" s="5" customFormat="1" x14ac:dyDescent="0.4"/>
    <row r="10141" s="5" customFormat="1" x14ac:dyDescent="0.4"/>
    <row r="10142" s="5" customFormat="1" x14ac:dyDescent="0.4"/>
    <row r="10143" s="5" customFormat="1" x14ac:dyDescent="0.4"/>
    <row r="10144" s="5" customFormat="1" x14ac:dyDescent="0.4"/>
    <row r="10145" s="5" customFormat="1" x14ac:dyDescent="0.4"/>
    <row r="10146" s="5" customFormat="1" x14ac:dyDescent="0.4"/>
    <row r="10147" s="5" customFormat="1" x14ac:dyDescent="0.4"/>
    <row r="10148" s="5" customFormat="1" x14ac:dyDescent="0.4"/>
    <row r="10149" s="5" customFormat="1" x14ac:dyDescent="0.4"/>
    <row r="10150" s="5" customFormat="1" x14ac:dyDescent="0.4"/>
    <row r="10151" s="5" customFormat="1" x14ac:dyDescent="0.4"/>
    <row r="10152" s="5" customFormat="1" x14ac:dyDescent="0.4"/>
    <row r="10153" s="5" customFormat="1" x14ac:dyDescent="0.4"/>
    <row r="10154" s="5" customFormat="1" x14ac:dyDescent="0.4"/>
    <row r="10155" s="5" customFormat="1" x14ac:dyDescent="0.4"/>
    <row r="10156" s="5" customFormat="1" x14ac:dyDescent="0.4"/>
    <row r="10157" s="5" customFormat="1" x14ac:dyDescent="0.4"/>
    <row r="10158" s="5" customFormat="1" x14ac:dyDescent="0.4"/>
    <row r="10159" s="5" customFormat="1" x14ac:dyDescent="0.4"/>
    <row r="10160" s="5" customFormat="1" x14ac:dyDescent="0.4"/>
    <row r="10161" s="5" customFormat="1" x14ac:dyDescent="0.4"/>
    <row r="10162" s="5" customFormat="1" x14ac:dyDescent="0.4"/>
    <row r="10163" s="5" customFormat="1" x14ac:dyDescent="0.4"/>
    <row r="10164" s="5" customFormat="1" x14ac:dyDescent="0.4"/>
    <row r="10165" s="5" customFormat="1" x14ac:dyDescent="0.4"/>
    <row r="10166" s="5" customFormat="1" x14ac:dyDescent="0.4"/>
    <row r="10167" s="5" customFormat="1" x14ac:dyDescent="0.4"/>
    <row r="10168" s="5" customFormat="1" x14ac:dyDescent="0.4"/>
    <row r="10169" s="5" customFormat="1" x14ac:dyDescent="0.4"/>
    <row r="10170" s="5" customFormat="1" x14ac:dyDescent="0.4"/>
    <row r="10171" s="5" customFormat="1" x14ac:dyDescent="0.4"/>
    <row r="10172" s="5" customFormat="1" x14ac:dyDescent="0.4"/>
    <row r="10173" s="5" customFormat="1" x14ac:dyDescent="0.4"/>
    <row r="10174" s="5" customFormat="1" x14ac:dyDescent="0.4"/>
    <row r="10175" s="5" customFormat="1" x14ac:dyDescent="0.4"/>
    <row r="10176" s="5" customFormat="1" x14ac:dyDescent="0.4"/>
    <row r="10177" s="5" customFormat="1" x14ac:dyDescent="0.4"/>
    <row r="10178" s="5" customFormat="1" x14ac:dyDescent="0.4"/>
    <row r="10179" s="5" customFormat="1" x14ac:dyDescent="0.4"/>
    <row r="10180" s="5" customFormat="1" x14ac:dyDescent="0.4"/>
    <row r="10181" s="5" customFormat="1" x14ac:dyDescent="0.4"/>
    <row r="10182" s="5" customFormat="1" x14ac:dyDescent="0.4"/>
    <row r="10183" s="5" customFormat="1" x14ac:dyDescent="0.4"/>
    <row r="10184" s="5" customFormat="1" x14ac:dyDescent="0.4"/>
    <row r="10185" s="5" customFormat="1" x14ac:dyDescent="0.4"/>
    <row r="10186" s="5" customFormat="1" x14ac:dyDescent="0.4"/>
    <row r="10187" s="5" customFormat="1" x14ac:dyDescent="0.4"/>
    <row r="10188" s="5" customFormat="1" x14ac:dyDescent="0.4"/>
    <row r="10189" s="5" customFormat="1" x14ac:dyDescent="0.4"/>
    <row r="10190" s="5" customFormat="1" x14ac:dyDescent="0.4"/>
    <row r="10191" s="5" customFormat="1" x14ac:dyDescent="0.4"/>
    <row r="10192" s="5" customFormat="1" x14ac:dyDescent="0.4"/>
    <row r="10193" s="5" customFormat="1" x14ac:dyDescent="0.4"/>
    <row r="10194" s="5" customFormat="1" x14ac:dyDescent="0.4"/>
    <row r="10195" s="5" customFormat="1" x14ac:dyDescent="0.4"/>
    <row r="10196" s="5" customFormat="1" x14ac:dyDescent="0.4"/>
    <row r="10197" s="5" customFormat="1" x14ac:dyDescent="0.4"/>
    <row r="10198" s="5" customFormat="1" x14ac:dyDescent="0.4"/>
    <row r="10199" s="5" customFormat="1" x14ac:dyDescent="0.4"/>
    <row r="10200" s="5" customFormat="1" x14ac:dyDescent="0.4"/>
    <row r="10201" s="5" customFormat="1" x14ac:dyDescent="0.4"/>
    <row r="10202" s="5" customFormat="1" x14ac:dyDescent="0.4"/>
    <row r="10203" s="5" customFormat="1" x14ac:dyDescent="0.4"/>
    <row r="10204" s="5" customFormat="1" x14ac:dyDescent="0.4"/>
    <row r="10205" s="5" customFormat="1" x14ac:dyDescent="0.4"/>
    <row r="10206" s="5" customFormat="1" x14ac:dyDescent="0.4"/>
    <row r="10207" s="5" customFormat="1" x14ac:dyDescent="0.4"/>
    <row r="10208" s="5" customFormat="1" x14ac:dyDescent="0.4"/>
    <row r="10209" s="5" customFormat="1" x14ac:dyDescent="0.4"/>
    <row r="10210" s="5" customFormat="1" x14ac:dyDescent="0.4"/>
    <row r="10211" s="5" customFormat="1" x14ac:dyDescent="0.4"/>
    <row r="10212" s="5" customFormat="1" x14ac:dyDescent="0.4"/>
    <row r="10213" s="5" customFormat="1" x14ac:dyDescent="0.4"/>
    <row r="10214" s="5" customFormat="1" x14ac:dyDescent="0.4"/>
    <row r="10215" s="5" customFormat="1" x14ac:dyDescent="0.4"/>
    <row r="10216" s="5" customFormat="1" x14ac:dyDescent="0.4"/>
    <row r="10217" s="5" customFormat="1" x14ac:dyDescent="0.4"/>
    <row r="10218" s="5" customFormat="1" x14ac:dyDescent="0.4"/>
    <row r="10219" s="5" customFormat="1" x14ac:dyDescent="0.4"/>
    <row r="10220" s="5" customFormat="1" x14ac:dyDescent="0.4"/>
    <row r="10221" s="5" customFormat="1" x14ac:dyDescent="0.4"/>
    <row r="10222" s="5" customFormat="1" x14ac:dyDescent="0.4"/>
    <row r="10223" s="5" customFormat="1" x14ac:dyDescent="0.4"/>
    <row r="10224" s="5" customFormat="1" x14ac:dyDescent="0.4"/>
    <row r="10225" s="5" customFormat="1" x14ac:dyDescent="0.4"/>
    <row r="10226" s="5" customFormat="1" x14ac:dyDescent="0.4"/>
    <row r="10227" s="5" customFormat="1" x14ac:dyDescent="0.4"/>
    <row r="10228" s="5" customFormat="1" x14ac:dyDescent="0.4"/>
    <row r="10229" s="5" customFormat="1" x14ac:dyDescent="0.4"/>
    <row r="10230" s="5" customFormat="1" x14ac:dyDescent="0.4"/>
    <row r="10231" s="5" customFormat="1" x14ac:dyDescent="0.4"/>
    <row r="10232" s="5" customFormat="1" x14ac:dyDescent="0.4"/>
    <row r="10233" s="5" customFormat="1" x14ac:dyDescent="0.4"/>
    <row r="10234" s="5" customFormat="1" x14ac:dyDescent="0.4"/>
    <row r="10235" s="5" customFormat="1" x14ac:dyDescent="0.4"/>
    <row r="10236" s="5" customFormat="1" x14ac:dyDescent="0.4"/>
    <row r="10237" s="5" customFormat="1" x14ac:dyDescent="0.4"/>
    <row r="10238" s="5" customFormat="1" x14ac:dyDescent="0.4"/>
    <row r="10239" s="5" customFormat="1" x14ac:dyDescent="0.4"/>
    <row r="10240" s="5" customFormat="1" x14ac:dyDescent="0.4"/>
    <row r="10241" s="5" customFormat="1" x14ac:dyDescent="0.4"/>
    <row r="10242" s="5" customFormat="1" x14ac:dyDescent="0.4"/>
    <row r="10243" s="5" customFormat="1" x14ac:dyDescent="0.4"/>
    <row r="10244" s="5" customFormat="1" x14ac:dyDescent="0.4"/>
    <row r="10245" s="5" customFormat="1" x14ac:dyDescent="0.4"/>
    <row r="10246" s="5" customFormat="1" x14ac:dyDescent="0.4"/>
    <row r="10247" s="5" customFormat="1" x14ac:dyDescent="0.4"/>
    <row r="10248" s="5" customFormat="1" x14ac:dyDescent="0.4"/>
    <row r="10249" s="5" customFormat="1" x14ac:dyDescent="0.4"/>
    <row r="10250" s="5" customFormat="1" x14ac:dyDescent="0.4"/>
    <row r="10251" s="5" customFormat="1" x14ac:dyDescent="0.4"/>
    <row r="10252" s="5" customFormat="1" x14ac:dyDescent="0.4"/>
    <row r="10253" s="5" customFormat="1" x14ac:dyDescent="0.4"/>
    <row r="10254" s="5" customFormat="1" x14ac:dyDescent="0.4"/>
    <row r="10255" s="5" customFormat="1" x14ac:dyDescent="0.4"/>
    <row r="10256" s="5" customFormat="1" x14ac:dyDescent="0.4"/>
    <row r="10257" s="5" customFormat="1" x14ac:dyDescent="0.4"/>
    <row r="10258" s="5" customFormat="1" x14ac:dyDescent="0.4"/>
    <row r="10259" s="5" customFormat="1" x14ac:dyDescent="0.4"/>
    <row r="10260" s="5" customFormat="1" x14ac:dyDescent="0.4"/>
    <row r="10261" s="5" customFormat="1" x14ac:dyDescent="0.4"/>
    <row r="10262" s="5" customFormat="1" x14ac:dyDescent="0.4"/>
    <row r="10263" s="5" customFormat="1" x14ac:dyDescent="0.4"/>
    <row r="10264" s="5" customFormat="1" x14ac:dyDescent="0.4"/>
    <row r="10265" s="5" customFormat="1" x14ac:dyDescent="0.4"/>
    <row r="10266" s="5" customFormat="1" x14ac:dyDescent="0.4"/>
    <row r="10267" s="5" customFormat="1" x14ac:dyDescent="0.4"/>
    <row r="10268" s="5" customFormat="1" x14ac:dyDescent="0.4"/>
    <row r="10269" s="5" customFormat="1" x14ac:dyDescent="0.4"/>
    <row r="10270" s="5" customFormat="1" x14ac:dyDescent="0.4"/>
    <row r="10271" s="5" customFormat="1" x14ac:dyDescent="0.4"/>
    <row r="10272" s="5" customFormat="1" x14ac:dyDescent="0.4"/>
    <row r="10273" s="5" customFormat="1" x14ac:dyDescent="0.4"/>
    <row r="10274" s="5" customFormat="1" x14ac:dyDescent="0.4"/>
    <row r="10275" s="5" customFormat="1" x14ac:dyDescent="0.4"/>
    <row r="10276" s="5" customFormat="1" x14ac:dyDescent="0.4"/>
    <row r="10277" s="5" customFormat="1" x14ac:dyDescent="0.4"/>
    <row r="10278" s="5" customFormat="1" x14ac:dyDescent="0.4"/>
    <row r="10279" s="5" customFormat="1" x14ac:dyDescent="0.4"/>
    <row r="10280" s="5" customFormat="1" x14ac:dyDescent="0.4"/>
    <row r="10281" s="5" customFormat="1" x14ac:dyDescent="0.4"/>
    <row r="10282" s="5" customFormat="1" x14ac:dyDescent="0.4"/>
    <row r="10283" s="5" customFormat="1" x14ac:dyDescent="0.4"/>
    <row r="10284" s="5" customFormat="1" x14ac:dyDescent="0.4"/>
    <row r="10285" s="5" customFormat="1" x14ac:dyDescent="0.4"/>
    <row r="10286" s="5" customFormat="1" x14ac:dyDescent="0.4"/>
    <row r="10287" s="5" customFormat="1" x14ac:dyDescent="0.4"/>
    <row r="10288" s="5" customFormat="1" x14ac:dyDescent="0.4"/>
    <row r="10289" s="5" customFormat="1" x14ac:dyDescent="0.4"/>
    <row r="10290" s="5" customFormat="1" x14ac:dyDescent="0.4"/>
    <row r="10291" s="5" customFormat="1" x14ac:dyDescent="0.4"/>
    <row r="10292" s="5" customFormat="1" x14ac:dyDescent="0.4"/>
    <row r="10293" s="5" customFormat="1" x14ac:dyDescent="0.4"/>
    <row r="10294" s="5" customFormat="1" x14ac:dyDescent="0.4"/>
    <row r="10295" s="5" customFormat="1" x14ac:dyDescent="0.4"/>
    <row r="10296" s="5" customFormat="1" x14ac:dyDescent="0.4"/>
    <row r="10297" s="5" customFormat="1" x14ac:dyDescent="0.4"/>
    <row r="10298" s="5" customFormat="1" x14ac:dyDescent="0.4"/>
    <row r="10299" s="5" customFormat="1" x14ac:dyDescent="0.4"/>
    <row r="10300" s="5" customFormat="1" x14ac:dyDescent="0.4"/>
    <row r="10301" s="5" customFormat="1" x14ac:dyDescent="0.4"/>
    <row r="10302" s="5" customFormat="1" x14ac:dyDescent="0.4"/>
    <row r="10303" s="5" customFormat="1" x14ac:dyDescent="0.4"/>
    <row r="10304" s="5" customFormat="1" x14ac:dyDescent="0.4"/>
    <row r="10305" s="5" customFormat="1" x14ac:dyDescent="0.4"/>
    <row r="10306" s="5" customFormat="1" x14ac:dyDescent="0.4"/>
    <row r="10307" s="5" customFormat="1" x14ac:dyDescent="0.4"/>
    <row r="10308" s="5" customFormat="1" x14ac:dyDescent="0.4"/>
    <row r="10309" s="5" customFormat="1" x14ac:dyDescent="0.4"/>
    <row r="10310" s="5" customFormat="1" x14ac:dyDescent="0.4"/>
    <row r="10311" s="5" customFormat="1" x14ac:dyDescent="0.4"/>
    <row r="10312" s="5" customFormat="1" x14ac:dyDescent="0.4"/>
    <row r="10313" s="5" customFormat="1" x14ac:dyDescent="0.4"/>
    <row r="10314" s="5" customFormat="1" x14ac:dyDescent="0.4"/>
    <row r="10315" s="5" customFormat="1" x14ac:dyDescent="0.4"/>
    <row r="10316" s="5" customFormat="1" x14ac:dyDescent="0.4"/>
    <row r="10317" s="5" customFormat="1" x14ac:dyDescent="0.4"/>
    <row r="10318" s="5" customFormat="1" x14ac:dyDescent="0.4"/>
    <row r="10319" s="5" customFormat="1" x14ac:dyDescent="0.4"/>
    <row r="10320" s="5" customFormat="1" x14ac:dyDescent="0.4"/>
    <row r="10321" s="5" customFormat="1" x14ac:dyDescent="0.4"/>
    <row r="10322" s="5" customFormat="1" x14ac:dyDescent="0.4"/>
    <row r="10323" s="5" customFormat="1" x14ac:dyDescent="0.4"/>
    <row r="10324" s="5" customFormat="1" x14ac:dyDescent="0.4"/>
    <row r="10325" s="5" customFormat="1" x14ac:dyDescent="0.4"/>
    <row r="10326" s="5" customFormat="1" x14ac:dyDescent="0.4"/>
    <row r="10327" s="5" customFormat="1" x14ac:dyDescent="0.4"/>
    <row r="10328" s="5" customFormat="1" x14ac:dyDescent="0.4"/>
    <row r="10329" s="5" customFormat="1" x14ac:dyDescent="0.4"/>
    <row r="10330" s="5" customFormat="1" x14ac:dyDescent="0.4"/>
    <row r="10331" s="5" customFormat="1" x14ac:dyDescent="0.4"/>
    <row r="10332" s="5" customFormat="1" x14ac:dyDescent="0.4"/>
    <row r="10333" s="5" customFormat="1" x14ac:dyDescent="0.4"/>
    <row r="10334" s="5" customFormat="1" x14ac:dyDescent="0.4"/>
    <row r="10335" s="5" customFormat="1" x14ac:dyDescent="0.4"/>
    <row r="10336" s="5" customFormat="1" x14ac:dyDescent="0.4"/>
    <row r="10337" s="5" customFormat="1" x14ac:dyDescent="0.4"/>
    <row r="10338" s="5" customFormat="1" x14ac:dyDescent="0.4"/>
    <row r="10339" s="5" customFormat="1" x14ac:dyDescent="0.4"/>
    <row r="10340" s="5" customFormat="1" x14ac:dyDescent="0.4"/>
    <row r="10341" s="5" customFormat="1" x14ac:dyDescent="0.4"/>
    <row r="10342" s="5" customFormat="1" x14ac:dyDescent="0.4"/>
    <row r="10343" s="5" customFormat="1" x14ac:dyDescent="0.4"/>
    <row r="10344" s="5" customFormat="1" x14ac:dyDescent="0.4"/>
    <row r="10345" s="5" customFormat="1" x14ac:dyDescent="0.4"/>
    <row r="10346" s="5" customFormat="1" x14ac:dyDescent="0.4"/>
    <row r="10347" s="5" customFormat="1" x14ac:dyDescent="0.4"/>
    <row r="10348" s="5" customFormat="1" x14ac:dyDescent="0.4"/>
    <row r="10349" s="5" customFormat="1" x14ac:dyDescent="0.4"/>
    <row r="10350" s="5" customFormat="1" x14ac:dyDescent="0.4"/>
    <row r="10351" s="5" customFormat="1" x14ac:dyDescent="0.4"/>
    <row r="10352" s="5" customFormat="1" x14ac:dyDescent="0.4"/>
    <row r="10353" s="5" customFormat="1" x14ac:dyDescent="0.4"/>
    <row r="10354" s="5" customFormat="1" x14ac:dyDescent="0.4"/>
    <row r="10355" s="5" customFormat="1" x14ac:dyDescent="0.4"/>
    <row r="10356" s="5" customFormat="1" x14ac:dyDescent="0.4"/>
    <row r="10357" s="5" customFormat="1" x14ac:dyDescent="0.4"/>
    <row r="10358" s="5" customFormat="1" x14ac:dyDescent="0.4"/>
    <row r="10359" s="5" customFormat="1" x14ac:dyDescent="0.4"/>
    <row r="10360" s="5" customFormat="1" x14ac:dyDescent="0.4"/>
    <row r="10361" s="5" customFormat="1" x14ac:dyDescent="0.4"/>
    <row r="10362" s="5" customFormat="1" x14ac:dyDescent="0.4"/>
    <row r="10363" s="5" customFormat="1" x14ac:dyDescent="0.4"/>
    <row r="10364" s="5" customFormat="1" x14ac:dyDescent="0.4"/>
    <row r="10365" s="5" customFormat="1" x14ac:dyDescent="0.4"/>
    <row r="10366" s="5" customFormat="1" x14ac:dyDescent="0.4"/>
    <row r="10367" s="5" customFormat="1" x14ac:dyDescent="0.4"/>
    <row r="10368" s="5" customFormat="1" x14ac:dyDescent="0.4"/>
    <row r="10369" s="5" customFormat="1" x14ac:dyDescent="0.4"/>
    <row r="10370" s="5" customFormat="1" x14ac:dyDescent="0.4"/>
    <row r="10371" s="5" customFormat="1" x14ac:dyDescent="0.4"/>
    <row r="10372" s="5" customFormat="1" x14ac:dyDescent="0.4"/>
    <row r="10373" s="5" customFormat="1" x14ac:dyDescent="0.4"/>
    <row r="10374" s="5" customFormat="1" x14ac:dyDescent="0.4"/>
    <row r="10375" s="5" customFormat="1" x14ac:dyDescent="0.4"/>
    <row r="10376" s="5" customFormat="1" x14ac:dyDescent="0.4"/>
    <row r="10377" s="5" customFormat="1" x14ac:dyDescent="0.4"/>
    <row r="10378" s="5" customFormat="1" x14ac:dyDescent="0.4"/>
    <row r="10379" s="5" customFormat="1" x14ac:dyDescent="0.4"/>
    <row r="10380" s="5" customFormat="1" x14ac:dyDescent="0.4"/>
    <row r="10381" s="5" customFormat="1" x14ac:dyDescent="0.4"/>
    <row r="10382" s="5" customFormat="1" x14ac:dyDescent="0.4"/>
    <row r="10383" s="5" customFormat="1" x14ac:dyDescent="0.4"/>
    <row r="10384" s="5" customFormat="1" x14ac:dyDescent="0.4"/>
    <row r="10385" s="5" customFormat="1" x14ac:dyDescent="0.4"/>
    <row r="10386" s="5" customFormat="1" x14ac:dyDescent="0.4"/>
    <row r="10387" s="5" customFormat="1" x14ac:dyDescent="0.4"/>
    <row r="10388" s="5" customFormat="1" x14ac:dyDescent="0.4"/>
    <row r="10389" s="5" customFormat="1" x14ac:dyDescent="0.4"/>
    <row r="10390" s="5" customFormat="1" x14ac:dyDescent="0.4"/>
    <row r="10391" s="5" customFormat="1" x14ac:dyDescent="0.4"/>
    <row r="10392" s="5" customFormat="1" x14ac:dyDescent="0.4"/>
    <row r="10393" s="5" customFormat="1" x14ac:dyDescent="0.4"/>
    <row r="10394" s="5" customFormat="1" x14ac:dyDescent="0.4"/>
    <row r="10395" s="5" customFormat="1" x14ac:dyDescent="0.4"/>
    <row r="10396" s="5" customFormat="1" x14ac:dyDescent="0.4"/>
    <row r="10397" s="5" customFormat="1" x14ac:dyDescent="0.4"/>
    <row r="10398" s="5" customFormat="1" x14ac:dyDescent="0.4"/>
    <row r="10399" s="5" customFormat="1" x14ac:dyDescent="0.4"/>
    <row r="10400" s="5" customFormat="1" x14ac:dyDescent="0.4"/>
    <row r="10401" s="5" customFormat="1" x14ac:dyDescent="0.4"/>
    <row r="10402" s="5" customFormat="1" x14ac:dyDescent="0.4"/>
    <row r="10403" s="5" customFormat="1" x14ac:dyDescent="0.4"/>
    <row r="10404" s="5" customFormat="1" x14ac:dyDescent="0.4"/>
    <row r="10405" s="5" customFormat="1" x14ac:dyDescent="0.4"/>
    <row r="10406" s="5" customFormat="1" x14ac:dyDescent="0.4"/>
    <row r="10407" s="5" customFormat="1" x14ac:dyDescent="0.4"/>
    <row r="10408" s="5" customFormat="1" x14ac:dyDescent="0.4"/>
    <row r="10409" s="5" customFormat="1" x14ac:dyDescent="0.4"/>
    <row r="10410" s="5" customFormat="1" x14ac:dyDescent="0.4"/>
    <row r="10411" s="5" customFormat="1" x14ac:dyDescent="0.4"/>
    <row r="10412" s="5" customFormat="1" x14ac:dyDescent="0.4"/>
    <row r="10413" s="5" customFormat="1" x14ac:dyDescent="0.4"/>
    <row r="10414" s="5" customFormat="1" x14ac:dyDescent="0.4"/>
    <row r="10415" s="5" customFormat="1" x14ac:dyDescent="0.4"/>
    <row r="10416" s="5" customFormat="1" x14ac:dyDescent="0.4"/>
    <row r="10417" s="5" customFormat="1" x14ac:dyDescent="0.4"/>
    <row r="10418" s="5" customFormat="1" x14ac:dyDescent="0.4"/>
    <row r="10419" s="5" customFormat="1" x14ac:dyDescent="0.4"/>
    <row r="10420" s="5" customFormat="1" x14ac:dyDescent="0.4"/>
    <row r="10421" s="5" customFormat="1" x14ac:dyDescent="0.4"/>
    <row r="10422" s="5" customFormat="1" x14ac:dyDescent="0.4"/>
    <row r="10423" s="5" customFormat="1" x14ac:dyDescent="0.4"/>
    <row r="10424" s="5" customFormat="1" x14ac:dyDescent="0.4"/>
    <row r="10425" s="5" customFormat="1" x14ac:dyDescent="0.4"/>
    <row r="10426" s="5" customFormat="1" x14ac:dyDescent="0.4"/>
    <row r="10427" s="5" customFormat="1" x14ac:dyDescent="0.4"/>
    <row r="10428" s="5" customFormat="1" x14ac:dyDescent="0.4"/>
    <row r="10429" s="5" customFormat="1" x14ac:dyDescent="0.4"/>
    <row r="10430" s="5" customFormat="1" x14ac:dyDescent="0.4"/>
    <row r="10431" s="5" customFormat="1" x14ac:dyDescent="0.4"/>
    <row r="10432" s="5" customFormat="1" x14ac:dyDescent="0.4"/>
    <row r="10433" s="5" customFormat="1" x14ac:dyDescent="0.4"/>
    <row r="10434" s="5" customFormat="1" x14ac:dyDescent="0.4"/>
    <row r="10435" s="5" customFormat="1" x14ac:dyDescent="0.4"/>
    <row r="10436" s="5" customFormat="1" x14ac:dyDescent="0.4"/>
    <row r="10437" s="5" customFormat="1" x14ac:dyDescent="0.4"/>
    <row r="10438" s="5" customFormat="1" x14ac:dyDescent="0.4"/>
    <row r="10439" s="5" customFormat="1" x14ac:dyDescent="0.4"/>
    <row r="10440" s="5" customFormat="1" x14ac:dyDescent="0.4"/>
    <row r="10441" s="5" customFormat="1" x14ac:dyDescent="0.4"/>
    <row r="10442" s="5" customFormat="1" x14ac:dyDescent="0.4"/>
    <row r="10443" s="5" customFormat="1" x14ac:dyDescent="0.4"/>
    <row r="10444" s="5" customFormat="1" x14ac:dyDescent="0.4"/>
    <row r="10445" s="5" customFormat="1" x14ac:dyDescent="0.4"/>
    <row r="10446" s="5" customFormat="1" x14ac:dyDescent="0.4"/>
    <row r="10447" s="5" customFormat="1" x14ac:dyDescent="0.4"/>
    <row r="10448" s="5" customFormat="1" x14ac:dyDescent="0.4"/>
    <row r="10449" s="5" customFormat="1" x14ac:dyDescent="0.4"/>
    <row r="10450" s="5" customFormat="1" x14ac:dyDescent="0.4"/>
    <row r="10451" s="5" customFormat="1" x14ac:dyDescent="0.4"/>
    <row r="10452" s="5" customFormat="1" x14ac:dyDescent="0.4"/>
    <row r="10453" s="5" customFormat="1" x14ac:dyDescent="0.4"/>
    <row r="10454" s="5" customFormat="1" x14ac:dyDescent="0.4"/>
    <row r="10455" s="5" customFormat="1" x14ac:dyDescent="0.4"/>
    <row r="10456" s="5" customFormat="1" x14ac:dyDescent="0.4"/>
    <row r="10457" s="5" customFormat="1" x14ac:dyDescent="0.4"/>
    <row r="10458" s="5" customFormat="1" x14ac:dyDescent="0.4"/>
    <row r="10459" s="5" customFormat="1" x14ac:dyDescent="0.4"/>
    <row r="10460" s="5" customFormat="1" x14ac:dyDescent="0.4"/>
    <row r="10461" s="5" customFormat="1" x14ac:dyDescent="0.4"/>
    <row r="10462" s="5" customFormat="1" x14ac:dyDescent="0.4"/>
    <row r="10463" s="5" customFormat="1" x14ac:dyDescent="0.4"/>
    <row r="10464" s="5" customFormat="1" x14ac:dyDescent="0.4"/>
    <row r="10465" s="5" customFormat="1" x14ac:dyDescent="0.4"/>
    <row r="10466" s="5" customFormat="1" x14ac:dyDescent="0.4"/>
    <row r="10467" s="5" customFormat="1" x14ac:dyDescent="0.4"/>
    <row r="10468" s="5" customFormat="1" x14ac:dyDescent="0.4"/>
    <row r="10469" s="5" customFormat="1" x14ac:dyDescent="0.4"/>
    <row r="10470" s="5" customFormat="1" x14ac:dyDescent="0.4"/>
    <row r="10471" s="5" customFormat="1" x14ac:dyDescent="0.4"/>
    <row r="10472" s="5" customFormat="1" x14ac:dyDescent="0.4"/>
    <row r="10473" s="5" customFormat="1" x14ac:dyDescent="0.4"/>
    <row r="10474" s="5" customFormat="1" x14ac:dyDescent="0.4"/>
    <row r="10475" s="5" customFormat="1" x14ac:dyDescent="0.4"/>
    <row r="10476" s="5" customFormat="1" x14ac:dyDescent="0.4"/>
    <row r="10477" s="5" customFormat="1" x14ac:dyDescent="0.4"/>
    <row r="10478" s="5" customFormat="1" x14ac:dyDescent="0.4"/>
    <row r="10479" s="5" customFormat="1" x14ac:dyDescent="0.4"/>
    <row r="10480" s="5" customFormat="1" x14ac:dyDescent="0.4"/>
    <row r="10481" s="5" customFormat="1" x14ac:dyDescent="0.4"/>
    <row r="10482" s="5" customFormat="1" x14ac:dyDescent="0.4"/>
    <row r="10483" s="5" customFormat="1" x14ac:dyDescent="0.4"/>
    <row r="10484" s="5" customFormat="1" x14ac:dyDescent="0.4"/>
    <row r="10485" s="5" customFormat="1" x14ac:dyDescent="0.4"/>
    <row r="10486" s="5" customFormat="1" x14ac:dyDescent="0.4"/>
    <row r="10487" s="5" customFormat="1" x14ac:dyDescent="0.4"/>
    <row r="10488" s="5" customFormat="1" x14ac:dyDescent="0.4"/>
    <row r="10489" s="5" customFormat="1" x14ac:dyDescent="0.4"/>
    <row r="10490" s="5" customFormat="1" x14ac:dyDescent="0.4"/>
    <row r="10491" s="5" customFormat="1" x14ac:dyDescent="0.4"/>
    <row r="10492" s="5" customFormat="1" x14ac:dyDescent="0.4"/>
    <row r="10493" s="5" customFormat="1" x14ac:dyDescent="0.4"/>
    <row r="10494" s="5" customFormat="1" x14ac:dyDescent="0.4"/>
    <row r="10495" s="5" customFormat="1" x14ac:dyDescent="0.4"/>
    <row r="10496" s="5" customFormat="1" x14ac:dyDescent="0.4"/>
    <row r="10497" s="5" customFormat="1" x14ac:dyDescent="0.4"/>
    <row r="10498" s="5" customFormat="1" x14ac:dyDescent="0.4"/>
    <row r="10499" s="5" customFormat="1" x14ac:dyDescent="0.4"/>
    <row r="10500" s="5" customFormat="1" x14ac:dyDescent="0.4"/>
    <row r="10501" s="5" customFormat="1" x14ac:dyDescent="0.4"/>
    <row r="10502" s="5" customFormat="1" x14ac:dyDescent="0.4"/>
    <row r="10503" s="5" customFormat="1" x14ac:dyDescent="0.4"/>
    <row r="10504" s="5" customFormat="1" x14ac:dyDescent="0.4"/>
    <row r="10505" s="5" customFormat="1" x14ac:dyDescent="0.4"/>
    <row r="10506" s="5" customFormat="1" x14ac:dyDescent="0.4"/>
    <row r="10507" s="5" customFormat="1" x14ac:dyDescent="0.4"/>
    <row r="10508" s="5" customFormat="1" x14ac:dyDescent="0.4"/>
    <row r="10509" s="5" customFormat="1" x14ac:dyDescent="0.4"/>
    <row r="10510" s="5" customFormat="1" x14ac:dyDescent="0.4"/>
    <row r="10511" s="5" customFormat="1" x14ac:dyDescent="0.4"/>
    <row r="10512" s="5" customFormat="1" x14ac:dyDescent="0.4"/>
    <row r="10513" s="5" customFormat="1" x14ac:dyDescent="0.4"/>
    <row r="10514" s="5" customFormat="1" x14ac:dyDescent="0.4"/>
    <row r="10515" s="5" customFormat="1" x14ac:dyDescent="0.4"/>
    <row r="10516" s="5" customFormat="1" x14ac:dyDescent="0.4"/>
    <row r="10517" s="5" customFormat="1" x14ac:dyDescent="0.4"/>
    <row r="10518" s="5" customFormat="1" x14ac:dyDescent="0.4"/>
    <row r="10519" s="5" customFormat="1" x14ac:dyDescent="0.4"/>
    <row r="10520" s="5" customFormat="1" x14ac:dyDescent="0.4"/>
    <row r="10521" s="5" customFormat="1" x14ac:dyDescent="0.4"/>
    <row r="10522" s="5" customFormat="1" x14ac:dyDescent="0.4"/>
    <row r="10523" s="5" customFormat="1" x14ac:dyDescent="0.4"/>
    <row r="10524" s="5" customFormat="1" x14ac:dyDescent="0.4"/>
    <row r="10525" s="5" customFormat="1" x14ac:dyDescent="0.4"/>
    <row r="10526" s="5" customFormat="1" x14ac:dyDescent="0.4"/>
    <row r="10527" s="5" customFormat="1" x14ac:dyDescent="0.4"/>
    <row r="10528" s="5" customFormat="1" x14ac:dyDescent="0.4"/>
    <row r="10529" s="5" customFormat="1" x14ac:dyDescent="0.4"/>
    <row r="10530" s="5" customFormat="1" x14ac:dyDescent="0.4"/>
    <row r="10531" s="5" customFormat="1" x14ac:dyDescent="0.4"/>
    <row r="10532" s="5" customFormat="1" x14ac:dyDescent="0.4"/>
    <row r="10533" s="5" customFormat="1" x14ac:dyDescent="0.4"/>
    <row r="10534" s="5" customFormat="1" x14ac:dyDescent="0.4"/>
    <row r="10535" s="5" customFormat="1" x14ac:dyDescent="0.4"/>
    <row r="10536" s="5" customFormat="1" x14ac:dyDescent="0.4"/>
    <row r="10537" s="5" customFormat="1" x14ac:dyDescent="0.4"/>
    <row r="10538" s="5" customFormat="1" x14ac:dyDescent="0.4"/>
    <row r="10539" s="5" customFormat="1" x14ac:dyDescent="0.4"/>
    <row r="10540" s="5" customFormat="1" x14ac:dyDescent="0.4"/>
    <row r="10541" s="5" customFormat="1" x14ac:dyDescent="0.4"/>
    <row r="10542" s="5" customFormat="1" x14ac:dyDescent="0.4"/>
    <row r="10543" s="5" customFormat="1" x14ac:dyDescent="0.4"/>
    <row r="10544" s="5" customFormat="1" x14ac:dyDescent="0.4"/>
    <row r="10545" s="5" customFormat="1" x14ac:dyDescent="0.4"/>
    <row r="10546" s="5" customFormat="1" x14ac:dyDescent="0.4"/>
    <row r="10547" s="5" customFormat="1" x14ac:dyDescent="0.4"/>
    <row r="10548" s="5" customFormat="1" x14ac:dyDescent="0.4"/>
    <row r="10549" s="5" customFormat="1" x14ac:dyDescent="0.4"/>
    <row r="10550" s="5" customFormat="1" x14ac:dyDescent="0.4"/>
    <row r="10551" s="5" customFormat="1" x14ac:dyDescent="0.4"/>
    <row r="10552" s="5" customFormat="1" x14ac:dyDescent="0.4"/>
    <row r="10553" s="5" customFormat="1" x14ac:dyDescent="0.4"/>
    <row r="10554" s="5" customFormat="1" x14ac:dyDescent="0.4"/>
    <row r="10555" s="5" customFormat="1" x14ac:dyDescent="0.4"/>
    <row r="10556" s="5" customFormat="1" x14ac:dyDescent="0.4"/>
    <row r="10557" s="5" customFormat="1" x14ac:dyDescent="0.4"/>
    <row r="10558" s="5" customFormat="1" x14ac:dyDescent="0.4"/>
    <row r="10559" s="5" customFormat="1" x14ac:dyDescent="0.4"/>
    <row r="10560" s="5" customFormat="1" x14ac:dyDescent="0.4"/>
    <row r="10561" s="5" customFormat="1" x14ac:dyDescent="0.4"/>
    <row r="10562" s="5" customFormat="1" x14ac:dyDescent="0.4"/>
    <row r="10563" s="5" customFormat="1" x14ac:dyDescent="0.4"/>
    <row r="10564" s="5" customFormat="1" x14ac:dyDescent="0.4"/>
    <row r="10565" s="5" customFormat="1" x14ac:dyDescent="0.4"/>
    <row r="10566" s="5" customFormat="1" x14ac:dyDescent="0.4"/>
    <row r="10567" s="5" customFormat="1" x14ac:dyDescent="0.4"/>
    <row r="10568" s="5" customFormat="1" x14ac:dyDescent="0.4"/>
    <row r="10569" s="5" customFormat="1" x14ac:dyDescent="0.4"/>
    <row r="10570" s="5" customFormat="1" x14ac:dyDescent="0.4"/>
    <row r="10571" s="5" customFormat="1" x14ac:dyDescent="0.4"/>
    <row r="10572" s="5" customFormat="1" x14ac:dyDescent="0.4"/>
    <row r="10573" s="5" customFormat="1" x14ac:dyDescent="0.4"/>
    <row r="10574" s="5" customFormat="1" x14ac:dyDescent="0.4"/>
    <row r="10575" s="5" customFormat="1" x14ac:dyDescent="0.4"/>
    <row r="10576" s="5" customFormat="1" x14ac:dyDescent="0.4"/>
    <row r="10577" s="5" customFormat="1" x14ac:dyDescent="0.4"/>
    <row r="10578" s="5" customFormat="1" x14ac:dyDescent="0.4"/>
    <row r="10579" s="5" customFormat="1" x14ac:dyDescent="0.4"/>
    <row r="10580" s="5" customFormat="1" x14ac:dyDescent="0.4"/>
    <row r="10581" s="5" customFormat="1" x14ac:dyDescent="0.4"/>
    <row r="10582" s="5" customFormat="1" x14ac:dyDescent="0.4"/>
    <row r="10583" s="5" customFormat="1" x14ac:dyDescent="0.4"/>
    <row r="10584" s="5" customFormat="1" x14ac:dyDescent="0.4"/>
    <row r="10585" s="5" customFormat="1" x14ac:dyDescent="0.4"/>
    <row r="10586" s="5" customFormat="1" x14ac:dyDescent="0.4"/>
    <row r="10587" s="5" customFormat="1" x14ac:dyDescent="0.4"/>
    <row r="10588" s="5" customFormat="1" x14ac:dyDescent="0.4"/>
    <row r="10589" s="5" customFormat="1" x14ac:dyDescent="0.4"/>
    <row r="10590" s="5" customFormat="1" x14ac:dyDescent="0.4"/>
    <row r="10591" s="5" customFormat="1" x14ac:dyDescent="0.4"/>
    <row r="10592" s="5" customFormat="1" x14ac:dyDescent="0.4"/>
    <row r="10593" s="5" customFormat="1" x14ac:dyDescent="0.4"/>
    <row r="10594" s="5" customFormat="1" x14ac:dyDescent="0.4"/>
    <row r="10595" s="5" customFormat="1" x14ac:dyDescent="0.4"/>
    <row r="10596" s="5" customFormat="1" x14ac:dyDescent="0.4"/>
    <row r="10597" s="5" customFormat="1" x14ac:dyDescent="0.4"/>
    <row r="10598" s="5" customFormat="1" x14ac:dyDescent="0.4"/>
    <row r="10599" s="5" customFormat="1" x14ac:dyDescent="0.4"/>
    <row r="10600" s="5" customFormat="1" x14ac:dyDescent="0.4"/>
    <row r="10601" s="5" customFormat="1" x14ac:dyDescent="0.4"/>
    <row r="10602" s="5" customFormat="1" x14ac:dyDescent="0.4"/>
    <row r="10603" s="5" customFormat="1" x14ac:dyDescent="0.4"/>
    <row r="10604" s="5" customFormat="1" x14ac:dyDescent="0.4"/>
    <row r="10605" s="5" customFormat="1" x14ac:dyDescent="0.4"/>
    <row r="10606" s="5" customFormat="1" x14ac:dyDescent="0.4"/>
    <row r="10607" s="5" customFormat="1" x14ac:dyDescent="0.4"/>
    <row r="10608" s="5" customFormat="1" x14ac:dyDescent="0.4"/>
    <row r="10609" s="5" customFormat="1" x14ac:dyDescent="0.4"/>
    <row r="10610" s="5" customFormat="1" x14ac:dyDescent="0.4"/>
    <row r="10611" s="5" customFormat="1" x14ac:dyDescent="0.4"/>
    <row r="10612" s="5" customFormat="1" x14ac:dyDescent="0.4"/>
    <row r="10613" s="5" customFormat="1" x14ac:dyDescent="0.4"/>
    <row r="10614" s="5" customFormat="1" x14ac:dyDescent="0.4"/>
    <row r="10615" s="5" customFormat="1" x14ac:dyDescent="0.4"/>
    <row r="10616" s="5" customFormat="1" x14ac:dyDescent="0.4"/>
    <row r="10617" s="5" customFormat="1" x14ac:dyDescent="0.4"/>
    <row r="10618" s="5" customFormat="1" x14ac:dyDescent="0.4"/>
    <row r="10619" s="5" customFormat="1" x14ac:dyDescent="0.4"/>
    <row r="10620" s="5" customFormat="1" x14ac:dyDescent="0.4"/>
    <row r="10621" s="5" customFormat="1" x14ac:dyDescent="0.4"/>
    <row r="10622" s="5" customFormat="1" x14ac:dyDescent="0.4"/>
    <row r="10623" s="5" customFormat="1" x14ac:dyDescent="0.4"/>
    <row r="10624" s="5" customFormat="1" x14ac:dyDescent="0.4"/>
    <row r="10625" s="5" customFormat="1" x14ac:dyDescent="0.4"/>
    <row r="10626" s="5" customFormat="1" x14ac:dyDescent="0.4"/>
    <row r="10627" s="5" customFormat="1" x14ac:dyDescent="0.4"/>
    <row r="10628" s="5" customFormat="1" x14ac:dyDescent="0.4"/>
    <row r="10629" s="5" customFormat="1" x14ac:dyDescent="0.4"/>
    <row r="10630" s="5" customFormat="1" x14ac:dyDescent="0.4"/>
    <row r="10631" s="5" customFormat="1" x14ac:dyDescent="0.4"/>
    <row r="10632" s="5" customFormat="1" x14ac:dyDescent="0.4"/>
    <row r="10633" s="5" customFormat="1" x14ac:dyDescent="0.4"/>
    <row r="10634" s="5" customFormat="1" x14ac:dyDescent="0.4"/>
    <row r="10635" s="5" customFormat="1" x14ac:dyDescent="0.4"/>
    <row r="10636" s="5" customFormat="1" x14ac:dyDescent="0.4"/>
    <row r="10637" s="5" customFormat="1" x14ac:dyDescent="0.4"/>
    <row r="10638" s="5" customFormat="1" x14ac:dyDescent="0.4"/>
    <row r="10639" s="5" customFormat="1" x14ac:dyDescent="0.4"/>
    <row r="10640" s="5" customFormat="1" x14ac:dyDescent="0.4"/>
    <row r="10641" s="5" customFormat="1" x14ac:dyDescent="0.4"/>
    <row r="10642" s="5" customFormat="1" x14ac:dyDescent="0.4"/>
    <row r="10643" s="5" customFormat="1" x14ac:dyDescent="0.4"/>
    <row r="10644" s="5" customFormat="1" x14ac:dyDescent="0.4"/>
    <row r="10645" s="5" customFormat="1" x14ac:dyDescent="0.4"/>
    <row r="10646" s="5" customFormat="1" x14ac:dyDescent="0.4"/>
    <row r="10647" s="5" customFormat="1" x14ac:dyDescent="0.4"/>
    <row r="10648" s="5" customFormat="1" x14ac:dyDescent="0.4"/>
    <row r="10649" s="5" customFormat="1" x14ac:dyDescent="0.4"/>
    <row r="10650" s="5" customFormat="1" x14ac:dyDescent="0.4"/>
    <row r="10651" s="5" customFormat="1" x14ac:dyDescent="0.4"/>
    <row r="10652" s="5" customFormat="1" x14ac:dyDescent="0.4"/>
    <row r="10653" s="5" customFormat="1" x14ac:dyDescent="0.4"/>
    <row r="10654" s="5" customFormat="1" x14ac:dyDescent="0.4"/>
    <row r="10655" s="5" customFormat="1" x14ac:dyDescent="0.4"/>
    <row r="10656" s="5" customFormat="1" x14ac:dyDescent="0.4"/>
    <row r="10657" s="5" customFormat="1" x14ac:dyDescent="0.4"/>
    <row r="10658" s="5" customFormat="1" x14ac:dyDescent="0.4"/>
    <row r="10659" s="5" customFormat="1" x14ac:dyDescent="0.4"/>
    <row r="10660" s="5" customFormat="1" x14ac:dyDescent="0.4"/>
    <row r="10661" s="5" customFormat="1" x14ac:dyDescent="0.4"/>
    <row r="10662" s="5" customFormat="1" x14ac:dyDescent="0.4"/>
    <row r="10663" s="5" customFormat="1" x14ac:dyDescent="0.4"/>
    <row r="10664" s="5" customFormat="1" x14ac:dyDescent="0.4"/>
    <row r="10665" s="5" customFormat="1" x14ac:dyDescent="0.4"/>
    <row r="10666" s="5" customFormat="1" x14ac:dyDescent="0.4"/>
    <row r="10667" s="5" customFormat="1" x14ac:dyDescent="0.4"/>
    <row r="10668" s="5" customFormat="1" x14ac:dyDescent="0.4"/>
    <row r="10669" s="5" customFormat="1" x14ac:dyDescent="0.4"/>
    <row r="10670" s="5" customFormat="1" x14ac:dyDescent="0.4"/>
    <row r="10671" s="5" customFormat="1" x14ac:dyDescent="0.4"/>
    <row r="10672" s="5" customFormat="1" x14ac:dyDescent="0.4"/>
    <row r="10673" s="5" customFormat="1" x14ac:dyDescent="0.4"/>
    <row r="10674" s="5" customFormat="1" x14ac:dyDescent="0.4"/>
    <row r="10675" s="5" customFormat="1" x14ac:dyDescent="0.4"/>
    <row r="10676" s="5" customFormat="1" x14ac:dyDescent="0.4"/>
    <row r="10677" s="5" customFormat="1" x14ac:dyDescent="0.4"/>
    <row r="10678" s="5" customFormat="1" x14ac:dyDescent="0.4"/>
    <row r="10679" s="5" customFormat="1" x14ac:dyDescent="0.4"/>
    <row r="10680" s="5" customFormat="1" x14ac:dyDescent="0.4"/>
    <row r="10681" s="5" customFormat="1" x14ac:dyDescent="0.4"/>
    <row r="10682" s="5" customFormat="1" x14ac:dyDescent="0.4"/>
    <row r="10683" s="5" customFormat="1" x14ac:dyDescent="0.4"/>
    <row r="10684" s="5" customFormat="1" x14ac:dyDescent="0.4"/>
    <row r="10685" s="5" customFormat="1" x14ac:dyDescent="0.4"/>
    <row r="10686" s="5" customFormat="1" x14ac:dyDescent="0.4"/>
    <row r="10687" s="5" customFormat="1" x14ac:dyDescent="0.4"/>
    <row r="10688" s="5" customFormat="1" x14ac:dyDescent="0.4"/>
    <row r="10689" s="5" customFormat="1" x14ac:dyDescent="0.4"/>
    <row r="10690" s="5" customFormat="1" x14ac:dyDescent="0.4"/>
    <row r="10691" s="5" customFormat="1" x14ac:dyDescent="0.4"/>
    <row r="10692" s="5" customFormat="1" x14ac:dyDescent="0.4"/>
    <row r="10693" s="5" customFormat="1" x14ac:dyDescent="0.4"/>
    <row r="10694" s="5" customFormat="1" x14ac:dyDescent="0.4"/>
    <row r="10695" s="5" customFormat="1" x14ac:dyDescent="0.4"/>
    <row r="10696" s="5" customFormat="1" x14ac:dyDescent="0.4"/>
    <row r="10697" s="5" customFormat="1" x14ac:dyDescent="0.4"/>
    <row r="10698" s="5" customFormat="1" x14ac:dyDescent="0.4"/>
    <row r="10699" s="5" customFormat="1" x14ac:dyDescent="0.4"/>
    <row r="10700" s="5" customFormat="1" x14ac:dyDescent="0.4"/>
    <row r="10701" s="5" customFormat="1" x14ac:dyDescent="0.4"/>
    <row r="10702" s="5" customFormat="1" x14ac:dyDescent="0.4"/>
    <row r="10703" s="5" customFormat="1" x14ac:dyDescent="0.4"/>
    <row r="10704" s="5" customFormat="1" x14ac:dyDescent="0.4"/>
    <row r="10705" s="5" customFormat="1" x14ac:dyDescent="0.4"/>
    <row r="10706" s="5" customFormat="1" x14ac:dyDescent="0.4"/>
    <row r="10707" s="5" customFormat="1" x14ac:dyDescent="0.4"/>
    <row r="10708" s="5" customFormat="1" x14ac:dyDescent="0.4"/>
    <row r="10709" s="5" customFormat="1" x14ac:dyDescent="0.4"/>
    <row r="10710" s="5" customFormat="1" x14ac:dyDescent="0.4"/>
    <row r="10711" s="5" customFormat="1" x14ac:dyDescent="0.4"/>
    <row r="10712" s="5" customFormat="1" x14ac:dyDescent="0.4"/>
    <row r="10713" s="5" customFormat="1" x14ac:dyDescent="0.4"/>
    <row r="10714" s="5" customFormat="1" x14ac:dyDescent="0.4"/>
    <row r="10715" s="5" customFormat="1" x14ac:dyDescent="0.4"/>
    <row r="10716" s="5" customFormat="1" x14ac:dyDescent="0.4"/>
    <row r="10717" s="5" customFormat="1" x14ac:dyDescent="0.4"/>
    <row r="10718" s="5" customFormat="1" x14ac:dyDescent="0.4"/>
    <row r="10719" s="5" customFormat="1" x14ac:dyDescent="0.4"/>
    <row r="10720" s="5" customFormat="1" x14ac:dyDescent="0.4"/>
    <row r="10721" s="5" customFormat="1" x14ac:dyDescent="0.4"/>
    <row r="10722" s="5" customFormat="1" x14ac:dyDescent="0.4"/>
    <row r="10723" s="5" customFormat="1" x14ac:dyDescent="0.4"/>
    <row r="10724" s="5" customFormat="1" x14ac:dyDescent="0.4"/>
    <row r="10725" s="5" customFormat="1" x14ac:dyDescent="0.4"/>
    <row r="10726" s="5" customFormat="1" x14ac:dyDescent="0.4"/>
    <row r="10727" s="5" customFormat="1" x14ac:dyDescent="0.4"/>
    <row r="10728" s="5" customFormat="1" x14ac:dyDescent="0.4"/>
    <row r="10729" s="5" customFormat="1" x14ac:dyDescent="0.4"/>
    <row r="10730" s="5" customFormat="1" x14ac:dyDescent="0.4"/>
    <row r="10731" s="5" customFormat="1" x14ac:dyDescent="0.4"/>
    <row r="10732" s="5" customFormat="1" x14ac:dyDescent="0.4"/>
    <row r="10733" s="5" customFormat="1" x14ac:dyDescent="0.4"/>
    <row r="10734" s="5" customFormat="1" x14ac:dyDescent="0.4"/>
    <row r="10735" s="5" customFormat="1" x14ac:dyDescent="0.4"/>
    <row r="10736" s="5" customFormat="1" x14ac:dyDescent="0.4"/>
    <row r="10737" s="5" customFormat="1" x14ac:dyDescent="0.4"/>
    <row r="10738" s="5" customFormat="1" x14ac:dyDescent="0.4"/>
    <row r="10739" s="5" customFormat="1" x14ac:dyDescent="0.4"/>
    <row r="10740" s="5" customFormat="1" x14ac:dyDescent="0.4"/>
    <row r="10741" s="5" customFormat="1" x14ac:dyDescent="0.4"/>
    <row r="10742" s="5" customFormat="1" x14ac:dyDescent="0.4"/>
    <row r="10743" s="5" customFormat="1" x14ac:dyDescent="0.4"/>
    <row r="10744" s="5" customFormat="1" x14ac:dyDescent="0.4"/>
    <row r="10745" s="5" customFormat="1" x14ac:dyDescent="0.4"/>
    <row r="10746" s="5" customFormat="1" x14ac:dyDescent="0.4"/>
    <row r="10747" s="5" customFormat="1" x14ac:dyDescent="0.4"/>
    <row r="10748" s="5" customFormat="1" x14ac:dyDescent="0.4"/>
    <row r="10749" s="5" customFormat="1" x14ac:dyDescent="0.4"/>
    <row r="10750" s="5" customFormat="1" x14ac:dyDescent="0.4"/>
    <row r="10751" s="5" customFormat="1" x14ac:dyDescent="0.4"/>
    <row r="10752" s="5" customFormat="1" x14ac:dyDescent="0.4"/>
    <row r="10753" s="5" customFormat="1" x14ac:dyDescent="0.4"/>
    <row r="10754" s="5" customFormat="1" x14ac:dyDescent="0.4"/>
    <row r="10755" s="5" customFormat="1" x14ac:dyDescent="0.4"/>
    <row r="10756" s="5" customFormat="1" x14ac:dyDescent="0.4"/>
    <row r="10757" s="5" customFormat="1" x14ac:dyDescent="0.4"/>
    <row r="10758" s="5" customFormat="1" x14ac:dyDescent="0.4"/>
    <row r="10759" s="5" customFormat="1" x14ac:dyDescent="0.4"/>
    <row r="10760" s="5" customFormat="1" x14ac:dyDescent="0.4"/>
    <row r="10761" s="5" customFormat="1" x14ac:dyDescent="0.4"/>
    <row r="10762" s="5" customFormat="1" x14ac:dyDescent="0.4"/>
    <row r="10763" s="5" customFormat="1" x14ac:dyDescent="0.4"/>
    <row r="10764" s="5" customFormat="1" x14ac:dyDescent="0.4"/>
    <row r="10765" s="5" customFormat="1" x14ac:dyDescent="0.4"/>
    <row r="10766" s="5" customFormat="1" x14ac:dyDescent="0.4"/>
    <row r="10767" s="5" customFormat="1" x14ac:dyDescent="0.4"/>
    <row r="10768" s="5" customFormat="1" x14ac:dyDescent="0.4"/>
    <row r="10769" s="5" customFormat="1" x14ac:dyDescent="0.4"/>
    <row r="10770" s="5" customFormat="1" x14ac:dyDescent="0.4"/>
    <row r="10771" s="5" customFormat="1" x14ac:dyDescent="0.4"/>
    <row r="10772" s="5" customFormat="1" x14ac:dyDescent="0.4"/>
    <row r="10773" s="5" customFormat="1" x14ac:dyDescent="0.4"/>
    <row r="10774" s="5" customFormat="1" x14ac:dyDescent="0.4"/>
    <row r="10775" s="5" customFormat="1" x14ac:dyDescent="0.4"/>
    <row r="10776" s="5" customFormat="1" x14ac:dyDescent="0.4"/>
    <row r="10777" s="5" customFormat="1" x14ac:dyDescent="0.4"/>
    <row r="10778" s="5" customFormat="1" x14ac:dyDescent="0.4"/>
    <row r="10779" s="5" customFormat="1" x14ac:dyDescent="0.4"/>
    <row r="10780" s="5" customFormat="1" x14ac:dyDescent="0.4"/>
    <row r="10781" s="5" customFormat="1" x14ac:dyDescent="0.4"/>
    <row r="10782" s="5" customFormat="1" x14ac:dyDescent="0.4"/>
    <row r="10783" s="5" customFormat="1" x14ac:dyDescent="0.4"/>
    <row r="10784" s="5" customFormat="1" x14ac:dyDescent="0.4"/>
    <row r="10785" s="5" customFormat="1" x14ac:dyDescent="0.4"/>
    <row r="10786" s="5" customFormat="1" x14ac:dyDescent="0.4"/>
    <row r="10787" s="5" customFormat="1" x14ac:dyDescent="0.4"/>
    <row r="10788" s="5" customFormat="1" x14ac:dyDescent="0.4"/>
    <row r="10789" s="5" customFormat="1" x14ac:dyDescent="0.4"/>
    <row r="10790" s="5" customFormat="1" x14ac:dyDescent="0.4"/>
    <row r="10791" s="5" customFormat="1" x14ac:dyDescent="0.4"/>
    <row r="10792" s="5" customFormat="1" x14ac:dyDescent="0.4"/>
    <row r="10793" s="5" customFormat="1" x14ac:dyDescent="0.4"/>
    <row r="10794" s="5" customFormat="1" x14ac:dyDescent="0.4"/>
    <row r="10795" s="5" customFormat="1" x14ac:dyDescent="0.4"/>
    <row r="10796" s="5" customFormat="1" x14ac:dyDescent="0.4"/>
    <row r="10797" s="5" customFormat="1" x14ac:dyDescent="0.4"/>
    <row r="10798" s="5" customFormat="1" x14ac:dyDescent="0.4"/>
    <row r="10799" s="5" customFormat="1" x14ac:dyDescent="0.4"/>
    <row r="10800" s="5" customFormat="1" x14ac:dyDescent="0.4"/>
    <row r="10801" s="5" customFormat="1" x14ac:dyDescent="0.4"/>
    <row r="10802" s="5" customFormat="1" x14ac:dyDescent="0.4"/>
    <row r="10803" s="5" customFormat="1" x14ac:dyDescent="0.4"/>
    <row r="10804" s="5" customFormat="1" x14ac:dyDescent="0.4"/>
    <row r="10805" s="5" customFormat="1" x14ac:dyDescent="0.4"/>
    <row r="10806" s="5" customFormat="1" x14ac:dyDescent="0.4"/>
    <row r="10807" s="5" customFormat="1" x14ac:dyDescent="0.4"/>
    <row r="10808" s="5" customFormat="1" x14ac:dyDescent="0.4"/>
    <row r="10809" s="5" customFormat="1" x14ac:dyDescent="0.4"/>
    <row r="10810" s="5" customFormat="1" x14ac:dyDescent="0.4"/>
    <row r="10811" s="5" customFormat="1" x14ac:dyDescent="0.4"/>
    <row r="10812" s="5" customFormat="1" x14ac:dyDescent="0.4"/>
    <row r="10813" s="5" customFormat="1" x14ac:dyDescent="0.4"/>
    <row r="10814" s="5" customFormat="1" x14ac:dyDescent="0.4"/>
    <row r="10815" s="5" customFormat="1" x14ac:dyDescent="0.4"/>
    <row r="10816" s="5" customFormat="1" x14ac:dyDescent="0.4"/>
    <row r="10817" s="5" customFormat="1" x14ac:dyDescent="0.4"/>
    <row r="10818" s="5" customFormat="1" x14ac:dyDescent="0.4"/>
    <row r="10819" s="5" customFormat="1" x14ac:dyDescent="0.4"/>
    <row r="10820" s="5" customFormat="1" x14ac:dyDescent="0.4"/>
    <row r="10821" s="5" customFormat="1" x14ac:dyDescent="0.4"/>
    <row r="10822" s="5" customFormat="1" x14ac:dyDescent="0.4"/>
    <row r="10823" s="5" customFormat="1" x14ac:dyDescent="0.4"/>
    <row r="10824" s="5" customFormat="1" x14ac:dyDescent="0.4"/>
    <row r="10825" s="5" customFormat="1" x14ac:dyDescent="0.4"/>
    <row r="10826" s="5" customFormat="1" x14ac:dyDescent="0.4"/>
    <row r="10827" s="5" customFormat="1" x14ac:dyDescent="0.4"/>
    <row r="10828" s="5" customFormat="1" x14ac:dyDescent="0.4"/>
    <row r="10829" s="5" customFormat="1" x14ac:dyDescent="0.4"/>
    <row r="10830" s="5" customFormat="1" x14ac:dyDescent="0.4"/>
    <row r="10831" s="5" customFormat="1" x14ac:dyDescent="0.4"/>
    <row r="10832" s="5" customFormat="1" x14ac:dyDescent="0.4"/>
    <row r="10833" s="5" customFormat="1" x14ac:dyDescent="0.4"/>
    <row r="10834" s="5" customFormat="1" x14ac:dyDescent="0.4"/>
    <row r="10835" s="5" customFormat="1" x14ac:dyDescent="0.4"/>
    <row r="10836" s="5" customFormat="1" x14ac:dyDescent="0.4"/>
    <row r="10837" s="5" customFormat="1" x14ac:dyDescent="0.4"/>
    <row r="10838" s="5" customFormat="1" x14ac:dyDescent="0.4"/>
    <row r="10839" s="5" customFormat="1" x14ac:dyDescent="0.4"/>
    <row r="10840" s="5" customFormat="1" x14ac:dyDescent="0.4"/>
    <row r="10841" s="5" customFormat="1" x14ac:dyDescent="0.4"/>
    <row r="10842" s="5" customFormat="1" x14ac:dyDescent="0.4"/>
    <row r="10843" s="5" customFormat="1" x14ac:dyDescent="0.4"/>
    <row r="10844" s="5" customFormat="1" x14ac:dyDescent="0.4"/>
    <row r="10845" s="5" customFormat="1" x14ac:dyDescent="0.4"/>
    <row r="10846" s="5" customFormat="1" x14ac:dyDescent="0.4"/>
    <row r="10847" s="5" customFormat="1" x14ac:dyDescent="0.4"/>
    <row r="10848" s="5" customFormat="1" x14ac:dyDescent="0.4"/>
    <row r="10849" s="5" customFormat="1" x14ac:dyDescent="0.4"/>
    <row r="10850" s="5" customFormat="1" x14ac:dyDescent="0.4"/>
    <row r="10851" s="5" customFormat="1" x14ac:dyDescent="0.4"/>
    <row r="10852" s="5" customFormat="1" x14ac:dyDescent="0.4"/>
    <row r="10853" s="5" customFormat="1" x14ac:dyDescent="0.4"/>
    <row r="10854" s="5" customFormat="1" x14ac:dyDescent="0.4"/>
    <row r="10855" s="5" customFormat="1" x14ac:dyDescent="0.4"/>
    <row r="10856" s="5" customFormat="1" x14ac:dyDescent="0.4"/>
    <row r="10857" s="5" customFormat="1" x14ac:dyDescent="0.4"/>
    <row r="10858" s="5" customFormat="1" x14ac:dyDescent="0.4"/>
    <row r="10859" s="5" customFormat="1" x14ac:dyDescent="0.4"/>
    <row r="10860" s="5" customFormat="1" x14ac:dyDescent="0.4"/>
    <row r="10861" s="5" customFormat="1" x14ac:dyDescent="0.4"/>
    <row r="10862" s="5" customFormat="1" x14ac:dyDescent="0.4"/>
    <row r="10863" s="5" customFormat="1" x14ac:dyDescent="0.4"/>
    <row r="10864" s="5" customFormat="1" x14ac:dyDescent="0.4"/>
    <row r="10865" s="5" customFormat="1" x14ac:dyDescent="0.4"/>
    <row r="10866" s="5" customFormat="1" x14ac:dyDescent="0.4"/>
    <row r="10867" s="5" customFormat="1" x14ac:dyDescent="0.4"/>
    <row r="10868" s="5" customFormat="1" x14ac:dyDescent="0.4"/>
    <row r="10869" s="5" customFormat="1" x14ac:dyDescent="0.4"/>
    <row r="10870" s="5" customFormat="1" x14ac:dyDescent="0.4"/>
    <row r="10871" s="5" customFormat="1" x14ac:dyDescent="0.4"/>
    <row r="10872" s="5" customFormat="1" x14ac:dyDescent="0.4"/>
    <row r="10873" s="5" customFormat="1" x14ac:dyDescent="0.4"/>
    <row r="10874" s="5" customFormat="1" x14ac:dyDescent="0.4"/>
    <row r="10875" s="5" customFormat="1" x14ac:dyDescent="0.4"/>
    <row r="10876" s="5" customFormat="1" x14ac:dyDescent="0.4"/>
    <row r="10877" s="5" customFormat="1" x14ac:dyDescent="0.4"/>
    <row r="10878" s="5" customFormat="1" x14ac:dyDescent="0.4"/>
    <row r="10879" s="5" customFormat="1" x14ac:dyDescent="0.4"/>
    <row r="10880" s="5" customFormat="1" x14ac:dyDescent="0.4"/>
    <row r="10881" s="5" customFormat="1" x14ac:dyDescent="0.4"/>
    <row r="10882" s="5" customFormat="1" x14ac:dyDescent="0.4"/>
    <row r="10883" s="5" customFormat="1" x14ac:dyDescent="0.4"/>
    <row r="10884" s="5" customFormat="1" x14ac:dyDescent="0.4"/>
    <row r="10885" s="5" customFormat="1" x14ac:dyDescent="0.4"/>
    <row r="10886" s="5" customFormat="1" x14ac:dyDescent="0.4"/>
    <row r="10887" s="5" customFormat="1" x14ac:dyDescent="0.4"/>
    <row r="10888" s="5" customFormat="1" x14ac:dyDescent="0.4"/>
    <row r="10889" s="5" customFormat="1" x14ac:dyDescent="0.4"/>
    <row r="10890" s="5" customFormat="1" x14ac:dyDescent="0.4"/>
    <row r="10891" s="5" customFormat="1" x14ac:dyDescent="0.4"/>
    <row r="10892" s="5" customFormat="1" x14ac:dyDescent="0.4"/>
    <row r="10893" s="5" customFormat="1" x14ac:dyDescent="0.4"/>
    <row r="10894" s="5" customFormat="1" x14ac:dyDescent="0.4"/>
    <row r="10895" s="5" customFormat="1" x14ac:dyDescent="0.4"/>
    <row r="10896" s="5" customFormat="1" x14ac:dyDescent="0.4"/>
    <row r="10897" s="5" customFormat="1" x14ac:dyDescent="0.4"/>
    <row r="10898" s="5" customFormat="1" x14ac:dyDescent="0.4"/>
    <row r="10899" s="5" customFormat="1" x14ac:dyDescent="0.4"/>
    <row r="10900" s="5" customFormat="1" x14ac:dyDescent="0.4"/>
    <row r="10901" s="5" customFormat="1" x14ac:dyDescent="0.4"/>
    <row r="10902" s="5" customFormat="1" x14ac:dyDescent="0.4"/>
    <row r="10903" s="5" customFormat="1" x14ac:dyDescent="0.4"/>
    <row r="10904" s="5" customFormat="1" x14ac:dyDescent="0.4"/>
    <row r="10905" s="5" customFormat="1" x14ac:dyDescent="0.4"/>
    <row r="10906" s="5" customFormat="1" x14ac:dyDescent="0.4"/>
    <row r="10907" s="5" customFormat="1" x14ac:dyDescent="0.4"/>
    <row r="10908" s="5" customFormat="1" x14ac:dyDescent="0.4"/>
    <row r="10909" s="5" customFormat="1" x14ac:dyDescent="0.4"/>
    <row r="10910" s="5" customFormat="1" x14ac:dyDescent="0.4"/>
    <row r="10911" s="5" customFormat="1" x14ac:dyDescent="0.4"/>
    <row r="10912" s="5" customFormat="1" x14ac:dyDescent="0.4"/>
    <row r="10913" s="5" customFormat="1" x14ac:dyDescent="0.4"/>
    <row r="10914" s="5" customFormat="1" x14ac:dyDescent="0.4"/>
    <row r="10915" s="5" customFormat="1" x14ac:dyDescent="0.4"/>
    <row r="10916" s="5" customFormat="1" x14ac:dyDescent="0.4"/>
    <row r="10917" s="5" customFormat="1" x14ac:dyDescent="0.4"/>
    <row r="10918" s="5" customFormat="1" x14ac:dyDescent="0.4"/>
    <row r="10919" s="5" customFormat="1" x14ac:dyDescent="0.4"/>
    <row r="10920" s="5" customFormat="1" x14ac:dyDescent="0.4"/>
    <row r="10921" s="5" customFormat="1" x14ac:dyDescent="0.4"/>
    <row r="10922" s="5" customFormat="1" x14ac:dyDescent="0.4"/>
    <row r="10923" s="5" customFormat="1" x14ac:dyDescent="0.4"/>
    <row r="10924" s="5" customFormat="1" x14ac:dyDescent="0.4"/>
    <row r="10925" s="5" customFormat="1" x14ac:dyDescent="0.4"/>
    <row r="10926" s="5" customFormat="1" x14ac:dyDescent="0.4"/>
    <row r="10927" s="5" customFormat="1" x14ac:dyDescent="0.4"/>
    <row r="10928" s="5" customFormat="1" x14ac:dyDescent="0.4"/>
    <row r="10929" s="5" customFormat="1" x14ac:dyDescent="0.4"/>
    <row r="10930" s="5" customFormat="1" x14ac:dyDescent="0.4"/>
    <row r="10931" s="5" customFormat="1" x14ac:dyDescent="0.4"/>
    <row r="10932" s="5" customFormat="1" x14ac:dyDescent="0.4"/>
    <row r="10933" s="5" customFormat="1" x14ac:dyDescent="0.4"/>
    <row r="10934" s="5" customFormat="1" x14ac:dyDescent="0.4"/>
    <row r="10935" s="5" customFormat="1" x14ac:dyDescent="0.4"/>
    <row r="10936" s="5" customFormat="1" x14ac:dyDescent="0.4"/>
    <row r="10937" s="5" customFormat="1" x14ac:dyDescent="0.4"/>
    <row r="10938" s="5" customFormat="1" x14ac:dyDescent="0.4"/>
    <row r="10939" s="5" customFormat="1" x14ac:dyDescent="0.4"/>
    <row r="10940" s="5" customFormat="1" x14ac:dyDescent="0.4"/>
    <row r="10941" s="5" customFormat="1" x14ac:dyDescent="0.4"/>
    <row r="10942" s="5" customFormat="1" x14ac:dyDescent="0.4"/>
    <row r="10943" s="5" customFormat="1" x14ac:dyDescent="0.4"/>
    <row r="10944" s="5" customFormat="1" x14ac:dyDescent="0.4"/>
    <row r="10945" s="5" customFormat="1" x14ac:dyDescent="0.4"/>
    <row r="10946" s="5" customFormat="1" x14ac:dyDescent="0.4"/>
    <row r="10947" s="5" customFormat="1" x14ac:dyDescent="0.4"/>
    <row r="10948" s="5" customFormat="1" x14ac:dyDescent="0.4"/>
    <row r="10949" s="5" customFormat="1" x14ac:dyDescent="0.4"/>
    <row r="10950" s="5" customFormat="1" x14ac:dyDescent="0.4"/>
    <row r="10951" s="5" customFormat="1" x14ac:dyDescent="0.4"/>
    <row r="10952" s="5" customFormat="1" x14ac:dyDescent="0.4"/>
    <row r="10953" s="5" customFormat="1" x14ac:dyDescent="0.4"/>
    <row r="10954" s="5" customFormat="1" x14ac:dyDescent="0.4"/>
    <row r="10955" s="5" customFormat="1" x14ac:dyDescent="0.4"/>
    <row r="10956" s="5" customFormat="1" x14ac:dyDescent="0.4"/>
    <row r="10957" s="5" customFormat="1" x14ac:dyDescent="0.4"/>
    <row r="10958" s="5" customFormat="1" x14ac:dyDescent="0.4"/>
    <row r="10959" s="5" customFormat="1" x14ac:dyDescent="0.4"/>
    <row r="10960" s="5" customFormat="1" x14ac:dyDescent="0.4"/>
    <row r="10961" s="5" customFormat="1" x14ac:dyDescent="0.4"/>
    <row r="10962" s="5" customFormat="1" x14ac:dyDescent="0.4"/>
    <row r="10963" s="5" customFormat="1" x14ac:dyDescent="0.4"/>
    <row r="10964" s="5" customFormat="1" x14ac:dyDescent="0.4"/>
    <row r="10965" s="5" customFormat="1" x14ac:dyDescent="0.4"/>
    <row r="10966" s="5" customFormat="1" x14ac:dyDescent="0.4"/>
    <row r="10967" s="5" customFormat="1" x14ac:dyDescent="0.4"/>
    <row r="10968" s="5" customFormat="1" x14ac:dyDescent="0.4"/>
    <row r="10969" s="5" customFormat="1" x14ac:dyDescent="0.4"/>
    <row r="10970" s="5" customFormat="1" x14ac:dyDescent="0.4"/>
    <row r="10971" s="5" customFormat="1" x14ac:dyDescent="0.4"/>
    <row r="10972" s="5" customFormat="1" x14ac:dyDescent="0.4"/>
    <row r="10973" s="5" customFormat="1" x14ac:dyDescent="0.4"/>
    <row r="10974" s="5" customFormat="1" x14ac:dyDescent="0.4"/>
    <row r="10975" s="5" customFormat="1" x14ac:dyDescent="0.4"/>
    <row r="10976" s="5" customFormat="1" x14ac:dyDescent="0.4"/>
    <row r="10977" s="5" customFormat="1" x14ac:dyDescent="0.4"/>
    <row r="10978" s="5" customFormat="1" x14ac:dyDescent="0.4"/>
    <row r="10979" s="5" customFormat="1" x14ac:dyDescent="0.4"/>
    <row r="10980" s="5" customFormat="1" x14ac:dyDescent="0.4"/>
    <row r="10981" s="5" customFormat="1" x14ac:dyDescent="0.4"/>
    <row r="10982" s="5" customFormat="1" x14ac:dyDescent="0.4"/>
    <row r="10983" s="5" customFormat="1" x14ac:dyDescent="0.4"/>
    <row r="10984" s="5" customFormat="1" x14ac:dyDescent="0.4"/>
    <row r="10985" s="5" customFormat="1" x14ac:dyDescent="0.4"/>
    <row r="10986" s="5" customFormat="1" x14ac:dyDescent="0.4"/>
    <row r="10987" s="5" customFormat="1" x14ac:dyDescent="0.4"/>
    <row r="10988" s="5" customFormat="1" x14ac:dyDescent="0.4"/>
    <row r="10989" s="5" customFormat="1" x14ac:dyDescent="0.4"/>
    <row r="10990" s="5" customFormat="1" x14ac:dyDescent="0.4"/>
    <row r="10991" s="5" customFormat="1" x14ac:dyDescent="0.4"/>
    <row r="10992" s="5" customFormat="1" x14ac:dyDescent="0.4"/>
    <row r="10993" s="5" customFormat="1" x14ac:dyDescent="0.4"/>
    <row r="10994" s="5" customFormat="1" x14ac:dyDescent="0.4"/>
    <row r="10995" s="5" customFormat="1" x14ac:dyDescent="0.4"/>
    <row r="10996" s="5" customFormat="1" x14ac:dyDescent="0.4"/>
    <row r="10997" s="5" customFormat="1" x14ac:dyDescent="0.4"/>
    <row r="10998" s="5" customFormat="1" x14ac:dyDescent="0.4"/>
    <row r="10999" s="5" customFormat="1" x14ac:dyDescent="0.4"/>
    <row r="11000" s="5" customFormat="1" x14ac:dyDescent="0.4"/>
    <row r="11001" s="5" customFormat="1" x14ac:dyDescent="0.4"/>
    <row r="11002" s="5" customFormat="1" x14ac:dyDescent="0.4"/>
    <row r="11003" s="5" customFormat="1" x14ac:dyDescent="0.4"/>
    <row r="11004" s="5" customFormat="1" x14ac:dyDescent="0.4"/>
    <row r="11005" s="5" customFormat="1" x14ac:dyDescent="0.4"/>
    <row r="11006" s="5" customFormat="1" x14ac:dyDescent="0.4"/>
    <row r="11007" s="5" customFormat="1" x14ac:dyDescent="0.4"/>
    <row r="11008" s="5" customFormat="1" x14ac:dyDescent="0.4"/>
    <row r="11009" s="5" customFormat="1" x14ac:dyDescent="0.4"/>
    <row r="11010" s="5" customFormat="1" x14ac:dyDescent="0.4"/>
    <row r="11011" s="5" customFormat="1" x14ac:dyDescent="0.4"/>
    <row r="11012" s="5" customFormat="1" x14ac:dyDescent="0.4"/>
    <row r="11013" s="5" customFormat="1" x14ac:dyDescent="0.4"/>
    <row r="11014" s="5" customFormat="1" x14ac:dyDescent="0.4"/>
    <row r="11015" s="5" customFormat="1" x14ac:dyDescent="0.4"/>
    <row r="11016" s="5" customFormat="1" x14ac:dyDescent="0.4"/>
    <row r="11017" s="5" customFormat="1" x14ac:dyDescent="0.4"/>
    <row r="11018" s="5" customFormat="1" x14ac:dyDescent="0.4"/>
    <row r="11019" s="5" customFormat="1" x14ac:dyDescent="0.4"/>
    <row r="11020" s="5" customFormat="1" x14ac:dyDescent="0.4"/>
    <row r="11021" s="5" customFormat="1" x14ac:dyDescent="0.4"/>
    <row r="11022" s="5" customFormat="1" x14ac:dyDescent="0.4"/>
    <row r="11023" s="5" customFormat="1" x14ac:dyDescent="0.4"/>
    <row r="11024" s="5" customFormat="1" x14ac:dyDescent="0.4"/>
    <row r="11025" s="5" customFormat="1" x14ac:dyDescent="0.4"/>
    <row r="11026" s="5" customFormat="1" x14ac:dyDescent="0.4"/>
    <row r="11027" s="5" customFormat="1" x14ac:dyDescent="0.4"/>
    <row r="11028" s="5" customFormat="1" x14ac:dyDescent="0.4"/>
    <row r="11029" s="5" customFormat="1" x14ac:dyDescent="0.4"/>
    <row r="11030" s="5" customFormat="1" x14ac:dyDescent="0.4"/>
    <row r="11031" s="5" customFormat="1" x14ac:dyDescent="0.4"/>
    <row r="11032" s="5" customFormat="1" x14ac:dyDescent="0.4"/>
    <row r="11033" s="5" customFormat="1" x14ac:dyDescent="0.4"/>
    <row r="11034" s="5" customFormat="1" x14ac:dyDescent="0.4"/>
    <row r="11035" s="5" customFormat="1" x14ac:dyDescent="0.4"/>
    <row r="11036" s="5" customFormat="1" x14ac:dyDescent="0.4"/>
    <row r="11037" s="5" customFormat="1" x14ac:dyDescent="0.4"/>
    <row r="11038" s="5" customFormat="1" x14ac:dyDescent="0.4"/>
    <row r="11039" s="5" customFormat="1" x14ac:dyDescent="0.4"/>
    <row r="11040" s="5" customFormat="1" x14ac:dyDescent="0.4"/>
    <row r="11041" s="5" customFormat="1" x14ac:dyDescent="0.4"/>
    <row r="11042" s="5" customFormat="1" x14ac:dyDescent="0.4"/>
    <row r="11043" s="5" customFormat="1" x14ac:dyDescent="0.4"/>
    <row r="11044" s="5" customFormat="1" x14ac:dyDescent="0.4"/>
    <row r="11045" s="5" customFormat="1" x14ac:dyDescent="0.4"/>
    <row r="11046" s="5" customFormat="1" x14ac:dyDescent="0.4"/>
    <row r="11047" s="5" customFormat="1" x14ac:dyDescent="0.4"/>
    <row r="11048" s="5" customFormat="1" x14ac:dyDescent="0.4"/>
    <row r="11049" s="5" customFormat="1" x14ac:dyDescent="0.4"/>
    <row r="11050" s="5" customFormat="1" x14ac:dyDescent="0.4"/>
    <row r="11051" s="5" customFormat="1" x14ac:dyDescent="0.4"/>
    <row r="11052" s="5" customFormat="1" x14ac:dyDescent="0.4"/>
    <row r="11053" s="5" customFormat="1" x14ac:dyDescent="0.4"/>
    <row r="11054" s="5" customFormat="1" x14ac:dyDescent="0.4"/>
    <row r="11055" s="5" customFormat="1" x14ac:dyDescent="0.4"/>
    <row r="11056" s="5" customFormat="1" x14ac:dyDescent="0.4"/>
    <row r="11057" s="5" customFormat="1" x14ac:dyDescent="0.4"/>
    <row r="11058" s="5" customFormat="1" x14ac:dyDescent="0.4"/>
    <row r="11059" s="5" customFormat="1" x14ac:dyDescent="0.4"/>
    <row r="11060" s="5" customFormat="1" x14ac:dyDescent="0.4"/>
    <row r="11061" s="5" customFormat="1" x14ac:dyDescent="0.4"/>
    <row r="11062" s="5" customFormat="1" x14ac:dyDescent="0.4"/>
    <row r="11063" s="5" customFormat="1" x14ac:dyDescent="0.4"/>
    <row r="11064" s="5" customFormat="1" x14ac:dyDescent="0.4"/>
    <row r="11065" s="5" customFormat="1" x14ac:dyDescent="0.4"/>
    <row r="11066" s="5" customFormat="1" x14ac:dyDescent="0.4"/>
    <row r="11067" s="5" customFormat="1" x14ac:dyDescent="0.4"/>
    <row r="11068" s="5" customFormat="1" x14ac:dyDescent="0.4"/>
    <row r="11069" s="5" customFormat="1" x14ac:dyDescent="0.4"/>
    <row r="11070" s="5" customFormat="1" x14ac:dyDescent="0.4"/>
    <row r="11071" s="5" customFormat="1" x14ac:dyDescent="0.4"/>
    <row r="11072" s="5" customFormat="1" x14ac:dyDescent="0.4"/>
    <row r="11073" s="5" customFormat="1" x14ac:dyDescent="0.4"/>
    <row r="11074" s="5" customFormat="1" x14ac:dyDescent="0.4"/>
    <row r="11075" s="5" customFormat="1" x14ac:dyDescent="0.4"/>
    <row r="11076" s="5" customFormat="1" x14ac:dyDescent="0.4"/>
    <row r="11077" s="5" customFormat="1" x14ac:dyDescent="0.4"/>
    <row r="11078" s="5" customFormat="1" x14ac:dyDescent="0.4"/>
    <row r="11079" s="5" customFormat="1" x14ac:dyDescent="0.4"/>
    <row r="11080" s="5" customFormat="1" x14ac:dyDescent="0.4"/>
    <row r="11081" s="5" customFormat="1" x14ac:dyDescent="0.4"/>
    <row r="11082" s="5" customFormat="1" x14ac:dyDescent="0.4"/>
    <row r="11083" s="5" customFormat="1" x14ac:dyDescent="0.4"/>
    <row r="11084" s="5" customFormat="1" x14ac:dyDescent="0.4"/>
    <row r="11085" s="5" customFormat="1" x14ac:dyDescent="0.4"/>
    <row r="11086" s="5" customFormat="1" x14ac:dyDescent="0.4"/>
    <row r="11087" s="5" customFormat="1" x14ac:dyDescent="0.4"/>
    <row r="11088" s="5" customFormat="1" x14ac:dyDescent="0.4"/>
    <row r="11089" s="5" customFormat="1" x14ac:dyDescent="0.4"/>
    <row r="11090" s="5" customFormat="1" x14ac:dyDescent="0.4"/>
    <row r="11091" s="5" customFormat="1" x14ac:dyDescent="0.4"/>
    <row r="11092" s="5" customFormat="1" x14ac:dyDescent="0.4"/>
    <row r="11093" s="5" customFormat="1" x14ac:dyDescent="0.4"/>
    <row r="11094" s="5" customFormat="1" x14ac:dyDescent="0.4"/>
    <row r="11095" s="5" customFormat="1" x14ac:dyDescent="0.4"/>
    <row r="11096" s="5" customFormat="1" x14ac:dyDescent="0.4"/>
    <row r="11097" s="5" customFormat="1" x14ac:dyDescent="0.4"/>
    <row r="11098" s="5" customFormat="1" x14ac:dyDescent="0.4"/>
    <row r="11099" s="5" customFormat="1" x14ac:dyDescent="0.4"/>
    <row r="11100" s="5" customFormat="1" x14ac:dyDescent="0.4"/>
    <row r="11101" s="5" customFormat="1" x14ac:dyDescent="0.4"/>
    <row r="11102" s="5" customFormat="1" x14ac:dyDescent="0.4"/>
    <row r="11103" s="5" customFormat="1" x14ac:dyDescent="0.4"/>
    <row r="11104" s="5" customFormat="1" x14ac:dyDescent="0.4"/>
    <row r="11105" s="5" customFormat="1" x14ac:dyDescent="0.4"/>
    <row r="11106" s="5" customFormat="1" x14ac:dyDescent="0.4"/>
    <row r="11107" s="5" customFormat="1" x14ac:dyDescent="0.4"/>
    <row r="11108" s="5" customFormat="1" x14ac:dyDescent="0.4"/>
    <row r="11109" s="5" customFormat="1" x14ac:dyDescent="0.4"/>
    <row r="11110" s="5" customFormat="1" x14ac:dyDescent="0.4"/>
    <row r="11111" s="5" customFormat="1" x14ac:dyDescent="0.4"/>
    <row r="11112" s="5" customFormat="1" x14ac:dyDescent="0.4"/>
    <row r="11113" s="5" customFormat="1" x14ac:dyDescent="0.4"/>
    <row r="11114" s="5" customFormat="1" x14ac:dyDescent="0.4"/>
    <row r="11115" s="5" customFormat="1" x14ac:dyDescent="0.4"/>
    <row r="11116" s="5" customFormat="1" x14ac:dyDescent="0.4"/>
    <row r="11117" s="5" customFormat="1" x14ac:dyDescent="0.4"/>
    <row r="11118" s="5" customFormat="1" x14ac:dyDescent="0.4"/>
    <row r="11119" s="5" customFormat="1" x14ac:dyDescent="0.4"/>
    <row r="11120" s="5" customFormat="1" x14ac:dyDescent="0.4"/>
    <row r="11121" s="5" customFormat="1" x14ac:dyDescent="0.4"/>
    <row r="11122" s="5" customFormat="1" x14ac:dyDescent="0.4"/>
    <row r="11123" s="5" customFormat="1" x14ac:dyDescent="0.4"/>
    <row r="11124" s="5" customFormat="1" x14ac:dyDescent="0.4"/>
    <row r="11125" s="5" customFormat="1" x14ac:dyDescent="0.4"/>
    <row r="11126" s="5" customFormat="1" x14ac:dyDescent="0.4"/>
    <row r="11127" s="5" customFormat="1" x14ac:dyDescent="0.4"/>
    <row r="11128" s="5" customFormat="1" x14ac:dyDescent="0.4"/>
    <row r="11129" s="5" customFormat="1" x14ac:dyDescent="0.4"/>
    <row r="11130" s="5" customFormat="1" x14ac:dyDescent="0.4"/>
    <row r="11131" s="5" customFormat="1" x14ac:dyDescent="0.4"/>
    <row r="11132" s="5" customFormat="1" x14ac:dyDescent="0.4"/>
    <row r="11133" s="5" customFormat="1" x14ac:dyDescent="0.4"/>
    <row r="11134" s="5" customFormat="1" x14ac:dyDescent="0.4"/>
    <row r="11135" s="5" customFormat="1" x14ac:dyDescent="0.4"/>
    <row r="11136" s="5" customFormat="1" x14ac:dyDescent="0.4"/>
    <row r="11137" s="5" customFormat="1" x14ac:dyDescent="0.4"/>
    <row r="11138" s="5" customFormat="1" x14ac:dyDescent="0.4"/>
    <row r="11139" s="5" customFormat="1" x14ac:dyDescent="0.4"/>
    <row r="11140" s="5" customFormat="1" x14ac:dyDescent="0.4"/>
    <row r="11141" s="5" customFormat="1" x14ac:dyDescent="0.4"/>
    <row r="11142" s="5" customFormat="1" x14ac:dyDescent="0.4"/>
    <row r="11143" s="5" customFormat="1" x14ac:dyDescent="0.4"/>
    <row r="11144" s="5" customFormat="1" x14ac:dyDescent="0.4"/>
    <row r="11145" s="5" customFormat="1" x14ac:dyDescent="0.4"/>
    <row r="11146" s="5" customFormat="1" x14ac:dyDescent="0.4"/>
    <row r="11147" s="5" customFormat="1" x14ac:dyDescent="0.4"/>
    <row r="11148" s="5" customFormat="1" x14ac:dyDescent="0.4"/>
    <row r="11149" s="5" customFormat="1" x14ac:dyDescent="0.4"/>
    <row r="11150" s="5" customFormat="1" x14ac:dyDescent="0.4"/>
    <row r="11151" s="5" customFormat="1" x14ac:dyDescent="0.4"/>
    <row r="11152" s="5" customFormat="1" x14ac:dyDescent="0.4"/>
    <row r="11153" s="5" customFormat="1" x14ac:dyDescent="0.4"/>
    <row r="11154" s="5" customFormat="1" x14ac:dyDescent="0.4"/>
    <row r="11155" s="5" customFormat="1" x14ac:dyDescent="0.4"/>
    <row r="11156" s="5" customFormat="1" x14ac:dyDescent="0.4"/>
    <row r="11157" s="5" customFormat="1" x14ac:dyDescent="0.4"/>
    <row r="11158" s="5" customFormat="1" x14ac:dyDescent="0.4"/>
    <row r="11159" s="5" customFormat="1" x14ac:dyDescent="0.4"/>
    <row r="11160" s="5" customFormat="1" x14ac:dyDescent="0.4"/>
    <row r="11161" s="5" customFormat="1" x14ac:dyDescent="0.4"/>
    <row r="11162" s="5" customFormat="1" x14ac:dyDescent="0.4"/>
    <row r="11163" s="5" customFormat="1" x14ac:dyDescent="0.4"/>
    <row r="11164" s="5" customFormat="1" x14ac:dyDescent="0.4"/>
    <row r="11165" s="5" customFormat="1" x14ac:dyDescent="0.4"/>
    <row r="11166" s="5" customFormat="1" x14ac:dyDescent="0.4"/>
    <row r="11167" s="5" customFormat="1" x14ac:dyDescent="0.4"/>
    <row r="11168" s="5" customFormat="1" x14ac:dyDescent="0.4"/>
    <row r="11169" s="5" customFormat="1" x14ac:dyDescent="0.4"/>
    <row r="11170" s="5" customFormat="1" x14ac:dyDescent="0.4"/>
    <row r="11171" s="5" customFormat="1" x14ac:dyDescent="0.4"/>
    <row r="11172" s="5" customFormat="1" x14ac:dyDescent="0.4"/>
    <row r="11173" s="5" customFormat="1" x14ac:dyDescent="0.4"/>
    <row r="11174" s="5" customFormat="1" x14ac:dyDescent="0.4"/>
    <row r="11175" s="5" customFormat="1" x14ac:dyDescent="0.4"/>
    <row r="11176" s="5" customFormat="1" x14ac:dyDescent="0.4"/>
    <row r="11177" s="5" customFormat="1" x14ac:dyDescent="0.4"/>
    <row r="11178" s="5" customFormat="1" x14ac:dyDescent="0.4"/>
    <row r="11179" s="5" customFormat="1" x14ac:dyDescent="0.4"/>
    <row r="11180" s="5" customFormat="1" x14ac:dyDescent="0.4"/>
    <row r="11181" s="5" customFormat="1" x14ac:dyDescent="0.4"/>
    <row r="11182" s="5" customFormat="1" x14ac:dyDescent="0.4"/>
    <row r="11183" s="5" customFormat="1" x14ac:dyDescent="0.4"/>
    <row r="11184" s="5" customFormat="1" x14ac:dyDescent="0.4"/>
    <row r="11185" s="5" customFormat="1" x14ac:dyDescent="0.4"/>
    <row r="11186" s="5" customFormat="1" x14ac:dyDescent="0.4"/>
    <row r="11187" s="5" customFormat="1" x14ac:dyDescent="0.4"/>
    <row r="11188" s="5" customFormat="1" x14ac:dyDescent="0.4"/>
    <row r="11189" s="5" customFormat="1" x14ac:dyDescent="0.4"/>
    <row r="11190" s="5" customFormat="1" x14ac:dyDescent="0.4"/>
    <row r="11191" s="5" customFormat="1" x14ac:dyDescent="0.4"/>
    <row r="11192" s="5" customFormat="1" x14ac:dyDescent="0.4"/>
    <row r="11193" s="5" customFormat="1" x14ac:dyDescent="0.4"/>
    <row r="11194" s="5" customFormat="1" x14ac:dyDescent="0.4"/>
    <row r="11195" s="5" customFormat="1" x14ac:dyDescent="0.4"/>
    <row r="11196" s="5" customFormat="1" x14ac:dyDescent="0.4"/>
    <row r="11197" s="5" customFormat="1" x14ac:dyDescent="0.4"/>
    <row r="11198" s="5" customFormat="1" x14ac:dyDescent="0.4"/>
    <row r="11199" s="5" customFormat="1" x14ac:dyDescent="0.4"/>
    <row r="11200" s="5" customFormat="1" x14ac:dyDescent="0.4"/>
    <row r="11201" s="5" customFormat="1" x14ac:dyDescent="0.4"/>
    <row r="11202" s="5" customFormat="1" x14ac:dyDescent="0.4"/>
    <row r="11203" s="5" customFormat="1" x14ac:dyDescent="0.4"/>
    <row r="11204" s="5" customFormat="1" x14ac:dyDescent="0.4"/>
    <row r="11205" s="5" customFormat="1" x14ac:dyDescent="0.4"/>
    <row r="11206" s="5" customFormat="1" x14ac:dyDescent="0.4"/>
    <row r="11207" s="5" customFormat="1" x14ac:dyDescent="0.4"/>
    <row r="11208" s="5" customFormat="1" x14ac:dyDescent="0.4"/>
    <row r="11209" s="5" customFormat="1" x14ac:dyDescent="0.4"/>
    <row r="11210" s="5" customFormat="1" x14ac:dyDescent="0.4"/>
    <row r="11211" s="5" customFormat="1" x14ac:dyDescent="0.4"/>
    <row r="11212" s="5" customFormat="1" x14ac:dyDescent="0.4"/>
    <row r="11213" s="5" customFormat="1" x14ac:dyDescent="0.4"/>
    <row r="11214" s="5" customFormat="1" x14ac:dyDescent="0.4"/>
    <row r="11215" s="5" customFormat="1" x14ac:dyDescent="0.4"/>
    <row r="11216" s="5" customFormat="1" x14ac:dyDescent="0.4"/>
    <row r="11217" s="5" customFormat="1" x14ac:dyDescent="0.4"/>
    <row r="11218" s="5" customFormat="1" x14ac:dyDescent="0.4"/>
    <row r="11219" s="5" customFormat="1" x14ac:dyDescent="0.4"/>
    <row r="11220" s="5" customFormat="1" x14ac:dyDescent="0.4"/>
    <row r="11221" s="5" customFormat="1" x14ac:dyDescent="0.4"/>
    <row r="11222" s="5" customFormat="1" x14ac:dyDescent="0.4"/>
    <row r="11223" s="5" customFormat="1" x14ac:dyDescent="0.4"/>
    <row r="11224" s="5" customFormat="1" x14ac:dyDescent="0.4"/>
    <row r="11225" s="5" customFormat="1" x14ac:dyDescent="0.4"/>
    <row r="11226" s="5" customFormat="1" x14ac:dyDescent="0.4"/>
    <row r="11227" s="5" customFormat="1" x14ac:dyDescent="0.4"/>
    <row r="11228" s="5" customFormat="1" x14ac:dyDescent="0.4"/>
    <row r="11229" s="5" customFormat="1" x14ac:dyDescent="0.4"/>
    <row r="11230" s="5" customFormat="1" x14ac:dyDescent="0.4"/>
    <row r="11231" s="5" customFormat="1" x14ac:dyDescent="0.4"/>
    <row r="11232" s="5" customFormat="1" x14ac:dyDescent="0.4"/>
    <row r="11233" s="5" customFormat="1" x14ac:dyDescent="0.4"/>
    <row r="11234" s="5" customFormat="1" x14ac:dyDescent="0.4"/>
    <row r="11235" s="5" customFormat="1" x14ac:dyDescent="0.4"/>
    <row r="11236" s="5" customFormat="1" x14ac:dyDescent="0.4"/>
    <row r="11237" s="5" customFormat="1" x14ac:dyDescent="0.4"/>
    <row r="11238" s="5" customFormat="1" x14ac:dyDescent="0.4"/>
    <row r="11239" s="5" customFormat="1" x14ac:dyDescent="0.4"/>
    <row r="11240" s="5" customFormat="1" x14ac:dyDescent="0.4"/>
    <row r="11241" s="5" customFormat="1" x14ac:dyDescent="0.4"/>
    <row r="11242" s="5" customFormat="1" x14ac:dyDescent="0.4"/>
    <row r="11243" s="5" customFormat="1" x14ac:dyDescent="0.4"/>
    <row r="11244" s="5" customFormat="1" x14ac:dyDescent="0.4"/>
    <row r="11245" s="5" customFormat="1" x14ac:dyDescent="0.4"/>
    <row r="11246" s="5" customFormat="1" x14ac:dyDescent="0.4"/>
    <row r="11247" s="5" customFormat="1" x14ac:dyDescent="0.4"/>
    <row r="11248" s="5" customFormat="1" x14ac:dyDescent="0.4"/>
    <row r="11249" s="5" customFormat="1" x14ac:dyDescent="0.4"/>
    <row r="11250" s="5" customFormat="1" x14ac:dyDescent="0.4"/>
    <row r="11251" s="5" customFormat="1" x14ac:dyDescent="0.4"/>
    <row r="11252" s="5" customFormat="1" x14ac:dyDescent="0.4"/>
    <row r="11253" s="5" customFormat="1" x14ac:dyDescent="0.4"/>
    <row r="11254" s="5" customFormat="1" x14ac:dyDescent="0.4"/>
    <row r="11255" s="5" customFormat="1" x14ac:dyDescent="0.4"/>
    <row r="11256" s="5" customFormat="1" x14ac:dyDescent="0.4"/>
    <row r="11257" s="5" customFormat="1" x14ac:dyDescent="0.4"/>
    <row r="11258" s="5" customFormat="1" x14ac:dyDescent="0.4"/>
    <row r="11259" s="5" customFormat="1" x14ac:dyDescent="0.4"/>
    <row r="11260" s="5" customFormat="1" x14ac:dyDescent="0.4"/>
    <row r="11261" s="5" customFormat="1" x14ac:dyDescent="0.4"/>
    <row r="11262" s="5" customFormat="1" x14ac:dyDescent="0.4"/>
    <row r="11263" s="5" customFormat="1" x14ac:dyDescent="0.4"/>
    <row r="11264" s="5" customFormat="1" x14ac:dyDescent="0.4"/>
    <row r="11265" s="5" customFormat="1" x14ac:dyDescent="0.4"/>
    <row r="11266" s="5" customFormat="1" x14ac:dyDescent="0.4"/>
    <row r="11267" s="5" customFormat="1" x14ac:dyDescent="0.4"/>
    <row r="11268" s="5" customFormat="1" x14ac:dyDescent="0.4"/>
    <row r="11269" s="5" customFormat="1" x14ac:dyDescent="0.4"/>
    <row r="11270" s="5" customFormat="1" x14ac:dyDescent="0.4"/>
    <row r="11271" s="5" customFormat="1" x14ac:dyDescent="0.4"/>
    <row r="11272" s="5" customFormat="1" x14ac:dyDescent="0.4"/>
    <row r="11273" s="5" customFormat="1" x14ac:dyDescent="0.4"/>
    <row r="11274" s="5" customFormat="1" x14ac:dyDescent="0.4"/>
    <row r="11275" s="5" customFormat="1" x14ac:dyDescent="0.4"/>
    <row r="11276" s="5" customFormat="1" x14ac:dyDescent="0.4"/>
    <row r="11277" s="5" customFormat="1" x14ac:dyDescent="0.4"/>
    <row r="11278" s="5" customFormat="1" x14ac:dyDescent="0.4"/>
    <row r="11279" s="5" customFormat="1" x14ac:dyDescent="0.4"/>
    <row r="11280" s="5" customFormat="1" x14ac:dyDescent="0.4"/>
    <row r="11281" s="5" customFormat="1" x14ac:dyDescent="0.4"/>
    <row r="11282" s="5" customFormat="1" x14ac:dyDescent="0.4"/>
    <row r="11283" s="5" customFormat="1" x14ac:dyDescent="0.4"/>
    <row r="11284" s="5" customFormat="1" x14ac:dyDescent="0.4"/>
    <row r="11285" s="5" customFormat="1" x14ac:dyDescent="0.4"/>
    <row r="11286" s="5" customFormat="1" x14ac:dyDescent="0.4"/>
    <row r="11287" s="5" customFormat="1" x14ac:dyDescent="0.4"/>
    <row r="11288" s="5" customFormat="1" x14ac:dyDescent="0.4"/>
    <row r="11289" s="5" customFormat="1" x14ac:dyDescent="0.4"/>
    <row r="11290" s="5" customFormat="1" x14ac:dyDescent="0.4"/>
    <row r="11291" s="5" customFormat="1" x14ac:dyDescent="0.4"/>
    <row r="11292" s="5" customFormat="1" x14ac:dyDescent="0.4"/>
    <row r="11293" s="5" customFormat="1" x14ac:dyDescent="0.4"/>
    <row r="11294" s="5" customFormat="1" x14ac:dyDescent="0.4"/>
    <row r="11295" s="5" customFormat="1" x14ac:dyDescent="0.4"/>
    <row r="11296" s="5" customFormat="1" x14ac:dyDescent="0.4"/>
    <row r="11297" s="5" customFormat="1" x14ac:dyDescent="0.4"/>
    <row r="11298" s="5" customFormat="1" x14ac:dyDescent="0.4"/>
    <row r="11299" s="5" customFormat="1" x14ac:dyDescent="0.4"/>
    <row r="11300" s="5" customFormat="1" x14ac:dyDescent="0.4"/>
    <row r="11301" s="5" customFormat="1" x14ac:dyDescent="0.4"/>
    <row r="11302" s="5" customFormat="1" x14ac:dyDescent="0.4"/>
    <row r="11303" s="5" customFormat="1" x14ac:dyDescent="0.4"/>
    <row r="11304" s="5" customFormat="1" x14ac:dyDescent="0.4"/>
    <row r="11305" s="5" customFormat="1" x14ac:dyDescent="0.4"/>
    <row r="11306" s="5" customFormat="1" x14ac:dyDescent="0.4"/>
    <row r="11307" s="5" customFormat="1" x14ac:dyDescent="0.4"/>
    <row r="11308" s="5" customFormat="1" x14ac:dyDescent="0.4"/>
    <row r="11309" s="5" customFormat="1" x14ac:dyDescent="0.4"/>
    <row r="11310" s="5" customFormat="1" x14ac:dyDescent="0.4"/>
    <row r="11311" s="5" customFormat="1" x14ac:dyDescent="0.4"/>
    <row r="11312" s="5" customFormat="1" x14ac:dyDescent="0.4"/>
    <row r="11313" s="5" customFormat="1" x14ac:dyDescent="0.4"/>
    <row r="11314" s="5" customFormat="1" x14ac:dyDescent="0.4"/>
    <row r="11315" s="5" customFormat="1" x14ac:dyDescent="0.4"/>
    <row r="11316" s="5" customFormat="1" x14ac:dyDescent="0.4"/>
    <row r="11317" s="5" customFormat="1" x14ac:dyDescent="0.4"/>
    <row r="11318" s="5" customFormat="1" x14ac:dyDescent="0.4"/>
    <row r="11319" s="5" customFormat="1" x14ac:dyDescent="0.4"/>
    <row r="11320" s="5" customFormat="1" x14ac:dyDescent="0.4"/>
    <row r="11321" s="5" customFormat="1" x14ac:dyDescent="0.4"/>
    <row r="11322" s="5" customFormat="1" x14ac:dyDescent="0.4"/>
    <row r="11323" s="5" customFormat="1" x14ac:dyDescent="0.4"/>
    <row r="11324" s="5" customFormat="1" x14ac:dyDescent="0.4"/>
    <row r="11325" s="5" customFormat="1" x14ac:dyDescent="0.4"/>
    <row r="11326" s="5" customFormat="1" x14ac:dyDescent="0.4"/>
    <row r="11327" s="5" customFormat="1" x14ac:dyDescent="0.4"/>
    <row r="11328" s="5" customFormat="1" x14ac:dyDescent="0.4"/>
    <row r="11329" s="5" customFormat="1" x14ac:dyDescent="0.4"/>
    <row r="11330" s="5" customFormat="1" x14ac:dyDescent="0.4"/>
    <row r="11331" s="5" customFormat="1" x14ac:dyDescent="0.4"/>
    <row r="11332" s="5" customFormat="1" x14ac:dyDescent="0.4"/>
    <row r="11333" s="5" customFormat="1" x14ac:dyDescent="0.4"/>
    <row r="11334" s="5" customFormat="1" x14ac:dyDescent="0.4"/>
    <row r="11335" s="5" customFormat="1" x14ac:dyDescent="0.4"/>
    <row r="11336" s="5" customFormat="1" x14ac:dyDescent="0.4"/>
    <row r="11337" s="5" customFormat="1" x14ac:dyDescent="0.4"/>
    <row r="11338" s="5" customFormat="1" x14ac:dyDescent="0.4"/>
    <row r="11339" s="5" customFormat="1" x14ac:dyDescent="0.4"/>
    <row r="11340" s="5" customFormat="1" x14ac:dyDescent="0.4"/>
    <row r="11341" s="5" customFormat="1" x14ac:dyDescent="0.4"/>
    <row r="11342" s="5" customFormat="1" x14ac:dyDescent="0.4"/>
    <row r="11343" s="5" customFormat="1" x14ac:dyDescent="0.4"/>
    <row r="11344" s="5" customFormat="1" x14ac:dyDescent="0.4"/>
    <row r="11345" s="5" customFormat="1" x14ac:dyDescent="0.4"/>
    <row r="11346" s="5" customFormat="1" x14ac:dyDescent="0.4"/>
    <row r="11347" s="5" customFormat="1" x14ac:dyDescent="0.4"/>
    <row r="11348" s="5" customFormat="1" x14ac:dyDescent="0.4"/>
    <row r="11349" s="5" customFormat="1" x14ac:dyDescent="0.4"/>
    <row r="11350" s="5" customFormat="1" x14ac:dyDescent="0.4"/>
    <row r="11351" s="5" customFormat="1" x14ac:dyDescent="0.4"/>
    <row r="11352" s="5" customFormat="1" x14ac:dyDescent="0.4"/>
    <row r="11353" s="5" customFormat="1" x14ac:dyDescent="0.4"/>
    <row r="11354" s="5" customFormat="1" x14ac:dyDescent="0.4"/>
    <row r="11355" s="5" customFormat="1" x14ac:dyDescent="0.4"/>
    <row r="11356" s="5" customFormat="1" x14ac:dyDescent="0.4"/>
    <row r="11357" s="5" customFormat="1" x14ac:dyDescent="0.4"/>
    <row r="11358" s="5" customFormat="1" x14ac:dyDescent="0.4"/>
    <row r="11359" s="5" customFormat="1" x14ac:dyDescent="0.4"/>
    <row r="11360" s="5" customFormat="1" x14ac:dyDescent="0.4"/>
    <row r="11361" s="5" customFormat="1" x14ac:dyDescent="0.4"/>
    <row r="11362" s="5" customFormat="1" x14ac:dyDescent="0.4"/>
    <row r="11363" s="5" customFormat="1" x14ac:dyDescent="0.4"/>
    <row r="11364" s="5" customFormat="1" x14ac:dyDescent="0.4"/>
    <row r="11365" s="5" customFormat="1" x14ac:dyDescent="0.4"/>
    <row r="11366" s="5" customFormat="1" x14ac:dyDescent="0.4"/>
    <row r="11367" s="5" customFormat="1" x14ac:dyDescent="0.4"/>
    <row r="11368" s="5" customFormat="1" x14ac:dyDescent="0.4"/>
    <row r="11369" s="5" customFormat="1" x14ac:dyDescent="0.4"/>
    <row r="11370" s="5" customFormat="1" x14ac:dyDescent="0.4"/>
    <row r="11371" s="5" customFormat="1" x14ac:dyDescent="0.4"/>
    <row r="11372" s="5" customFormat="1" x14ac:dyDescent="0.4"/>
    <row r="11373" s="5" customFormat="1" x14ac:dyDescent="0.4"/>
    <row r="11374" s="5" customFormat="1" x14ac:dyDescent="0.4"/>
    <row r="11375" s="5" customFormat="1" x14ac:dyDescent="0.4"/>
    <row r="11376" s="5" customFormat="1" x14ac:dyDescent="0.4"/>
    <row r="11377" s="5" customFormat="1" x14ac:dyDescent="0.4"/>
    <row r="11378" s="5" customFormat="1" x14ac:dyDescent="0.4"/>
    <row r="11379" s="5" customFormat="1" x14ac:dyDescent="0.4"/>
    <row r="11380" s="5" customFormat="1" x14ac:dyDescent="0.4"/>
    <row r="11381" s="5" customFormat="1" x14ac:dyDescent="0.4"/>
    <row r="11382" s="5" customFormat="1" x14ac:dyDescent="0.4"/>
    <row r="11383" s="5" customFormat="1" x14ac:dyDescent="0.4"/>
    <row r="11384" s="5" customFormat="1" x14ac:dyDescent="0.4"/>
    <row r="11385" s="5" customFormat="1" x14ac:dyDescent="0.4"/>
    <row r="11386" s="5" customFormat="1" x14ac:dyDescent="0.4"/>
    <row r="11387" s="5" customFormat="1" x14ac:dyDescent="0.4"/>
    <row r="11388" s="5" customFormat="1" x14ac:dyDescent="0.4"/>
    <row r="11389" s="5" customFormat="1" x14ac:dyDescent="0.4"/>
    <row r="11390" s="5" customFormat="1" x14ac:dyDescent="0.4"/>
    <row r="11391" s="5" customFormat="1" x14ac:dyDescent="0.4"/>
    <row r="11392" s="5" customFormat="1" x14ac:dyDescent="0.4"/>
    <row r="11393" s="5" customFormat="1" x14ac:dyDescent="0.4"/>
    <row r="11394" s="5" customFormat="1" x14ac:dyDescent="0.4"/>
    <row r="11395" s="5" customFormat="1" x14ac:dyDescent="0.4"/>
    <row r="11396" s="5" customFormat="1" x14ac:dyDescent="0.4"/>
    <row r="11397" s="5" customFormat="1" x14ac:dyDescent="0.4"/>
    <row r="11398" s="5" customFormat="1" x14ac:dyDescent="0.4"/>
    <row r="11399" s="5" customFormat="1" x14ac:dyDescent="0.4"/>
    <row r="11400" s="5" customFormat="1" x14ac:dyDescent="0.4"/>
    <row r="11401" s="5" customFormat="1" x14ac:dyDescent="0.4"/>
    <row r="11402" s="5" customFormat="1" x14ac:dyDescent="0.4"/>
    <row r="11403" s="5" customFormat="1" x14ac:dyDescent="0.4"/>
    <row r="11404" s="5" customFormat="1" x14ac:dyDescent="0.4"/>
    <row r="11405" s="5" customFormat="1" x14ac:dyDescent="0.4"/>
    <row r="11406" s="5" customFormat="1" x14ac:dyDescent="0.4"/>
    <row r="11407" s="5" customFormat="1" x14ac:dyDescent="0.4"/>
    <row r="11408" s="5" customFormat="1" x14ac:dyDescent="0.4"/>
    <row r="11409" s="5" customFormat="1" x14ac:dyDescent="0.4"/>
    <row r="11410" s="5" customFormat="1" x14ac:dyDescent="0.4"/>
    <row r="11411" s="5" customFormat="1" x14ac:dyDescent="0.4"/>
    <row r="11412" s="5" customFormat="1" x14ac:dyDescent="0.4"/>
    <row r="11413" s="5" customFormat="1" x14ac:dyDescent="0.4"/>
    <row r="11414" s="5" customFormat="1" x14ac:dyDescent="0.4"/>
    <row r="11415" s="5" customFormat="1" x14ac:dyDescent="0.4"/>
    <row r="11416" s="5" customFormat="1" x14ac:dyDescent="0.4"/>
    <row r="11417" s="5" customFormat="1" x14ac:dyDescent="0.4"/>
    <row r="11418" s="5" customFormat="1" x14ac:dyDescent="0.4"/>
    <row r="11419" s="5" customFormat="1" x14ac:dyDescent="0.4"/>
    <row r="11420" s="5" customFormat="1" x14ac:dyDescent="0.4"/>
    <row r="11421" s="5" customFormat="1" x14ac:dyDescent="0.4"/>
    <row r="11422" s="5" customFormat="1" x14ac:dyDescent="0.4"/>
    <row r="11423" s="5" customFormat="1" x14ac:dyDescent="0.4"/>
    <row r="11424" s="5" customFormat="1" x14ac:dyDescent="0.4"/>
    <row r="11425" s="5" customFormat="1" x14ac:dyDescent="0.4"/>
    <row r="11426" s="5" customFormat="1" x14ac:dyDescent="0.4"/>
    <row r="11427" s="5" customFormat="1" x14ac:dyDescent="0.4"/>
    <row r="11428" s="5" customFormat="1" x14ac:dyDescent="0.4"/>
    <row r="11429" s="5" customFormat="1" x14ac:dyDescent="0.4"/>
    <row r="11430" s="5" customFormat="1" x14ac:dyDescent="0.4"/>
    <row r="11431" s="5" customFormat="1" x14ac:dyDescent="0.4"/>
    <row r="11432" s="5" customFormat="1" x14ac:dyDescent="0.4"/>
    <row r="11433" s="5" customFormat="1" x14ac:dyDescent="0.4"/>
    <row r="11434" s="5" customFormat="1" x14ac:dyDescent="0.4"/>
    <row r="11435" s="5" customFormat="1" x14ac:dyDescent="0.4"/>
    <row r="11436" s="5" customFormat="1" x14ac:dyDescent="0.4"/>
    <row r="11437" s="5" customFormat="1" x14ac:dyDescent="0.4"/>
    <row r="11438" s="5" customFormat="1" x14ac:dyDescent="0.4"/>
    <row r="11439" s="5" customFormat="1" x14ac:dyDescent="0.4"/>
    <row r="11440" s="5" customFormat="1" x14ac:dyDescent="0.4"/>
    <row r="11441" s="5" customFormat="1" x14ac:dyDescent="0.4"/>
    <row r="11442" s="5" customFormat="1" x14ac:dyDescent="0.4"/>
    <row r="11443" s="5" customFormat="1" x14ac:dyDescent="0.4"/>
    <row r="11444" s="5" customFormat="1" x14ac:dyDescent="0.4"/>
    <row r="11445" s="5" customFormat="1" x14ac:dyDescent="0.4"/>
    <row r="11446" s="5" customFormat="1" x14ac:dyDescent="0.4"/>
    <row r="11447" s="5" customFormat="1" x14ac:dyDescent="0.4"/>
    <row r="11448" s="5" customFormat="1" x14ac:dyDescent="0.4"/>
    <row r="11449" s="5" customFormat="1" x14ac:dyDescent="0.4"/>
    <row r="11450" s="5" customFormat="1" x14ac:dyDescent="0.4"/>
    <row r="11451" s="5" customFormat="1" x14ac:dyDescent="0.4"/>
    <row r="11452" s="5" customFormat="1" x14ac:dyDescent="0.4"/>
    <row r="11453" s="5" customFormat="1" x14ac:dyDescent="0.4"/>
    <row r="11454" s="5" customFormat="1" x14ac:dyDescent="0.4"/>
    <row r="11455" s="5" customFormat="1" x14ac:dyDescent="0.4"/>
    <row r="11456" s="5" customFormat="1" x14ac:dyDescent="0.4"/>
    <row r="11457" s="5" customFormat="1" x14ac:dyDescent="0.4"/>
    <row r="11458" s="5" customFormat="1" x14ac:dyDescent="0.4"/>
    <row r="11459" s="5" customFormat="1" x14ac:dyDescent="0.4"/>
    <row r="11460" s="5" customFormat="1" x14ac:dyDescent="0.4"/>
    <row r="11461" s="5" customFormat="1" x14ac:dyDescent="0.4"/>
    <row r="11462" s="5" customFormat="1" x14ac:dyDescent="0.4"/>
    <row r="11463" s="5" customFormat="1" x14ac:dyDescent="0.4"/>
    <row r="11464" s="5" customFormat="1" x14ac:dyDescent="0.4"/>
    <row r="11465" s="5" customFormat="1" x14ac:dyDescent="0.4"/>
    <row r="11466" s="5" customFormat="1" x14ac:dyDescent="0.4"/>
    <row r="11467" s="5" customFormat="1" x14ac:dyDescent="0.4"/>
    <row r="11468" s="5" customFormat="1" x14ac:dyDescent="0.4"/>
    <row r="11469" s="5" customFormat="1" x14ac:dyDescent="0.4"/>
    <row r="11470" s="5" customFormat="1" x14ac:dyDescent="0.4"/>
    <row r="11471" s="5" customFormat="1" x14ac:dyDescent="0.4"/>
    <row r="11472" s="5" customFormat="1" x14ac:dyDescent="0.4"/>
    <row r="11473" s="5" customFormat="1" x14ac:dyDescent="0.4"/>
    <row r="11474" s="5" customFormat="1" x14ac:dyDescent="0.4"/>
    <row r="11475" s="5" customFormat="1" x14ac:dyDescent="0.4"/>
    <row r="11476" s="5" customFormat="1" x14ac:dyDescent="0.4"/>
    <row r="11477" s="5" customFormat="1" x14ac:dyDescent="0.4"/>
    <row r="11478" s="5" customFormat="1" x14ac:dyDescent="0.4"/>
    <row r="11479" s="5" customFormat="1" x14ac:dyDescent="0.4"/>
    <row r="11480" s="5" customFormat="1" x14ac:dyDescent="0.4"/>
    <row r="11481" s="5" customFormat="1" x14ac:dyDescent="0.4"/>
    <row r="11482" s="5" customFormat="1" x14ac:dyDescent="0.4"/>
    <row r="11483" s="5" customFormat="1" x14ac:dyDescent="0.4"/>
    <row r="11484" s="5" customFormat="1" x14ac:dyDescent="0.4"/>
    <row r="11485" s="5" customFormat="1" x14ac:dyDescent="0.4"/>
    <row r="11486" s="5" customFormat="1" x14ac:dyDescent="0.4"/>
    <row r="11487" s="5" customFormat="1" x14ac:dyDescent="0.4"/>
    <row r="11488" s="5" customFormat="1" x14ac:dyDescent="0.4"/>
    <row r="11489" s="5" customFormat="1" x14ac:dyDescent="0.4"/>
    <row r="11490" s="5" customFormat="1" x14ac:dyDescent="0.4"/>
    <row r="11491" s="5" customFormat="1" x14ac:dyDescent="0.4"/>
    <row r="11492" s="5" customFormat="1" x14ac:dyDescent="0.4"/>
    <row r="11493" s="5" customFormat="1" x14ac:dyDescent="0.4"/>
    <row r="11494" s="5" customFormat="1" x14ac:dyDescent="0.4"/>
    <row r="11495" s="5" customFormat="1" x14ac:dyDescent="0.4"/>
    <row r="11496" s="5" customFormat="1" x14ac:dyDescent="0.4"/>
    <row r="11497" s="5" customFormat="1" x14ac:dyDescent="0.4"/>
    <row r="11498" s="5" customFormat="1" x14ac:dyDescent="0.4"/>
    <row r="11499" s="5" customFormat="1" x14ac:dyDescent="0.4"/>
    <row r="11500" s="5" customFormat="1" x14ac:dyDescent="0.4"/>
    <row r="11501" s="5" customFormat="1" x14ac:dyDescent="0.4"/>
    <row r="11502" s="5" customFormat="1" x14ac:dyDescent="0.4"/>
    <row r="11503" s="5" customFormat="1" x14ac:dyDescent="0.4"/>
    <row r="11504" s="5" customFormat="1" x14ac:dyDescent="0.4"/>
    <row r="11505" s="5" customFormat="1" x14ac:dyDescent="0.4"/>
    <row r="11506" s="5" customFormat="1" x14ac:dyDescent="0.4"/>
    <row r="11507" s="5" customFormat="1" x14ac:dyDescent="0.4"/>
    <row r="11508" s="5" customFormat="1" x14ac:dyDescent="0.4"/>
    <row r="11509" s="5" customFormat="1" x14ac:dyDescent="0.4"/>
    <row r="11510" s="5" customFormat="1" x14ac:dyDescent="0.4"/>
    <row r="11511" s="5" customFormat="1" x14ac:dyDescent="0.4"/>
    <row r="11512" s="5" customFormat="1" x14ac:dyDescent="0.4"/>
    <row r="11513" s="5" customFormat="1" x14ac:dyDescent="0.4"/>
    <row r="11514" s="5" customFormat="1" x14ac:dyDescent="0.4"/>
    <row r="11515" s="5" customFormat="1" x14ac:dyDescent="0.4"/>
    <row r="11516" s="5" customFormat="1" x14ac:dyDescent="0.4"/>
    <row r="11517" s="5" customFormat="1" x14ac:dyDescent="0.4"/>
    <row r="11518" s="5" customFormat="1" x14ac:dyDescent="0.4"/>
    <row r="11519" s="5" customFormat="1" x14ac:dyDescent="0.4"/>
    <row r="11520" s="5" customFormat="1" x14ac:dyDescent="0.4"/>
    <row r="11521" s="5" customFormat="1" x14ac:dyDescent="0.4"/>
    <row r="11522" s="5" customFormat="1" x14ac:dyDescent="0.4"/>
    <row r="11523" s="5" customFormat="1" x14ac:dyDescent="0.4"/>
    <row r="11524" s="5" customFormat="1" x14ac:dyDescent="0.4"/>
    <row r="11525" s="5" customFormat="1" x14ac:dyDescent="0.4"/>
    <row r="11526" s="5" customFormat="1" x14ac:dyDescent="0.4"/>
    <row r="11527" s="5" customFormat="1" x14ac:dyDescent="0.4"/>
    <row r="11528" s="5" customFormat="1" x14ac:dyDescent="0.4"/>
    <row r="11529" s="5" customFormat="1" x14ac:dyDescent="0.4"/>
    <row r="11530" s="5" customFormat="1" x14ac:dyDescent="0.4"/>
    <row r="11531" s="5" customFormat="1" x14ac:dyDescent="0.4"/>
    <row r="11532" s="5" customFormat="1" x14ac:dyDescent="0.4"/>
    <row r="11533" s="5" customFormat="1" x14ac:dyDescent="0.4"/>
    <row r="11534" s="5" customFormat="1" x14ac:dyDescent="0.4"/>
    <row r="11535" s="5" customFormat="1" x14ac:dyDescent="0.4"/>
    <row r="11536" s="5" customFormat="1" x14ac:dyDescent="0.4"/>
    <row r="11537" s="5" customFormat="1" x14ac:dyDescent="0.4"/>
    <row r="11538" s="5" customFormat="1" x14ac:dyDescent="0.4"/>
    <row r="11539" s="5" customFormat="1" x14ac:dyDescent="0.4"/>
    <row r="11540" s="5" customFormat="1" x14ac:dyDescent="0.4"/>
    <row r="11541" s="5" customFormat="1" x14ac:dyDescent="0.4"/>
    <row r="11542" s="5" customFormat="1" x14ac:dyDescent="0.4"/>
    <row r="11543" s="5" customFormat="1" x14ac:dyDescent="0.4"/>
    <row r="11544" s="5" customFormat="1" x14ac:dyDescent="0.4"/>
    <row r="11545" s="5" customFormat="1" x14ac:dyDescent="0.4"/>
    <row r="11546" s="5" customFormat="1" x14ac:dyDescent="0.4"/>
    <row r="11547" s="5" customFormat="1" x14ac:dyDescent="0.4"/>
    <row r="11548" s="5" customFormat="1" x14ac:dyDescent="0.4"/>
    <row r="11549" s="5" customFormat="1" x14ac:dyDescent="0.4"/>
    <row r="11550" s="5" customFormat="1" x14ac:dyDescent="0.4"/>
    <row r="11551" s="5" customFormat="1" x14ac:dyDescent="0.4"/>
    <row r="11552" s="5" customFormat="1" x14ac:dyDescent="0.4"/>
    <row r="11553" s="5" customFormat="1" x14ac:dyDescent="0.4"/>
    <row r="11554" s="5" customFormat="1" x14ac:dyDescent="0.4"/>
    <row r="11555" s="5" customFormat="1" x14ac:dyDescent="0.4"/>
    <row r="11556" s="5" customFormat="1" x14ac:dyDescent="0.4"/>
    <row r="11557" s="5" customFormat="1" x14ac:dyDescent="0.4"/>
    <row r="11558" s="5" customFormat="1" x14ac:dyDescent="0.4"/>
    <row r="11559" s="5" customFormat="1" x14ac:dyDescent="0.4"/>
    <row r="11560" s="5" customFormat="1" x14ac:dyDescent="0.4"/>
    <row r="11561" s="5" customFormat="1" x14ac:dyDescent="0.4"/>
    <row r="11562" s="5" customFormat="1" x14ac:dyDescent="0.4"/>
    <row r="11563" s="5" customFormat="1" x14ac:dyDescent="0.4"/>
    <row r="11564" s="5" customFormat="1" x14ac:dyDescent="0.4"/>
    <row r="11565" s="5" customFormat="1" x14ac:dyDescent="0.4"/>
    <row r="11566" s="5" customFormat="1" x14ac:dyDescent="0.4"/>
    <row r="11567" s="5" customFormat="1" x14ac:dyDescent="0.4"/>
    <row r="11568" s="5" customFormat="1" x14ac:dyDescent="0.4"/>
    <row r="11569" s="5" customFormat="1" x14ac:dyDescent="0.4"/>
    <row r="11570" s="5" customFormat="1" x14ac:dyDescent="0.4"/>
    <row r="11571" s="5" customFormat="1" x14ac:dyDescent="0.4"/>
    <row r="11572" s="5" customFormat="1" x14ac:dyDescent="0.4"/>
    <row r="11573" s="5" customFormat="1" x14ac:dyDescent="0.4"/>
    <row r="11574" s="5" customFormat="1" x14ac:dyDescent="0.4"/>
    <row r="11575" s="5" customFormat="1" x14ac:dyDescent="0.4"/>
    <row r="11576" s="5" customFormat="1" x14ac:dyDescent="0.4"/>
    <row r="11577" s="5" customFormat="1" x14ac:dyDescent="0.4"/>
    <row r="11578" s="5" customFormat="1" x14ac:dyDescent="0.4"/>
    <row r="11579" s="5" customFormat="1" x14ac:dyDescent="0.4"/>
    <row r="11580" s="5" customFormat="1" x14ac:dyDescent="0.4"/>
    <row r="11581" s="5" customFormat="1" x14ac:dyDescent="0.4"/>
    <row r="11582" s="5" customFormat="1" x14ac:dyDescent="0.4"/>
    <row r="11583" s="5" customFormat="1" x14ac:dyDescent="0.4"/>
    <row r="11584" s="5" customFormat="1" x14ac:dyDescent="0.4"/>
    <row r="11585" s="5" customFormat="1" x14ac:dyDescent="0.4"/>
    <row r="11586" s="5" customFormat="1" x14ac:dyDescent="0.4"/>
    <row r="11587" s="5" customFormat="1" x14ac:dyDescent="0.4"/>
    <row r="11588" s="5" customFormat="1" x14ac:dyDescent="0.4"/>
    <row r="11589" s="5" customFormat="1" x14ac:dyDescent="0.4"/>
    <row r="11590" s="5" customFormat="1" x14ac:dyDescent="0.4"/>
    <row r="11591" s="5" customFormat="1" x14ac:dyDescent="0.4"/>
    <row r="11592" s="5" customFormat="1" x14ac:dyDescent="0.4"/>
    <row r="11593" s="5" customFormat="1" x14ac:dyDescent="0.4"/>
    <row r="11594" s="5" customFormat="1" x14ac:dyDescent="0.4"/>
    <row r="11595" s="5" customFormat="1" x14ac:dyDescent="0.4"/>
    <row r="11596" s="5" customFormat="1" x14ac:dyDescent="0.4"/>
    <row r="11597" s="5" customFormat="1" x14ac:dyDescent="0.4"/>
    <row r="11598" s="5" customFormat="1" x14ac:dyDescent="0.4"/>
    <row r="11599" s="5" customFormat="1" x14ac:dyDescent="0.4"/>
    <row r="11600" s="5" customFormat="1" x14ac:dyDescent="0.4"/>
    <row r="11601" s="5" customFormat="1" x14ac:dyDescent="0.4"/>
    <row r="11602" s="5" customFormat="1" x14ac:dyDescent="0.4"/>
    <row r="11603" s="5" customFormat="1" x14ac:dyDescent="0.4"/>
    <row r="11604" s="5" customFormat="1" x14ac:dyDescent="0.4"/>
    <row r="11605" s="5" customFormat="1" x14ac:dyDescent="0.4"/>
    <row r="11606" s="5" customFormat="1" x14ac:dyDescent="0.4"/>
    <row r="11607" s="5" customFormat="1" x14ac:dyDescent="0.4"/>
    <row r="11608" s="5" customFormat="1" x14ac:dyDescent="0.4"/>
    <row r="11609" s="5" customFormat="1" x14ac:dyDescent="0.4"/>
    <row r="11610" s="5" customFormat="1" x14ac:dyDescent="0.4"/>
    <row r="11611" s="5" customFormat="1" x14ac:dyDescent="0.4"/>
    <row r="11612" s="5" customFormat="1" x14ac:dyDescent="0.4"/>
    <row r="11613" s="5" customFormat="1" x14ac:dyDescent="0.4"/>
    <row r="11614" s="5" customFormat="1" x14ac:dyDescent="0.4"/>
    <row r="11615" s="5" customFormat="1" x14ac:dyDescent="0.4"/>
    <row r="11616" s="5" customFormat="1" x14ac:dyDescent="0.4"/>
    <row r="11617" s="5" customFormat="1" x14ac:dyDescent="0.4"/>
    <row r="11618" s="5" customFormat="1" x14ac:dyDescent="0.4"/>
    <row r="11619" s="5" customFormat="1" x14ac:dyDescent="0.4"/>
    <row r="11620" s="5" customFormat="1" x14ac:dyDescent="0.4"/>
    <row r="11621" s="5" customFormat="1" x14ac:dyDescent="0.4"/>
    <row r="11622" s="5" customFormat="1" x14ac:dyDescent="0.4"/>
    <row r="11623" s="5" customFormat="1" x14ac:dyDescent="0.4"/>
    <row r="11624" s="5" customFormat="1" x14ac:dyDescent="0.4"/>
    <row r="11625" s="5" customFormat="1" x14ac:dyDescent="0.4"/>
    <row r="11626" s="5" customFormat="1" x14ac:dyDescent="0.4"/>
    <row r="11627" s="5" customFormat="1" x14ac:dyDescent="0.4"/>
    <row r="11628" s="5" customFormat="1" x14ac:dyDescent="0.4"/>
    <row r="11629" s="5" customFormat="1" x14ac:dyDescent="0.4"/>
    <row r="11630" s="5" customFormat="1" x14ac:dyDescent="0.4"/>
    <row r="11631" s="5" customFormat="1" x14ac:dyDescent="0.4"/>
    <row r="11632" s="5" customFormat="1" x14ac:dyDescent="0.4"/>
    <row r="11633" s="5" customFormat="1" x14ac:dyDescent="0.4"/>
    <row r="11634" s="5" customFormat="1" x14ac:dyDescent="0.4"/>
    <row r="11635" s="5" customFormat="1" x14ac:dyDescent="0.4"/>
    <row r="11636" s="5" customFormat="1" x14ac:dyDescent="0.4"/>
    <row r="11637" s="5" customFormat="1" x14ac:dyDescent="0.4"/>
    <row r="11638" s="5" customFormat="1" x14ac:dyDescent="0.4"/>
    <row r="11639" s="5" customFormat="1" x14ac:dyDescent="0.4"/>
    <row r="11640" s="5" customFormat="1" x14ac:dyDescent="0.4"/>
    <row r="11641" s="5" customFormat="1" x14ac:dyDescent="0.4"/>
    <row r="11642" s="5" customFormat="1" x14ac:dyDescent="0.4"/>
    <row r="11643" s="5" customFormat="1" x14ac:dyDescent="0.4"/>
    <row r="11644" s="5" customFormat="1" x14ac:dyDescent="0.4"/>
    <row r="11645" s="5" customFormat="1" x14ac:dyDescent="0.4"/>
    <row r="11646" s="5" customFormat="1" x14ac:dyDescent="0.4"/>
    <row r="11647" s="5" customFormat="1" x14ac:dyDescent="0.4"/>
    <row r="11648" s="5" customFormat="1" x14ac:dyDescent="0.4"/>
    <row r="11649" s="5" customFormat="1" x14ac:dyDescent="0.4"/>
    <row r="11650" s="5" customFormat="1" x14ac:dyDescent="0.4"/>
    <row r="11651" s="5" customFormat="1" x14ac:dyDescent="0.4"/>
    <row r="11652" s="5" customFormat="1" x14ac:dyDescent="0.4"/>
    <row r="11653" s="5" customFormat="1" x14ac:dyDescent="0.4"/>
    <row r="11654" s="5" customFormat="1" x14ac:dyDescent="0.4"/>
    <row r="11655" s="5" customFormat="1" x14ac:dyDescent="0.4"/>
    <row r="11656" s="5" customFormat="1" x14ac:dyDescent="0.4"/>
    <row r="11657" s="5" customFormat="1" x14ac:dyDescent="0.4"/>
    <row r="11658" s="5" customFormat="1" x14ac:dyDescent="0.4"/>
    <row r="11659" s="5" customFormat="1" x14ac:dyDescent="0.4"/>
    <row r="11660" s="5" customFormat="1" x14ac:dyDescent="0.4"/>
    <row r="11661" s="5" customFormat="1" x14ac:dyDescent="0.4"/>
    <row r="11662" s="5" customFormat="1" x14ac:dyDescent="0.4"/>
    <row r="11663" s="5" customFormat="1" x14ac:dyDescent="0.4"/>
    <row r="11664" s="5" customFormat="1" x14ac:dyDescent="0.4"/>
    <row r="11665" s="5" customFormat="1" x14ac:dyDescent="0.4"/>
    <row r="11666" s="5" customFormat="1" x14ac:dyDescent="0.4"/>
    <row r="11667" s="5" customFormat="1" x14ac:dyDescent="0.4"/>
    <row r="11668" s="5" customFormat="1" x14ac:dyDescent="0.4"/>
    <row r="11669" s="5" customFormat="1" x14ac:dyDescent="0.4"/>
    <row r="11670" s="5" customFormat="1" x14ac:dyDescent="0.4"/>
    <row r="11671" s="5" customFormat="1" x14ac:dyDescent="0.4"/>
    <row r="11672" s="5" customFormat="1" x14ac:dyDescent="0.4"/>
    <row r="11673" s="5" customFormat="1" x14ac:dyDescent="0.4"/>
    <row r="11674" s="5" customFormat="1" x14ac:dyDescent="0.4"/>
    <row r="11675" s="5" customFormat="1" x14ac:dyDescent="0.4"/>
    <row r="11676" s="5" customFormat="1" x14ac:dyDescent="0.4"/>
    <row r="11677" s="5" customFormat="1" x14ac:dyDescent="0.4"/>
    <row r="11678" s="5" customFormat="1" x14ac:dyDescent="0.4"/>
    <row r="11679" s="5" customFormat="1" x14ac:dyDescent="0.4"/>
    <row r="11680" s="5" customFormat="1" x14ac:dyDescent="0.4"/>
    <row r="11681" s="5" customFormat="1" x14ac:dyDescent="0.4"/>
    <row r="11682" s="5" customFormat="1" x14ac:dyDescent="0.4"/>
    <row r="11683" s="5" customFormat="1" x14ac:dyDescent="0.4"/>
    <row r="11684" s="5" customFormat="1" x14ac:dyDescent="0.4"/>
    <row r="11685" s="5" customFormat="1" x14ac:dyDescent="0.4"/>
    <row r="11686" s="5" customFormat="1" x14ac:dyDescent="0.4"/>
    <row r="11687" s="5" customFormat="1" x14ac:dyDescent="0.4"/>
    <row r="11688" s="5" customFormat="1" x14ac:dyDescent="0.4"/>
    <row r="11689" s="5" customFormat="1" x14ac:dyDescent="0.4"/>
    <row r="11690" s="5" customFormat="1" x14ac:dyDescent="0.4"/>
    <row r="11691" s="5" customFormat="1" x14ac:dyDescent="0.4"/>
    <row r="11692" s="5" customFormat="1" x14ac:dyDescent="0.4"/>
    <row r="11693" s="5" customFormat="1" x14ac:dyDescent="0.4"/>
    <row r="11694" s="5" customFormat="1" x14ac:dyDescent="0.4"/>
    <row r="11695" s="5" customFormat="1" x14ac:dyDescent="0.4"/>
    <row r="11696" s="5" customFormat="1" x14ac:dyDescent="0.4"/>
    <row r="11697" s="5" customFormat="1" x14ac:dyDescent="0.4"/>
    <row r="11698" s="5" customFormat="1" x14ac:dyDescent="0.4"/>
    <row r="11699" s="5" customFormat="1" x14ac:dyDescent="0.4"/>
    <row r="11700" s="5" customFormat="1" x14ac:dyDescent="0.4"/>
    <row r="11701" s="5" customFormat="1" x14ac:dyDescent="0.4"/>
    <row r="11702" s="5" customFormat="1" x14ac:dyDescent="0.4"/>
    <row r="11703" s="5" customFormat="1" x14ac:dyDescent="0.4"/>
    <row r="11704" s="5" customFormat="1" x14ac:dyDescent="0.4"/>
    <row r="11705" s="5" customFormat="1" x14ac:dyDescent="0.4"/>
    <row r="11706" s="5" customFormat="1" x14ac:dyDescent="0.4"/>
    <row r="11707" s="5" customFormat="1" x14ac:dyDescent="0.4"/>
    <row r="11708" s="5" customFormat="1" x14ac:dyDescent="0.4"/>
    <row r="11709" s="5" customFormat="1" x14ac:dyDescent="0.4"/>
    <row r="11710" s="5" customFormat="1" x14ac:dyDescent="0.4"/>
    <row r="11711" s="5" customFormat="1" x14ac:dyDescent="0.4"/>
    <row r="11712" s="5" customFormat="1" x14ac:dyDescent="0.4"/>
    <row r="11713" s="5" customFormat="1" x14ac:dyDescent="0.4"/>
    <row r="11714" s="5" customFormat="1" x14ac:dyDescent="0.4"/>
    <row r="11715" s="5" customFormat="1" x14ac:dyDescent="0.4"/>
    <row r="11716" s="5" customFormat="1" x14ac:dyDescent="0.4"/>
    <row r="11717" s="5" customFormat="1" x14ac:dyDescent="0.4"/>
    <row r="11718" s="5" customFormat="1" x14ac:dyDescent="0.4"/>
    <row r="11719" s="5" customFormat="1" x14ac:dyDescent="0.4"/>
    <row r="11720" s="5" customFormat="1" x14ac:dyDescent="0.4"/>
    <row r="11721" s="5" customFormat="1" x14ac:dyDescent="0.4"/>
    <row r="11722" s="5" customFormat="1" x14ac:dyDescent="0.4"/>
    <row r="11723" s="5" customFormat="1" x14ac:dyDescent="0.4"/>
    <row r="11724" s="5" customFormat="1" x14ac:dyDescent="0.4"/>
    <row r="11725" s="5" customFormat="1" x14ac:dyDescent="0.4"/>
    <row r="11726" s="5" customFormat="1" x14ac:dyDescent="0.4"/>
    <row r="11727" s="5" customFormat="1" x14ac:dyDescent="0.4"/>
    <row r="11728" s="5" customFormat="1" x14ac:dyDescent="0.4"/>
    <row r="11729" s="5" customFormat="1" x14ac:dyDescent="0.4"/>
    <row r="11730" s="5" customFormat="1" x14ac:dyDescent="0.4"/>
    <row r="11731" s="5" customFormat="1" x14ac:dyDescent="0.4"/>
    <row r="11732" s="5" customFormat="1" x14ac:dyDescent="0.4"/>
    <row r="11733" s="5" customFormat="1" x14ac:dyDescent="0.4"/>
    <row r="11734" s="5" customFormat="1" x14ac:dyDescent="0.4"/>
    <row r="11735" s="5" customFormat="1" x14ac:dyDescent="0.4"/>
    <row r="11736" s="5" customFormat="1" x14ac:dyDescent="0.4"/>
    <row r="11737" s="5" customFormat="1" x14ac:dyDescent="0.4"/>
    <row r="11738" s="5" customFormat="1" x14ac:dyDescent="0.4"/>
    <row r="11739" s="5" customFormat="1" x14ac:dyDescent="0.4"/>
    <row r="11740" s="5" customFormat="1" x14ac:dyDescent="0.4"/>
    <row r="11741" s="5" customFormat="1" x14ac:dyDescent="0.4"/>
    <row r="11742" s="5" customFormat="1" x14ac:dyDescent="0.4"/>
    <row r="11743" s="5" customFormat="1" x14ac:dyDescent="0.4"/>
    <row r="11744" s="5" customFormat="1" x14ac:dyDescent="0.4"/>
    <row r="11745" s="5" customFormat="1" x14ac:dyDescent="0.4"/>
    <row r="11746" s="5" customFormat="1" x14ac:dyDescent="0.4"/>
    <row r="11747" s="5" customFormat="1" x14ac:dyDescent="0.4"/>
    <row r="11748" s="5" customFormat="1" x14ac:dyDescent="0.4"/>
    <row r="11749" s="5" customFormat="1" x14ac:dyDescent="0.4"/>
    <row r="11750" s="5" customFormat="1" x14ac:dyDescent="0.4"/>
    <row r="11751" s="5" customFormat="1" x14ac:dyDescent="0.4"/>
    <row r="11752" s="5" customFormat="1" x14ac:dyDescent="0.4"/>
    <row r="11753" s="5" customFormat="1" x14ac:dyDescent="0.4"/>
    <row r="11754" s="5" customFormat="1" x14ac:dyDescent="0.4"/>
    <row r="11755" s="5" customFormat="1" x14ac:dyDescent="0.4"/>
    <row r="11756" s="5" customFormat="1" x14ac:dyDescent="0.4"/>
    <row r="11757" s="5" customFormat="1" x14ac:dyDescent="0.4"/>
    <row r="11758" s="5" customFormat="1" x14ac:dyDescent="0.4"/>
    <row r="11759" s="5" customFormat="1" x14ac:dyDescent="0.4"/>
    <row r="11760" s="5" customFormat="1" x14ac:dyDescent="0.4"/>
    <row r="11761" s="5" customFormat="1" x14ac:dyDescent="0.4"/>
    <row r="11762" s="5" customFormat="1" x14ac:dyDescent="0.4"/>
    <row r="11763" s="5" customFormat="1" x14ac:dyDescent="0.4"/>
    <row r="11764" s="5" customFormat="1" x14ac:dyDescent="0.4"/>
    <row r="11765" s="5" customFormat="1" x14ac:dyDescent="0.4"/>
    <row r="11766" s="5" customFormat="1" x14ac:dyDescent="0.4"/>
    <row r="11767" s="5" customFormat="1" x14ac:dyDescent="0.4"/>
    <row r="11768" s="5" customFormat="1" x14ac:dyDescent="0.4"/>
    <row r="11769" s="5" customFormat="1" x14ac:dyDescent="0.4"/>
    <row r="11770" s="5" customFormat="1" x14ac:dyDescent="0.4"/>
    <row r="11771" s="5" customFormat="1" x14ac:dyDescent="0.4"/>
    <row r="11772" s="5" customFormat="1" x14ac:dyDescent="0.4"/>
    <row r="11773" s="5" customFormat="1" x14ac:dyDescent="0.4"/>
    <row r="11774" s="5" customFormat="1" x14ac:dyDescent="0.4"/>
    <row r="11775" s="5" customFormat="1" x14ac:dyDescent="0.4"/>
    <row r="11776" s="5" customFormat="1" x14ac:dyDescent="0.4"/>
    <row r="11777" s="5" customFormat="1" x14ac:dyDescent="0.4"/>
    <row r="11778" s="5" customFormat="1" x14ac:dyDescent="0.4"/>
    <row r="11779" s="5" customFormat="1" x14ac:dyDescent="0.4"/>
    <row r="11780" s="5" customFormat="1" x14ac:dyDescent="0.4"/>
    <row r="11781" s="5" customFormat="1" x14ac:dyDescent="0.4"/>
    <row r="11782" s="5" customFormat="1" x14ac:dyDescent="0.4"/>
    <row r="11783" s="5" customFormat="1" x14ac:dyDescent="0.4"/>
    <row r="11784" s="5" customFormat="1" x14ac:dyDescent="0.4"/>
    <row r="11785" s="5" customFormat="1" x14ac:dyDescent="0.4"/>
    <row r="11786" s="5" customFormat="1" x14ac:dyDescent="0.4"/>
    <row r="11787" s="5" customFormat="1" x14ac:dyDescent="0.4"/>
    <row r="11788" s="5" customFormat="1" x14ac:dyDescent="0.4"/>
    <row r="11789" s="5" customFormat="1" x14ac:dyDescent="0.4"/>
    <row r="11790" s="5" customFormat="1" x14ac:dyDescent="0.4"/>
    <row r="11791" s="5" customFormat="1" x14ac:dyDescent="0.4"/>
    <row r="11792" s="5" customFormat="1" x14ac:dyDescent="0.4"/>
    <row r="11793" s="5" customFormat="1" x14ac:dyDescent="0.4"/>
    <row r="11794" s="5" customFormat="1" x14ac:dyDescent="0.4"/>
    <row r="11795" s="5" customFormat="1" x14ac:dyDescent="0.4"/>
    <row r="11796" s="5" customFormat="1" x14ac:dyDescent="0.4"/>
    <row r="11797" s="5" customFormat="1" x14ac:dyDescent="0.4"/>
    <row r="11798" s="5" customFormat="1" x14ac:dyDescent="0.4"/>
    <row r="11799" s="5" customFormat="1" x14ac:dyDescent="0.4"/>
    <row r="11800" s="5" customFormat="1" x14ac:dyDescent="0.4"/>
    <row r="11801" s="5" customFormat="1" x14ac:dyDescent="0.4"/>
    <row r="11802" s="5" customFormat="1" x14ac:dyDescent="0.4"/>
    <row r="11803" s="5" customFormat="1" x14ac:dyDescent="0.4"/>
    <row r="11804" s="5" customFormat="1" x14ac:dyDescent="0.4"/>
    <row r="11805" s="5" customFormat="1" x14ac:dyDescent="0.4"/>
    <row r="11806" s="5" customFormat="1" x14ac:dyDescent="0.4"/>
    <row r="11807" s="5" customFormat="1" x14ac:dyDescent="0.4"/>
    <row r="11808" s="5" customFormat="1" x14ac:dyDescent="0.4"/>
    <row r="11809" s="5" customFormat="1" x14ac:dyDescent="0.4"/>
    <row r="11810" s="5" customFormat="1" x14ac:dyDescent="0.4"/>
    <row r="11811" s="5" customFormat="1" x14ac:dyDescent="0.4"/>
    <row r="11812" s="5" customFormat="1" x14ac:dyDescent="0.4"/>
    <row r="11813" s="5" customFormat="1" x14ac:dyDescent="0.4"/>
    <row r="11814" s="5" customFormat="1" x14ac:dyDescent="0.4"/>
    <row r="11815" s="5" customFormat="1" x14ac:dyDescent="0.4"/>
    <row r="11816" s="5" customFormat="1" x14ac:dyDescent="0.4"/>
    <row r="11817" s="5" customFormat="1" x14ac:dyDescent="0.4"/>
    <row r="11818" s="5" customFormat="1" x14ac:dyDescent="0.4"/>
    <row r="11819" s="5" customFormat="1" x14ac:dyDescent="0.4"/>
    <row r="11820" s="5" customFormat="1" x14ac:dyDescent="0.4"/>
    <row r="11821" s="5" customFormat="1" x14ac:dyDescent="0.4"/>
    <row r="11822" s="5" customFormat="1" x14ac:dyDescent="0.4"/>
    <row r="11823" s="5" customFormat="1" x14ac:dyDescent="0.4"/>
    <row r="11824" s="5" customFormat="1" x14ac:dyDescent="0.4"/>
    <row r="11825" s="5" customFormat="1" x14ac:dyDescent="0.4"/>
    <row r="11826" s="5" customFormat="1" x14ac:dyDescent="0.4"/>
    <row r="11827" s="5" customFormat="1" x14ac:dyDescent="0.4"/>
    <row r="11828" s="5" customFormat="1" x14ac:dyDescent="0.4"/>
    <row r="11829" s="5" customFormat="1" x14ac:dyDescent="0.4"/>
    <row r="11830" s="5" customFormat="1" x14ac:dyDescent="0.4"/>
    <row r="11831" s="5" customFormat="1" x14ac:dyDescent="0.4"/>
    <row r="11832" s="5" customFormat="1" x14ac:dyDescent="0.4"/>
    <row r="11833" s="5" customFormat="1" x14ac:dyDescent="0.4"/>
    <row r="11834" s="5" customFormat="1" x14ac:dyDescent="0.4"/>
    <row r="11835" s="5" customFormat="1" x14ac:dyDescent="0.4"/>
    <row r="11836" s="5" customFormat="1" x14ac:dyDescent="0.4"/>
    <row r="11837" s="5" customFormat="1" x14ac:dyDescent="0.4"/>
    <row r="11838" s="5" customFormat="1" x14ac:dyDescent="0.4"/>
    <row r="11839" s="5" customFormat="1" x14ac:dyDescent="0.4"/>
    <row r="11840" s="5" customFormat="1" x14ac:dyDescent="0.4"/>
    <row r="11841" s="5" customFormat="1" x14ac:dyDescent="0.4"/>
    <row r="11842" s="5" customFormat="1" x14ac:dyDescent="0.4"/>
    <row r="11843" s="5" customFormat="1" x14ac:dyDescent="0.4"/>
    <row r="11844" s="5" customFormat="1" x14ac:dyDescent="0.4"/>
    <row r="11845" s="5" customFormat="1" x14ac:dyDescent="0.4"/>
    <row r="11846" s="5" customFormat="1" x14ac:dyDescent="0.4"/>
    <row r="11847" s="5" customFormat="1" x14ac:dyDescent="0.4"/>
    <row r="11848" s="5" customFormat="1" x14ac:dyDescent="0.4"/>
    <row r="11849" s="5" customFormat="1" x14ac:dyDescent="0.4"/>
    <row r="11850" s="5" customFormat="1" x14ac:dyDescent="0.4"/>
    <row r="11851" s="5" customFormat="1" x14ac:dyDescent="0.4"/>
    <row r="11852" s="5" customFormat="1" x14ac:dyDescent="0.4"/>
    <row r="11853" s="5" customFormat="1" x14ac:dyDescent="0.4"/>
    <row r="11854" s="5" customFormat="1" x14ac:dyDescent="0.4"/>
    <row r="11855" s="5" customFormat="1" x14ac:dyDescent="0.4"/>
    <row r="11856" s="5" customFormat="1" x14ac:dyDescent="0.4"/>
    <row r="11857" s="5" customFormat="1" x14ac:dyDescent="0.4"/>
    <row r="11858" s="5" customFormat="1" x14ac:dyDescent="0.4"/>
    <row r="11859" s="5" customFormat="1" x14ac:dyDescent="0.4"/>
    <row r="11860" s="5" customFormat="1" x14ac:dyDescent="0.4"/>
    <row r="11861" s="5" customFormat="1" x14ac:dyDescent="0.4"/>
    <row r="11862" s="5" customFormat="1" x14ac:dyDescent="0.4"/>
    <row r="11863" s="5" customFormat="1" x14ac:dyDescent="0.4"/>
    <row r="11864" s="5" customFormat="1" x14ac:dyDescent="0.4"/>
    <row r="11865" s="5" customFormat="1" x14ac:dyDescent="0.4"/>
    <row r="11866" s="5" customFormat="1" x14ac:dyDescent="0.4"/>
    <row r="11867" s="5" customFormat="1" x14ac:dyDescent="0.4"/>
    <row r="11868" s="5" customFormat="1" x14ac:dyDescent="0.4"/>
    <row r="11869" s="5" customFormat="1" x14ac:dyDescent="0.4"/>
    <row r="11870" s="5" customFormat="1" x14ac:dyDescent="0.4"/>
    <row r="11871" s="5" customFormat="1" x14ac:dyDescent="0.4"/>
    <row r="11872" s="5" customFormat="1" x14ac:dyDescent="0.4"/>
    <row r="11873" s="5" customFormat="1" x14ac:dyDescent="0.4"/>
    <row r="11874" s="5" customFormat="1" x14ac:dyDescent="0.4"/>
    <row r="11875" s="5" customFormat="1" x14ac:dyDescent="0.4"/>
    <row r="11876" s="5" customFormat="1" x14ac:dyDescent="0.4"/>
    <row r="11877" s="5" customFormat="1" x14ac:dyDescent="0.4"/>
    <row r="11878" s="5" customFormat="1" x14ac:dyDescent="0.4"/>
    <row r="11879" s="5" customFormat="1" x14ac:dyDescent="0.4"/>
    <row r="11880" s="5" customFormat="1" x14ac:dyDescent="0.4"/>
    <row r="11881" s="5" customFormat="1" x14ac:dyDescent="0.4"/>
    <row r="11882" s="5" customFormat="1" x14ac:dyDescent="0.4"/>
    <row r="11883" s="5" customFormat="1" x14ac:dyDescent="0.4"/>
    <row r="11884" s="5" customFormat="1" x14ac:dyDescent="0.4"/>
    <row r="11885" s="5" customFormat="1" x14ac:dyDescent="0.4"/>
    <row r="11886" s="5" customFormat="1" x14ac:dyDescent="0.4"/>
    <row r="11887" s="5" customFormat="1" x14ac:dyDescent="0.4"/>
    <row r="11888" s="5" customFormat="1" x14ac:dyDescent="0.4"/>
    <row r="11889" s="5" customFormat="1" x14ac:dyDescent="0.4"/>
    <row r="11890" s="5" customFormat="1" x14ac:dyDescent="0.4"/>
    <row r="11891" s="5" customFormat="1" x14ac:dyDescent="0.4"/>
    <row r="11892" s="5" customFormat="1" x14ac:dyDescent="0.4"/>
    <row r="11893" s="5" customFormat="1" x14ac:dyDescent="0.4"/>
    <row r="11894" s="5" customFormat="1" x14ac:dyDescent="0.4"/>
    <row r="11895" s="5" customFormat="1" x14ac:dyDescent="0.4"/>
    <row r="11896" s="5" customFormat="1" x14ac:dyDescent="0.4"/>
    <row r="11897" s="5" customFormat="1" x14ac:dyDescent="0.4"/>
    <row r="11898" s="5" customFormat="1" x14ac:dyDescent="0.4"/>
    <row r="11899" s="5" customFormat="1" x14ac:dyDescent="0.4"/>
    <row r="11900" s="5" customFormat="1" x14ac:dyDescent="0.4"/>
    <row r="11901" s="5" customFormat="1" x14ac:dyDescent="0.4"/>
    <row r="11902" s="5" customFormat="1" x14ac:dyDescent="0.4"/>
    <row r="11903" s="5" customFormat="1" x14ac:dyDescent="0.4"/>
    <row r="11904" s="5" customFormat="1" x14ac:dyDescent="0.4"/>
    <row r="11905" s="5" customFormat="1" x14ac:dyDescent="0.4"/>
    <row r="11906" s="5" customFormat="1" x14ac:dyDescent="0.4"/>
    <row r="11907" s="5" customFormat="1" x14ac:dyDescent="0.4"/>
    <row r="11908" s="5" customFormat="1" x14ac:dyDescent="0.4"/>
    <row r="11909" s="5" customFormat="1" x14ac:dyDescent="0.4"/>
    <row r="11910" s="5" customFormat="1" x14ac:dyDescent="0.4"/>
    <row r="11911" s="5" customFormat="1" x14ac:dyDescent="0.4"/>
    <row r="11912" s="5" customFormat="1" x14ac:dyDescent="0.4"/>
    <row r="11913" s="5" customFormat="1" x14ac:dyDescent="0.4"/>
    <row r="11914" s="5" customFormat="1" x14ac:dyDescent="0.4"/>
    <row r="11915" s="5" customFormat="1" x14ac:dyDescent="0.4"/>
    <row r="11916" s="5" customFormat="1" x14ac:dyDescent="0.4"/>
    <row r="11917" s="5" customFormat="1" x14ac:dyDescent="0.4"/>
    <row r="11918" s="5" customFormat="1" x14ac:dyDescent="0.4"/>
    <row r="11919" s="5" customFormat="1" x14ac:dyDescent="0.4"/>
    <row r="11920" s="5" customFormat="1" x14ac:dyDescent="0.4"/>
    <row r="11921" s="5" customFormat="1" x14ac:dyDescent="0.4"/>
    <row r="11922" s="5" customFormat="1" x14ac:dyDescent="0.4"/>
    <row r="11923" s="5" customFormat="1" x14ac:dyDescent="0.4"/>
    <row r="11924" s="5" customFormat="1" x14ac:dyDescent="0.4"/>
    <row r="11925" s="5" customFormat="1" x14ac:dyDescent="0.4"/>
    <row r="11926" s="5" customFormat="1" x14ac:dyDescent="0.4"/>
    <row r="11927" s="5" customFormat="1" x14ac:dyDescent="0.4"/>
    <row r="11928" s="5" customFormat="1" x14ac:dyDescent="0.4"/>
    <row r="11929" s="5" customFormat="1" x14ac:dyDescent="0.4"/>
    <row r="11930" s="5" customFormat="1" x14ac:dyDescent="0.4"/>
    <row r="11931" s="5" customFormat="1" x14ac:dyDescent="0.4"/>
    <row r="11932" s="5" customFormat="1" x14ac:dyDescent="0.4"/>
    <row r="11933" s="5" customFormat="1" x14ac:dyDescent="0.4"/>
    <row r="11934" s="5" customFormat="1" x14ac:dyDescent="0.4"/>
    <row r="11935" s="5" customFormat="1" x14ac:dyDescent="0.4"/>
    <row r="11936" s="5" customFormat="1" x14ac:dyDescent="0.4"/>
    <row r="11937" s="5" customFormat="1" x14ac:dyDescent="0.4"/>
    <row r="11938" s="5" customFormat="1" x14ac:dyDescent="0.4"/>
    <row r="11939" s="5" customFormat="1" x14ac:dyDescent="0.4"/>
    <row r="11940" s="5" customFormat="1" x14ac:dyDescent="0.4"/>
    <row r="11941" s="5" customFormat="1" x14ac:dyDescent="0.4"/>
    <row r="11942" s="5" customFormat="1" x14ac:dyDescent="0.4"/>
    <row r="11943" s="5" customFormat="1" x14ac:dyDescent="0.4"/>
    <row r="11944" s="5" customFormat="1" x14ac:dyDescent="0.4"/>
    <row r="11945" s="5" customFormat="1" x14ac:dyDescent="0.4"/>
    <row r="11946" s="5" customFormat="1" x14ac:dyDescent="0.4"/>
    <row r="11947" s="5" customFormat="1" x14ac:dyDescent="0.4"/>
    <row r="11948" s="5" customFormat="1" x14ac:dyDescent="0.4"/>
    <row r="11949" s="5" customFormat="1" x14ac:dyDescent="0.4"/>
    <row r="11950" s="5" customFormat="1" x14ac:dyDescent="0.4"/>
    <row r="11951" s="5" customFormat="1" x14ac:dyDescent="0.4"/>
    <row r="11952" s="5" customFormat="1" x14ac:dyDescent="0.4"/>
    <row r="11953" s="5" customFormat="1" x14ac:dyDescent="0.4"/>
    <row r="11954" s="5" customFormat="1" x14ac:dyDescent="0.4"/>
    <row r="11955" s="5" customFormat="1" x14ac:dyDescent="0.4"/>
    <row r="11956" s="5" customFormat="1" x14ac:dyDescent="0.4"/>
    <row r="11957" s="5" customFormat="1" x14ac:dyDescent="0.4"/>
    <row r="11958" s="5" customFormat="1" x14ac:dyDescent="0.4"/>
    <row r="11959" s="5" customFormat="1" x14ac:dyDescent="0.4"/>
    <row r="11960" s="5" customFormat="1" x14ac:dyDescent="0.4"/>
    <row r="11961" s="5" customFormat="1" x14ac:dyDescent="0.4"/>
    <row r="11962" s="5" customFormat="1" x14ac:dyDescent="0.4"/>
    <row r="11963" s="5" customFormat="1" x14ac:dyDescent="0.4"/>
    <row r="11964" s="5" customFormat="1" x14ac:dyDescent="0.4"/>
    <row r="11965" s="5" customFormat="1" x14ac:dyDescent="0.4"/>
    <row r="11966" s="5" customFormat="1" x14ac:dyDescent="0.4"/>
    <row r="11967" s="5" customFormat="1" x14ac:dyDescent="0.4"/>
    <row r="11968" s="5" customFormat="1" x14ac:dyDescent="0.4"/>
    <row r="11969" s="5" customFormat="1" x14ac:dyDescent="0.4"/>
    <row r="11970" s="5" customFormat="1" x14ac:dyDescent="0.4"/>
    <row r="11971" s="5" customFormat="1" x14ac:dyDescent="0.4"/>
    <row r="11972" s="5" customFormat="1" x14ac:dyDescent="0.4"/>
    <row r="11973" s="5" customFormat="1" x14ac:dyDescent="0.4"/>
    <row r="11974" s="5" customFormat="1" x14ac:dyDescent="0.4"/>
    <row r="11975" s="5" customFormat="1" x14ac:dyDescent="0.4"/>
    <row r="11976" s="5" customFormat="1" x14ac:dyDescent="0.4"/>
    <row r="11977" s="5" customFormat="1" x14ac:dyDescent="0.4"/>
    <row r="11978" s="5" customFormat="1" x14ac:dyDescent="0.4"/>
    <row r="11979" s="5" customFormat="1" x14ac:dyDescent="0.4"/>
    <row r="11980" s="5" customFormat="1" x14ac:dyDescent="0.4"/>
    <row r="11981" s="5" customFormat="1" x14ac:dyDescent="0.4"/>
    <row r="11982" s="5" customFormat="1" x14ac:dyDescent="0.4"/>
    <row r="11983" s="5" customFormat="1" x14ac:dyDescent="0.4"/>
    <row r="11984" s="5" customFormat="1" x14ac:dyDescent="0.4"/>
    <row r="11985" s="5" customFormat="1" x14ac:dyDescent="0.4"/>
    <row r="11986" s="5" customFormat="1" x14ac:dyDescent="0.4"/>
    <row r="11987" s="5" customFormat="1" x14ac:dyDescent="0.4"/>
    <row r="11988" s="5" customFormat="1" x14ac:dyDescent="0.4"/>
    <row r="11989" s="5" customFormat="1" x14ac:dyDescent="0.4"/>
    <row r="11990" s="5" customFormat="1" x14ac:dyDescent="0.4"/>
    <row r="11991" s="5" customFormat="1" x14ac:dyDescent="0.4"/>
    <row r="11992" s="5" customFormat="1" x14ac:dyDescent="0.4"/>
    <row r="11993" s="5" customFormat="1" x14ac:dyDescent="0.4"/>
    <row r="11994" s="5" customFormat="1" x14ac:dyDescent="0.4"/>
    <row r="11995" s="5" customFormat="1" x14ac:dyDescent="0.4"/>
    <row r="11996" s="5" customFormat="1" x14ac:dyDescent="0.4"/>
    <row r="11997" s="5" customFormat="1" x14ac:dyDescent="0.4"/>
    <row r="11998" s="5" customFormat="1" x14ac:dyDescent="0.4"/>
    <row r="11999" s="5" customFormat="1" x14ac:dyDescent="0.4"/>
    <row r="12000" s="5" customFormat="1" x14ac:dyDescent="0.4"/>
    <row r="12001" s="5" customFormat="1" x14ac:dyDescent="0.4"/>
    <row r="12002" s="5" customFormat="1" x14ac:dyDescent="0.4"/>
    <row r="12003" s="5" customFormat="1" x14ac:dyDescent="0.4"/>
    <row r="12004" s="5" customFormat="1" x14ac:dyDescent="0.4"/>
    <row r="12005" s="5" customFormat="1" x14ac:dyDescent="0.4"/>
    <row r="12006" s="5" customFormat="1" x14ac:dyDescent="0.4"/>
    <row r="12007" s="5" customFormat="1" x14ac:dyDescent="0.4"/>
    <row r="12008" s="5" customFormat="1" x14ac:dyDescent="0.4"/>
    <row r="12009" s="5" customFormat="1" x14ac:dyDescent="0.4"/>
    <row r="12010" s="5" customFormat="1" x14ac:dyDescent="0.4"/>
    <row r="12011" s="5" customFormat="1" x14ac:dyDescent="0.4"/>
    <row r="12012" s="5" customFormat="1" x14ac:dyDescent="0.4"/>
    <row r="12013" s="5" customFormat="1" x14ac:dyDescent="0.4"/>
    <row r="12014" s="5" customFormat="1" x14ac:dyDescent="0.4"/>
    <row r="12015" s="5" customFormat="1" x14ac:dyDescent="0.4"/>
    <row r="12016" s="5" customFormat="1" x14ac:dyDescent="0.4"/>
    <row r="12017" s="5" customFormat="1" x14ac:dyDescent="0.4"/>
    <row r="12018" s="5" customFormat="1" x14ac:dyDescent="0.4"/>
    <row r="12019" s="5" customFormat="1" x14ac:dyDescent="0.4"/>
    <row r="12020" s="5" customFormat="1" x14ac:dyDescent="0.4"/>
    <row r="12021" s="5" customFormat="1" x14ac:dyDescent="0.4"/>
    <row r="12022" s="5" customFormat="1" x14ac:dyDescent="0.4"/>
    <row r="12023" s="5" customFormat="1" x14ac:dyDescent="0.4"/>
    <row r="12024" s="5" customFormat="1" x14ac:dyDescent="0.4"/>
    <row r="12025" s="5" customFormat="1" x14ac:dyDescent="0.4"/>
    <row r="12026" s="5" customFormat="1" x14ac:dyDescent="0.4"/>
    <row r="12027" s="5" customFormat="1" x14ac:dyDescent="0.4"/>
    <row r="12028" s="5" customFormat="1" x14ac:dyDescent="0.4"/>
    <row r="12029" s="5" customFormat="1" x14ac:dyDescent="0.4"/>
    <row r="12030" s="5" customFormat="1" x14ac:dyDescent="0.4"/>
    <row r="12031" s="5" customFormat="1" x14ac:dyDescent="0.4"/>
    <row r="12032" s="5" customFormat="1" x14ac:dyDescent="0.4"/>
    <row r="12033" s="5" customFormat="1" x14ac:dyDescent="0.4"/>
    <row r="12034" s="5" customFormat="1" x14ac:dyDescent="0.4"/>
    <row r="12035" s="5" customFormat="1" x14ac:dyDescent="0.4"/>
    <row r="12036" s="5" customFormat="1" x14ac:dyDescent="0.4"/>
    <row r="12037" s="5" customFormat="1" x14ac:dyDescent="0.4"/>
    <row r="12038" s="5" customFormat="1" x14ac:dyDescent="0.4"/>
    <row r="12039" s="5" customFormat="1" x14ac:dyDescent="0.4"/>
    <row r="12040" s="5" customFormat="1" x14ac:dyDescent="0.4"/>
    <row r="12041" s="5" customFormat="1" x14ac:dyDescent="0.4"/>
    <row r="12042" s="5" customFormat="1" x14ac:dyDescent="0.4"/>
    <row r="12043" s="5" customFormat="1" x14ac:dyDescent="0.4"/>
    <row r="12044" s="5" customFormat="1" x14ac:dyDescent="0.4"/>
    <row r="12045" s="5" customFormat="1" x14ac:dyDescent="0.4"/>
    <row r="12046" s="5" customFormat="1" x14ac:dyDescent="0.4"/>
    <row r="12047" s="5" customFormat="1" x14ac:dyDescent="0.4"/>
    <row r="12048" s="5" customFormat="1" x14ac:dyDescent="0.4"/>
    <row r="12049" s="5" customFormat="1" x14ac:dyDescent="0.4"/>
    <row r="12050" s="5" customFormat="1" x14ac:dyDescent="0.4"/>
    <row r="12051" s="5" customFormat="1" x14ac:dyDescent="0.4"/>
    <row r="12052" s="5" customFormat="1" x14ac:dyDescent="0.4"/>
    <row r="12053" s="5" customFormat="1" x14ac:dyDescent="0.4"/>
    <row r="12054" s="5" customFormat="1" x14ac:dyDescent="0.4"/>
    <row r="12055" s="5" customFormat="1" x14ac:dyDescent="0.4"/>
    <row r="12056" s="5" customFormat="1" x14ac:dyDescent="0.4"/>
    <row r="12057" s="5" customFormat="1" x14ac:dyDescent="0.4"/>
    <row r="12058" s="5" customFormat="1" x14ac:dyDescent="0.4"/>
    <row r="12059" s="5" customFormat="1" x14ac:dyDescent="0.4"/>
    <row r="12060" s="5" customFormat="1" x14ac:dyDescent="0.4"/>
    <row r="12061" s="5" customFormat="1" x14ac:dyDescent="0.4"/>
    <row r="12062" s="5" customFormat="1" x14ac:dyDescent="0.4"/>
    <row r="12063" s="5" customFormat="1" x14ac:dyDescent="0.4"/>
    <row r="12064" s="5" customFormat="1" x14ac:dyDescent="0.4"/>
    <row r="12065" s="5" customFormat="1" x14ac:dyDescent="0.4"/>
    <row r="12066" s="5" customFormat="1" x14ac:dyDescent="0.4"/>
    <row r="12067" s="5" customFormat="1" x14ac:dyDescent="0.4"/>
    <row r="12068" s="5" customFormat="1" x14ac:dyDescent="0.4"/>
    <row r="12069" s="5" customFormat="1" x14ac:dyDescent="0.4"/>
    <row r="12070" s="5" customFormat="1" x14ac:dyDescent="0.4"/>
    <row r="12071" s="5" customFormat="1" x14ac:dyDescent="0.4"/>
    <row r="12072" s="5" customFormat="1" x14ac:dyDescent="0.4"/>
    <row r="12073" s="5" customFormat="1" x14ac:dyDescent="0.4"/>
    <row r="12074" s="5" customFormat="1" x14ac:dyDescent="0.4"/>
    <row r="12075" s="5" customFormat="1" x14ac:dyDescent="0.4"/>
    <row r="12076" s="5" customFormat="1" x14ac:dyDescent="0.4"/>
    <row r="12077" s="5" customFormat="1" x14ac:dyDescent="0.4"/>
    <row r="12078" s="5" customFormat="1" x14ac:dyDescent="0.4"/>
    <row r="12079" s="5" customFormat="1" x14ac:dyDescent="0.4"/>
    <row r="12080" s="5" customFormat="1" x14ac:dyDescent="0.4"/>
    <row r="12081" s="5" customFormat="1" x14ac:dyDescent="0.4"/>
    <row r="12082" s="5" customFormat="1" x14ac:dyDescent="0.4"/>
    <row r="12083" s="5" customFormat="1" x14ac:dyDescent="0.4"/>
    <row r="12084" s="5" customFormat="1" x14ac:dyDescent="0.4"/>
    <row r="12085" s="5" customFormat="1" x14ac:dyDescent="0.4"/>
    <row r="12086" s="5" customFormat="1" x14ac:dyDescent="0.4"/>
    <row r="12087" s="5" customFormat="1" x14ac:dyDescent="0.4"/>
    <row r="12088" s="5" customFormat="1" x14ac:dyDescent="0.4"/>
    <row r="12089" s="5" customFormat="1" x14ac:dyDescent="0.4"/>
    <row r="12090" s="5" customFormat="1" x14ac:dyDescent="0.4"/>
    <row r="12091" s="5" customFormat="1" x14ac:dyDescent="0.4"/>
    <row r="12092" s="5" customFormat="1" x14ac:dyDescent="0.4"/>
    <row r="12093" s="5" customFormat="1" x14ac:dyDescent="0.4"/>
    <row r="12094" s="5" customFormat="1" x14ac:dyDescent="0.4"/>
    <row r="12095" s="5" customFormat="1" x14ac:dyDescent="0.4"/>
    <row r="12096" s="5" customFormat="1" x14ac:dyDescent="0.4"/>
    <row r="12097" s="5" customFormat="1" x14ac:dyDescent="0.4"/>
    <row r="12098" s="5" customFormat="1" x14ac:dyDescent="0.4"/>
    <row r="12099" s="5" customFormat="1" x14ac:dyDescent="0.4"/>
    <row r="12100" s="5" customFormat="1" x14ac:dyDescent="0.4"/>
    <row r="12101" s="5" customFormat="1" x14ac:dyDescent="0.4"/>
    <row r="12102" s="5" customFormat="1" x14ac:dyDescent="0.4"/>
    <row r="12103" s="5" customFormat="1" x14ac:dyDescent="0.4"/>
    <row r="12104" s="5" customFormat="1" x14ac:dyDescent="0.4"/>
    <row r="12105" s="5" customFormat="1" x14ac:dyDescent="0.4"/>
    <row r="12106" s="5" customFormat="1" x14ac:dyDescent="0.4"/>
    <row r="12107" s="5" customFormat="1" x14ac:dyDescent="0.4"/>
    <row r="12108" s="5" customFormat="1" x14ac:dyDescent="0.4"/>
    <row r="12109" s="5" customFormat="1" x14ac:dyDescent="0.4"/>
    <row r="12110" s="5" customFormat="1" x14ac:dyDescent="0.4"/>
    <row r="12111" s="5" customFormat="1" x14ac:dyDescent="0.4"/>
    <row r="12112" s="5" customFormat="1" x14ac:dyDescent="0.4"/>
    <row r="12113" s="5" customFormat="1" x14ac:dyDescent="0.4"/>
    <row r="12114" s="5" customFormat="1" x14ac:dyDescent="0.4"/>
    <row r="12115" s="5" customFormat="1" x14ac:dyDescent="0.4"/>
    <row r="12116" s="5" customFormat="1" x14ac:dyDescent="0.4"/>
    <row r="12117" s="5" customFormat="1" x14ac:dyDescent="0.4"/>
    <row r="12118" s="5" customFormat="1" x14ac:dyDescent="0.4"/>
    <row r="12119" s="5" customFormat="1" x14ac:dyDescent="0.4"/>
    <row r="12120" s="5" customFormat="1" x14ac:dyDescent="0.4"/>
    <row r="12121" s="5" customFormat="1" x14ac:dyDescent="0.4"/>
    <row r="12122" s="5" customFormat="1" x14ac:dyDescent="0.4"/>
    <row r="12123" s="5" customFormat="1" x14ac:dyDescent="0.4"/>
    <row r="12124" s="5" customFormat="1" x14ac:dyDescent="0.4"/>
    <row r="12125" s="5" customFormat="1" x14ac:dyDescent="0.4"/>
    <row r="12126" s="5" customFormat="1" x14ac:dyDescent="0.4"/>
    <row r="12127" s="5" customFormat="1" x14ac:dyDescent="0.4"/>
    <row r="12128" s="5" customFormat="1" x14ac:dyDescent="0.4"/>
    <row r="12129" s="5" customFormat="1" x14ac:dyDescent="0.4"/>
    <row r="12130" s="5" customFormat="1" x14ac:dyDescent="0.4"/>
    <row r="12131" s="5" customFormat="1" x14ac:dyDescent="0.4"/>
    <row r="12132" s="5" customFormat="1" x14ac:dyDescent="0.4"/>
    <row r="12133" s="5" customFormat="1" x14ac:dyDescent="0.4"/>
    <row r="12134" s="5" customFormat="1" x14ac:dyDescent="0.4"/>
    <row r="12135" s="5" customFormat="1" x14ac:dyDescent="0.4"/>
    <row r="12136" s="5" customFormat="1" x14ac:dyDescent="0.4"/>
    <row r="12137" s="5" customFormat="1" x14ac:dyDescent="0.4"/>
    <row r="12138" s="5" customFormat="1" x14ac:dyDescent="0.4"/>
    <row r="12139" s="5" customFormat="1" x14ac:dyDescent="0.4"/>
    <row r="12140" s="5" customFormat="1" x14ac:dyDescent="0.4"/>
    <row r="12141" s="5" customFormat="1" x14ac:dyDescent="0.4"/>
    <row r="12142" s="5" customFormat="1" x14ac:dyDescent="0.4"/>
    <row r="12143" s="5" customFormat="1" x14ac:dyDescent="0.4"/>
    <row r="12144" s="5" customFormat="1" x14ac:dyDescent="0.4"/>
    <row r="12145" s="5" customFormat="1" x14ac:dyDescent="0.4"/>
    <row r="12146" s="5" customFormat="1" x14ac:dyDescent="0.4"/>
    <row r="12147" s="5" customFormat="1" x14ac:dyDescent="0.4"/>
    <row r="12148" s="5" customFormat="1" x14ac:dyDescent="0.4"/>
    <row r="12149" s="5" customFormat="1" x14ac:dyDescent="0.4"/>
    <row r="12150" s="5" customFormat="1" x14ac:dyDescent="0.4"/>
    <row r="12151" s="5" customFormat="1" x14ac:dyDescent="0.4"/>
    <row r="12152" s="5" customFormat="1" x14ac:dyDescent="0.4"/>
    <row r="12153" s="5" customFormat="1" x14ac:dyDescent="0.4"/>
    <row r="12154" s="5" customFormat="1" x14ac:dyDescent="0.4"/>
    <row r="12155" s="5" customFormat="1" x14ac:dyDescent="0.4"/>
    <row r="12156" s="5" customFormat="1" x14ac:dyDescent="0.4"/>
    <row r="12157" s="5" customFormat="1" x14ac:dyDescent="0.4"/>
    <row r="12158" s="5" customFormat="1" x14ac:dyDescent="0.4"/>
    <row r="12159" s="5" customFormat="1" x14ac:dyDescent="0.4"/>
    <row r="12160" s="5" customFormat="1" x14ac:dyDescent="0.4"/>
    <row r="12161" s="5" customFormat="1" x14ac:dyDescent="0.4"/>
    <row r="12162" s="5" customFormat="1" x14ac:dyDescent="0.4"/>
    <row r="12163" s="5" customFormat="1" x14ac:dyDescent="0.4"/>
    <row r="12164" s="5" customFormat="1" x14ac:dyDescent="0.4"/>
    <row r="12165" s="5" customFormat="1" x14ac:dyDescent="0.4"/>
    <row r="12166" s="5" customFormat="1" x14ac:dyDescent="0.4"/>
    <row r="12167" s="5" customFormat="1" x14ac:dyDescent="0.4"/>
    <row r="12168" s="5" customFormat="1" x14ac:dyDescent="0.4"/>
    <row r="12169" s="5" customFormat="1" x14ac:dyDescent="0.4"/>
    <row r="12170" s="5" customFormat="1" x14ac:dyDescent="0.4"/>
    <row r="12171" s="5" customFormat="1" x14ac:dyDescent="0.4"/>
    <row r="12172" s="5" customFormat="1" x14ac:dyDescent="0.4"/>
    <row r="12173" s="5" customFormat="1" x14ac:dyDescent="0.4"/>
    <row r="12174" s="5" customFormat="1" x14ac:dyDescent="0.4"/>
    <row r="12175" s="5" customFormat="1" x14ac:dyDescent="0.4"/>
    <row r="12176" s="5" customFormat="1" x14ac:dyDescent="0.4"/>
    <row r="12177" s="5" customFormat="1" x14ac:dyDescent="0.4"/>
    <row r="12178" s="5" customFormat="1" x14ac:dyDescent="0.4"/>
    <row r="12179" s="5" customFormat="1" x14ac:dyDescent="0.4"/>
    <row r="12180" s="5" customFormat="1" x14ac:dyDescent="0.4"/>
    <row r="12181" s="5" customFormat="1" x14ac:dyDescent="0.4"/>
    <row r="12182" s="5" customFormat="1" x14ac:dyDescent="0.4"/>
    <row r="12183" s="5" customFormat="1" x14ac:dyDescent="0.4"/>
    <row r="12184" s="5" customFormat="1" x14ac:dyDescent="0.4"/>
    <row r="12185" s="5" customFormat="1" x14ac:dyDescent="0.4"/>
    <row r="12186" s="5" customFormat="1" x14ac:dyDescent="0.4"/>
    <row r="12187" s="5" customFormat="1" x14ac:dyDescent="0.4"/>
    <row r="12188" s="5" customFormat="1" x14ac:dyDescent="0.4"/>
    <row r="12189" s="5" customFormat="1" x14ac:dyDescent="0.4"/>
    <row r="12190" s="5" customFormat="1" x14ac:dyDescent="0.4"/>
    <row r="12191" s="5" customFormat="1" x14ac:dyDescent="0.4"/>
    <row r="12192" s="5" customFormat="1" x14ac:dyDescent="0.4"/>
    <row r="12193" s="5" customFormat="1" x14ac:dyDescent="0.4"/>
    <row r="12194" s="5" customFormat="1" x14ac:dyDescent="0.4"/>
    <row r="12195" s="5" customFormat="1" x14ac:dyDescent="0.4"/>
    <row r="12196" s="5" customFormat="1" x14ac:dyDescent="0.4"/>
    <row r="12197" s="5" customFormat="1" x14ac:dyDescent="0.4"/>
    <row r="12198" s="5" customFormat="1" x14ac:dyDescent="0.4"/>
    <row r="12199" s="5" customFormat="1" x14ac:dyDescent="0.4"/>
    <row r="12200" s="5" customFormat="1" x14ac:dyDescent="0.4"/>
    <row r="12201" s="5" customFormat="1" x14ac:dyDescent="0.4"/>
    <row r="12202" s="5" customFormat="1" x14ac:dyDescent="0.4"/>
    <row r="12203" s="5" customFormat="1" x14ac:dyDescent="0.4"/>
    <row r="12204" s="5" customFormat="1" x14ac:dyDescent="0.4"/>
    <row r="12205" s="5" customFormat="1" x14ac:dyDescent="0.4"/>
    <row r="12206" s="5" customFormat="1" x14ac:dyDescent="0.4"/>
    <row r="12207" s="5" customFormat="1" x14ac:dyDescent="0.4"/>
    <row r="12208" s="5" customFormat="1" x14ac:dyDescent="0.4"/>
    <row r="12209" s="5" customFormat="1" x14ac:dyDescent="0.4"/>
    <row r="12210" s="5" customFormat="1" x14ac:dyDescent="0.4"/>
    <row r="12211" s="5" customFormat="1" x14ac:dyDescent="0.4"/>
    <row r="12212" s="5" customFormat="1" x14ac:dyDescent="0.4"/>
    <row r="12213" s="5" customFormat="1" x14ac:dyDescent="0.4"/>
    <row r="12214" s="5" customFormat="1" x14ac:dyDescent="0.4"/>
    <row r="12215" s="5" customFormat="1" x14ac:dyDescent="0.4"/>
    <row r="12216" s="5" customFormat="1" x14ac:dyDescent="0.4"/>
    <row r="12217" s="5" customFormat="1" x14ac:dyDescent="0.4"/>
    <row r="12218" s="5" customFormat="1" x14ac:dyDescent="0.4"/>
    <row r="12219" s="5" customFormat="1" x14ac:dyDescent="0.4"/>
    <row r="12220" s="5" customFormat="1" x14ac:dyDescent="0.4"/>
    <row r="12221" s="5" customFormat="1" x14ac:dyDescent="0.4"/>
    <row r="12222" s="5" customFormat="1" x14ac:dyDescent="0.4"/>
    <row r="12223" s="5" customFormat="1" x14ac:dyDescent="0.4"/>
    <row r="12224" s="5" customFormat="1" x14ac:dyDescent="0.4"/>
    <row r="12225" s="5" customFormat="1" x14ac:dyDescent="0.4"/>
    <row r="12226" s="5" customFormat="1" x14ac:dyDescent="0.4"/>
    <row r="12227" s="5" customFormat="1" x14ac:dyDescent="0.4"/>
    <row r="12228" s="5" customFormat="1" x14ac:dyDescent="0.4"/>
    <row r="12229" s="5" customFormat="1" x14ac:dyDescent="0.4"/>
    <row r="12230" s="5" customFormat="1" x14ac:dyDescent="0.4"/>
    <row r="12231" s="5" customFormat="1" x14ac:dyDescent="0.4"/>
    <row r="12232" s="5" customFormat="1" x14ac:dyDescent="0.4"/>
    <row r="12233" s="5" customFormat="1" x14ac:dyDescent="0.4"/>
    <row r="12234" s="5" customFormat="1" x14ac:dyDescent="0.4"/>
    <row r="12235" s="5" customFormat="1" x14ac:dyDescent="0.4"/>
    <row r="12236" s="5" customFormat="1" x14ac:dyDescent="0.4"/>
    <row r="12237" s="5" customFormat="1" x14ac:dyDescent="0.4"/>
    <row r="12238" s="5" customFormat="1" x14ac:dyDescent="0.4"/>
    <row r="12239" s="5" customFormat="1" x14ac:dyDescent="0.4"/>
    <row r="12240" s="5" customFormat="1" x14ac:dyDescent="0.4"/>
    <row r="12241" s="5" customFormat="1" x14ac:dyDescent="0.4"/>
    <row r="12242" s="5" customFormat="1" x14ac:dyDescent="0.4"/>
    <row r="12243" s="5" customFormat="1" x14ac:dyDescent="0.4"/>
    <row r="12244" s="5" customFormat="1" x14ac:dyDescent="0.4"/>
    <row r="12245" s="5" customFormat="1" x14ac:dyDescent="0.4"/>
    <row r="12246" s="5" customFormat="1" x14ac:dyDescent="0.4"/>
    <row r="12247" s="5" customFormat="1" x14ac:dyDescent="0.4"/>
    <row r="12248" s="5" customFormat="1" x14ac:dyDescent="0.4"/>
    <row r="12249" s="5" customFormat="1" x14ac:dyDescent="0.4"/>
    <row r="12250" s="5" customFormat="1" x14ac:dyDescent="0.4"/>
    <row r="12251" s="5" customFormat="1" x14ac:dyDescent="0.4"/>
    <row r="12252" s="5" customFormat="1" x14ac:dyDescent="0.4"/>
    <row r="12253" s="5" customFormat="1" x14ac:dyDescent="0.4"/>
    <row r="12254" s="5" customFormat="1" x14ac:dyDescent="0.4"/>
    <row r="12255" s="5" customFormat="1" x14ac:dyDescent="0.4"/>
    <row r="12256" s="5" customFormat="1" x14ac:dyDescent="0.4"/>
    <row r="12257" s="5" customFormat="1" x14ac:dyDescent="0.4"/>
    <row r="12258" s="5" customFormat="1" x14ac:dyDescent="0.4"/>
    <row r="12259" s="5" customFormat="1" x14ac:dyDescent="0.4"/>
    <row r="12260" s="5" customFormat="1" x14ac:dyDescent="0.4"/>
    <row r="12261" s="5" customFormat="1" x14ac:dyDescent="0.4"/>
    <row r="12262" s="5" customFormat="1" x14ac:dyDescent="0.4"/>
    <row r="12263" s="5" customFormat="1" x14ac:dyDescent="0.4"/>
    <row r="12264" s="5" customFormat="1" x14ac:dyDescent="0.4"/>
    <row r="12265" s="5" customFormat="1" x14ac:dyDescent="0.4"/>
    <row r="12266" s="5" customFormat="1" x14ac:dyDescent="0.4"/>
    <row r="12267" s="5" customFormat="1" x14ac:dyDescent="0.4"/>
    <row r="12268" s="5" customFormat="1" x14ac:dyDescent="0.4"/>
    <row r="12269" s="5" customFormat="1" x14ac:dyDescent="0.4"/>
    <row r="12270" s="5" customFormat="1" x14ac:dyDescent="0.4"/>
    <row r="12271" s="5" customFormat="1" x14ac:dyDescent="0.4"/>
    <row r="12272" s="5" customFormat="1" x14ac:dyDescent="0.4"/>
    <row r="12273" s="5" customFormat="1" x14ac:dyDescent="0.4"/>
    <row r="12274" s="5" customFormat="1" x14ac:dyDescent="0.4"/>
    <row r="12275" s="5" customFormat="1" x14ac:dyDescent="0.4"/>
    <row r="12276" s="5" customFormat="1" x14ac:dyDescent="0.4"/>
    <row r="12277" s="5" customFormat="1" x14ac:dyDescent="0.4"/>
    <row r="12278" s="5" customFormat="1" x14ac:dyDescent="0.4"/>
    <row r="12279" s="5" customFormat="1" x14ac:dyDescent="0.4"/>
    <row r="12280" s="5" customFormat="1" x14ac:dyDescent="0.4"/>
    <row r="12281" s="5" customFormat="1" x14ac:dyDescent="0.4"/>
    <row r="12282" s="5" customFormat="1" x14ac:dyDescent="0.4"/>
    <row r="12283" s="5" customFormat="1" x14ac:dyDescent="0.4"/>
    <row r="12284" s="5" customFormat="1" x14ac:dyDescent="0.4"/>
    <row r="12285" s="5" customFormat="1" x14ac:dyDescent="0.4"/>
    <row r="12286" s="5" customFormat="1" x14ac:dyDescent="0.4"/>
    <row r="12287" s="5" customFormat="1" x14ac:dyDescent="0.4"/>
    <row r="12288" s="5" customFormat="1" x14ac:dyDescent="0.4"/>
    <row r="12289" s="5" customFormat="1" x14ac:dyDescent="0.4"/>
    <row r="12290" s="5" customFormat="1" x14ac:dyDescent="0.4"/>
    <row r="12291" s="5" customFormat="1" x14ac:dyDescent="0.4"/>
    <row r="12292" s="5" customFormat="1" x14ac:dyDescent="0.4"/>
    <row r="12293" s="5" customFormat="1" x14ac:dyDescent="0.4"/>
    <row r="12294" s="5" customFormat="1" x14ac:dyDescent="0.4"/>
    <row r="12295" s="5" customFormat="1" x14ac:dyDescent="0.4"/>
    <row r="12296" s="5" customFormat="1" x14ac:dyDescent="0.4"/>
    <row r="12297" s="5" customFormat="1" x14ac:dyDescent="0.4"/>
    <row r="12298" s="5" customFormat="1" x14ac:dyDescent="0.4"/>
    <row r="12299" s="5" customFormat="1" x14ac:dyDescent="0.4"/>
    <row r="12300" s="5" customFormat="1" x14ac:dyDescent="0.4"/>
    <row r="12301" s="5" customFormat="1" x14ac:dyDescent="0.4"/>
    <row r="12302" s="5" customFormat="1" x14ac:dyDescent="0.4"/>
    <row r="12303" s="5" customFormat="1" x14ac:dyDescent="0.4"/>
    <row r="12304" s="5" customFormat="1" x14ac:dyDescent="0.4"/>
    <row r="12305" s="5" customFormat="1" x14ac:dyDescent="0.4"/>
    <row r="12306" s="5" customFormat="1" x14ac:dyDescent="0.4"/>
    <row r="12307" s="5" customFormat="1" x14ac:dyDescent="0.4"/>
    <row r="12308" s="5" customFormat="1" x14ac:dyDescent="0.4"/>
    <row r="12309" s="5" customFormat="1" x14ac:dyDescent="0.4"/>
    <row r="12310" s="5" customFormat="1" x14ac:dyDescent="0.4"/>
    <row r="12311" s="5" customFormat="1" x14ac:dyDescent="0.4"/>
    <row r="12312" s="5" customFormat="1" x14ac:dyDescent="0.4"/>
    <row r="12313" s="5" customFormat="1" x14ac:dyDescent="0.4"/>
    <row r="12314" s="5" customFormat="1" x14ac:dyDescent="0.4"/>
    <row r="12315" s="5" customFormat="1" x14ac:dyDescent="0.4"/>
    <row r="12316" s="5" customFormat="1" x14ac:dyDescent="0.4"/>
    <row r="12317" s="5" customFormat="1" x14ac:dyDescent="0.4"/>
    <row r="12318" s="5" customFormat="1" x14ac:dyDescent="0.4"/>
    <row r="12319" s="5" customFormat="1" x14ac:dyDescent="0.4"/>
    <row r="12320" s="5" customFormat="1" x14ac:dyDescent="0.4"/>
    <row r="12321" s="5" customFormat="1" x14ac:dyDescent="0.4"/>
    <row r="12322" s="5" customFormat="1" x14ac:dyDescent="0.4"/>
    <row r="12323" s="5" customFormat="1" x14ac:dyDescent="0.4"/>
    <row r="12324" s="5" customFormat="1" x14ac:dyDescent="0.4"/>
    <row r="12325" s="5" customFormat="1" x14ac:dyDescent="0.4"/>
    <row r="12326" s="5" customFormat="1" x14ac:dyDescent="0.4"/>
    <row r="12327" s="5" customFormat="1" x14ac:dyDescent="0.4"/>
    <row r="12328" s="5" customFormat="1" x14ac:dyDescent="0.4"/>
    <row r="12329" s="5" customFormat="1" x14ac:dyDescent="0.4"/>
    <row r="12330" s="5" customFormat="1" x14ac:dyDescent="0.4"/>
    <row r="12331" s="5" customFormat="1" x14ac:dyDescent="0.4"/>
    <row r="12332" s="5" customFormat="1" x14ac:dyDescent="0.4"/>
    <row r="12333" s="5" customFormat="1" x14ac:dyDescent="0.4"/>
    <row r="12334" s="5" customFormat="1" x14ac:dyDescent="0.4"/>
    <row r="12335" s="5" customFormat="1" x14ac:dyDescent="0.4"/>
    <row r="12336" s="5" customFormat="1" x14ac:dyDescent="0.4"/>
    <row r="12337" s="5" customFormat="1" x14ac:dyDescent="0.4"/>
    <row r="12338" s="5" customFormat="1" x14ac:dyDescent="0.4"/>
    <row r="12339" s="5" customFormat="1" x14ac:dyDescent="0.4"/>
    <row r="12340" s="5" customFormat="1" x14ac:dyDescent="0.4"/>
    <row r="12341" s="5" customFormat="1" x14ac:dyDescent="0.4"/>
    <row r="12342" s="5" customFormat="1" x14ac:dyDescent="0.4"/>
    <row r="12343" s="5" customFormat="1" x14ac:dyDescent="0.4"/>
    <row r="12344" s="5" customFormat="1" x14ac:dyDescent="0.4"/>
    <row r="12345" s="5" customFormat="1" x14ac:dyDescent="0.4"/>
    <row r="12346" s="5" customFormat="1" x14ac:dyDescent="0.4"/>
    <row r="12347" s="5" customFormat="1" x14ac:dyDescent="0.4"/>
    <row r="12348" s="5" customFormat="1" x14ac:dyDescent="0.4"/>
    <row r="12349" s="5" customFormat="1" x14ac:dyDescent="0.4"/>
    <row r="12350" s="5" customFormat="1" x14ac:dyDescent="0.4"/>
    <row r="12351" s="5" customFormat="1" x14ac:dyDescent="0.4"/>
    <row r="12352" s="5" customFormat="1" x14ac:dyDescent="0.4"/>
    <row r="12353" s="5" customFormat="1" x14ac:dyDescent="0.4"/>
    <row r="12354" s="5" customFormat="1" x14ac:dyDescent="0.4"/>
    <row r="12355" s="5" customFormat="1" x14ac:dyDescent="0.4"/>
    <row r="12356" s="5" customFormat="1" x14ac:dyDescent="0.4"/>
    <row r="12357" s="5" customFormat="1" x14ac:dyDescent="0.4"/>
    <row r="12358" s="5" customFormat="1" x14ac:dyDescent="0.4"/>
    <row r="12359" s="5" customFormat="1" x14ac:dyDescent="0.4"/>
    <row r="12360" s="5" customFormat="1" x14ac:dyDescent="0.4"/>
    <row r="12361" s="5" customFormat="1" x14ac:dyDescent="0.4"/>
    <row r="12362" s="5" customFormat="1" x14ac:dyDescent="0.4"/>
    <row r="12363" s="5" customFormat="1" x14ac:dyDescent="0.4"/>
    <row r="12364" s="5" customFormat="1" x14ac:dyDescent="0.4"/>
    <row r="12365" s="5" customFormat="1" x14ac:dyDescent="0.4"/>
    <row r="12366" s="5" customFormat="1" x14ac:dyDescent="0.4"/>
    <row r="12367" s="5" customFormat="1" x14ac:dyDescent="0.4"/>
    <row r="12368" s="5" customFormat="1" x14ac:dyDescent="0.4"/>
    <row r="12369" s="5" customFormat="1" x14ac:dyDescent="0.4"/>
    <row r="12370" s="5" customFormat="1" x14ac:dyDescent="0.4"/>
    <row r="12371" s="5" customFormat="1" x14ac:dyDescent="0.4"/>
    <row r="12372" s="5" customFormat="1" x14ac:dyDescent="0.4"/>
    <row r="12373" s="5" customFormat="1" x14ac:dyDescent="0.4"/>
    <row r="12374" s="5" customFormat="1" x14ac:dyDescent="0.4"/>
    <row r="12375" s="5" customFormat="1" x14ac:dyDescent="0.4"/>
    <row r="12376" s="5" customFormat="1" x14ac:dyDescent="0.4"/>
    <row r="12377" s="5" customFormat="1" x14ac:dyDescent="0.4"/>
    <row r="12378" s="5" customFormat="1" x14ac:dyDescent="0.4"/>
    <row r="12379" s="5" customFormat="1" x14ac:dyDescent="0.4"/>
    <row r="12380" s="5" customFormat="1" x14ac:dyDescent="0.4"/>
    <row r="12381" s="5" customFormat="1" x14ac:dyDescent="0.4"/>
    <row r="12382" s="5" customFormat="1" x14ac:dyDescent="0.4"/>
    <row r="12383" s="5" customFormat="1" x14ac:dyDescent="0.4"/>
    <row r="12384" s="5" customFormat="1" x14ac:dyDescent="0.4"/>
    <row r="12385" s="5" customFormat="1" x14ac:dyDescent="0.4"/>
    <row r="12386" s="5" customFormat="1" x14ac:dyDescent="0.4"/>
    <row r="12387" s="5" customFormat="1" x14ac:dyDescent="0.4"/>
    <row r="12388" s="5" customFormat="1" x14ac:dyDescent="0.4"/>
    <row r="12389" s="5" customFormat="1" x14ac:dyDescent="0.4"/>
    <row r="12390" s="5" customFormat="1" x14ac:dyDescent="0.4"/>
    <row r="12391" s="5" customFormat="1" x14ac:dyDescent="0.4"/>
    <row r="12392" s="5" customFormat="1" x14ac:dyDescent="0.4"/>
    <row r="12393" s="5" customFormat="1" x14ac:dyDescent="0.4"/>
    <row r="12394" s="5" customFormat="1" x14ac:dyDescent="0.4"/>
    <row r="12395" s="5" customFormat="1" x14ac:dyDescent="0.4"/>
    <row r="12396" s="5" customFormat="1" x14ac:dyDescent="0.4"/>
    <row r="12397" s="5" customFormat="1" x14ac:dyDescent="0.4"/>
    <row r="12398" s="5" customFormat="1" x14ac:dyDescent="0.4"/>
    <row r="12399" s="5" customFormat="1" x14ac:dyDescent="0.4"/>
    <row r="12400" s="5" customFormat="1" x14ac:dyDescent="0.4"/>
    <row r="12401" s="5" customFormat="1" x14ac:dyDescent="0.4"/>
    <row r="12402" s="5" customFormat="1" x14ac:dyDescent="0.4"/>
    <row r="12403" s="5" customFormat="1" x14ac:dyDescent="0.4"/>
    <row r="12404" s="5" customFormat="1" x14ac:dyDescent="0.4"/>
    <row r="12405" s="5" customFormat="1" x14ac:dyDescent="0.4"/>
    <row r="12406" s="5" customFormat="1" x14ac:dyDescent="0.4"/>
    <row r="12407" s="5" customFormat="1" x14ac:dyDescent="0.4"/>
    <row r="12408" s="5" customFormat="1" x14ac:dyDescent="0.4"/>
    <row r="12409" s="5" customFormat="1" x14ac:dyDescent="0.4"/>
    <row r="12410" s="5" customFormat="1" x14ac:dyDescent="0.4"/>
    <row r="12411" s="5" customFormat="1" x14ac:dyDescent="0.4"/>
    <row r="12412" s="5" customFormat="1" x14ac:dyDescent="0.4"/>
    <row r="12413" s="5" customFormat="1" x14ac:dyDescent="0.4"/>
    <row r="12414" s="5" customFormat="1" x14ac:dyDescent="0.4"/>
    <row r="12415" s="5" customFormat="1" x14ac:dyDescent="0.4"/>
    <row r="12416" s="5" customFormat="1" x14ac:dyDescent="0.4"/>
    <row r="12417" s="5" customFormat="1" x14ac:dyDescent="0.4"/>
    <row r="12418" s="5" customFormat="1" x14ac:dyDescent="0.4"/>
    <row r="12419" s="5" customFormat="1" x14ac:dyDescent="0.4"/>
    <row r="12420" s="5" customFormat="1" x14ac:dyDescent="0.4"/>
    <row r="12421" s="5" customFormat="1" x14ac:dyDescent="0.4"/>
    <row r="12422" s="5" customFormat="1" x14ac:dyDescent="0.4"/>
    <row r="12423" s="5" customFormat="1" x14ac:dyDescent="0.4"/>
    <row r="12424" s="5" customFormat="1" x14ac:dyDescent="0.4"/>
    <row r="12425" s="5" customFormat="1" x14ac:dyDescent="0.4"/>
    <row r="12426" s="5" customFormat="1" x14ac:dyDescent="0.4"/>
    <row r="12427" s="5" customFormat="1" x14ac:dyDescent="0.4"/>
    <row r="12428" s="5" customFormat="1" x14ac:dyDescent="0.4"/>
    <row r="12429" s="5" customFormat="1" x14ac:dyDescent="0.4"/>
    <row r="12430" s="5" customFormat="1" x14ac:dyDescent="0.4"/>
    <row r="12431" s="5" customFormat="1" x14ac:dyDescent="0.4"/>
    <row r="12432" s="5" customFormat="1" x14ac:dyDescent="0.4"/>
    <row r="12433" s="5" customFormat="1" x14ac:dyDescent="0.4"/>
    <row r="12434" s="5" customFormat="1" x14ac:dyDescent="0.4"/>
    <row r="12435" s="5" customFormat="1" x14ac:dyDescent="0.4"/>
    <row r="12436" s="5" customFormat="1" x14ac:dyDescent="0.4"/>
    <row r="12437" s="5" customFormat="1" x14ac:dyDescent="0.4"/>
    <row r="12438" s="5" customFormat="1" x14ac:dyDescent="0.4"/>
    <row r="12439" s="5" customFormat="1" x14ac:dyDescent="0.4"/>
    <row r="12440" s="5" customFormat="1" x14ac:dyDescent="0.4"/>
    <row r="12441" s="5" customFormat="1" x14ac:dyDescent="0.4"/>
    <row r="12442" s="5" customFormat="1" x14ac:dyDescent="0.4"/>
    <row r="12443" s="5" customFormat="1" x14ac:dyDescent="0.4"/>
    <row r="12444" s="5" customFormat="1" x14ac:dyDescent="0.4"/>
    <row r="12445" s="5" customFormat="1" x14ac:dyDescent="0.4"/>
    <row r="12446" s="5" customFormat="1" x14ac:dyDescent="0.4"/>
    <row r="12447" s="5" customFormat="1" x14ac:dyDescent="0.4"/>
    <row r="12448" s="5" customFormat="1" x14ac:dyDescent="0.4"/>
    <row r="12449" s="5" customFormat="1" x14ac:dyDescent="0.4"/>
    <row r="12450" s="5" customFormat="1" x14ac:dyDescent="0.4"/>
    <row r="12451" s="5" customFormat="1" x14ac:dyDescent="0.4"/>
    <row r="12452" s="5" customFormat="1" x14ac:dyDescent="0.4"/>
    <row r="12453" s="5" customFormat="1" x14ac:dyDescent="0.4"/>
    <row r="12454" s="5" customFormat="1" x14ac:dyDescent="0.4"/>
    <row r="12455" s="5" customFormat="1" x14ac:dyDescent="0.4"/>
    <row r="12456" s="5" customFormat="1" x14ac:dyDescent="0.4"/>
    <row r="12457" s="5" customFormat="1" x14ac:dyDescent="0.4"/>
    <row r="12458" s="5" customFormat="1" x14ac:dyDescent="0.4"/>
    <row r="12459" s="5" customFormat="1" x14ac:dyDescent="0.4"/>
    <row r="12460" s="5" customFormat="1" x14ac:dyDescent="0.4"/>
    <row r="12461" s="5" customFormat="1" x14ac:dyDescent="0.4"/>
    <row r="12462" s="5" customFormat="1" x14ac:dyDescent="0.4"/>
    <row r="12463" s="5" customFormat="1" x14ac:dyDescent="0.4"/>
    <row r="12464" s="5" customFormat="1" x14ac:dyDescent="0.4"/>
    <row r="12465" s="5" customFormat="1" x14ac:dyDescent="0.4"/>
    <row r="12466" s="5" customFormat="1" x14ac:dyDescent="0.4"/>
    <row r="12467" s="5" customFormat="1" x14ac:dyDescent="0.4"/>
    <row r="12468" s="5" customFormat="1" x14ac:dyDescent="0.4"/>
    <row r="12469" s="5" customFormat="1" x14ac:dyDescent="0.4"/>
    <row r="12470" s="5" customFormat="1" x14ac:dyDescent="0.4"/>
    <row r="12471" s="5" customFormat="1" x14ac:dyDescent="0.4"/>
    <row r="12472" s="5" customFormat="1" x14ac:dyDescent="0.4"/>
    <row r="12473" s="5" customFormat="1" x14ac:dyDescent="0.4"/>
    <row r="12474" s="5" customFormat="1" x14ac:dyDescent="0.4"/>
    <row r="12475" s="5" customFormat="1" x14ac:dyDescent="0.4"/>
    <row r="12476" s="5" customFormat="1" x14ac:dyDescent="0.4"/>
    <row r="12477" s="5" customFormat="1" x14ac:dyDescent="0.4"/>
    <row r="12478" s="5" customFormat="1" x14ac:dyDescent="0.4"/>
    <row r="12479" s="5" customFormat="1" x14ac:dyDescent="0.4"/>
    <row r="12480" s="5" customFormat="1" x14ac:dyDescent="0.4"/>
    <row r="12481" s="5" customFormat="1" x14ac:dyDescent="0.4"/>
    <row r="12482" s="5" customFormat="1" x14ac:dyDescent="0.4"/>
    <row r="12483" s="5" customFormat="1" x14ac:dyDescent="0.4"/>
    <row r="12484" s="5" customFormat="1" x14ac:dyDescent="0.4"/>
    <row r="12485" s="5" customFormat="1" x14ac:dyDescent="0.4"/>
    <row r="12486" s="5" customFormat="1" x14ac:dyDescent="0.4"/>
    <row r="12487" s="5" customFormat="1" x14ac:dyDescent="0.4"/>
    <row r="12488" s="5" customFormat="1" x14ac:dyDescent="0.4"/>
    <row r="12489" s="5" customFormat="1" x14ac:dyDescent="0.4"/>
    <row r="12490" s="5" customFormat="1" x14ac:dyDescent="0.4"/>
    <row r="12491" s="5" customFormat="1" x14ac:dyDescent="0.4"/>
    <row r="12492" s="5" customFormat="1" x14ac:dyDescent="0.4"/>
    <row r="12493" s="5" customFormat="1" x14ac:dyDescent="0.4"/>
    <row r="12494" s="5" customFormat="1" x14ac:dyDescent="0.4"/>
    <row r="12495" s="5" customFormat="1" x14ac:dyDescent="0.4"/>
    <row r="12496" s="5" customFormat="1" x14ac:dyDescent="0.4"/>
    <row r="12497" s="5" customFormat="1" x14ac:dyDescent="0.4"/>
    <row r="12498" s="5" customFormat="1" x14ac:dyDescent="0.4"/>
    <row r="12499" s="5" customFormat="1" x14ac:dyDescent="0.4"/>
    <row r="12500" s="5" customFormat="1" x14ac:dyDescent="0.4"/>
    <row r="12501" s="5" customFormat="1" x14ac:dyDescent="0.4"/>
    <row r="12502" s="5" customFormat="1" x14ac:dyDescent="0.4"/>
    <row r="12503" s="5" customFormat="1" x14ac:dyDescent="0.4"/>
    <row r="12504" s="5" customFormat="1" x14ac:dyDescent="0.4"/>
    <row r="12505" s="5" customFormat="1" x14ac:dyDescent="0.4"/>
    <row r="12506" s="5" customFormat="1" x14ac:dyDescent="0.4"/>
    <row r="12507" s="5" customFormat="1" x14ac:dyDescent="0.4"/>
    <row r="12508" s="5" customFormat="1" x14ac:dyDescent="0.4"/>
    <row r="12509" s="5" customFormat="1" x14ac:dyDescent="0.4"/>
    <row r="12510" s="5" customFormat="1" x14ac:dyDescent="0.4"/>
    <row r="12511" s="5" customFormat="1" x14ac:dyDescent="0.4"/>
    <row r="12512" s="5" customFormat="1" x14ac:dyDescent="0.4"/>
    <row r="12513" s="5" customFormat="1" x14ac:dyDescent="0.4"/>
    <row r="12514" s="5" customFormat="1" x14ac:dyDescent="0.4"/>
    <row r="12515" s="5" customFormat="1" x14ac:dyDescent="0.4"/>
    <row r="12516" s="5" customFormat="1" x14ac:dyDescent="0.4"/>
    <row r="12517" s="5" customFormat="1" x14ac:dyDescent="0.4"/>
    <row r="12518" s="5" customFormat="1" x14ac:dyDescent="0.4"/>
    <row r="12519" s="5" customFormat="1" x14ac:dyDescent="0.4"/>
    <row r="12520" s="5" customFormat="1" x14ac:dyDescent="0.4"/>
    <row r="12521" s="5" customFormat="1" x14ac:dyDescent="0.4"/>
    <row r="12522" s="5" customFormat="1" x14ac:dyDescent="0.4"/>
    <row r="12523" s="5" customFormat="1" x14ac:dyDescent="0.4"/>
    <row r="12524" s="5" customFormat="1" x14ac:dyDescent="0.4"/>
    <row r="12525" s="5" customFormat="1" x14ac:dyDescent="0.4"/>
    <row r="12526" s="5" customFormat="1" x14ac:dyDescent="0.4"/>
    <row r="12527" s="5" customFormat="1" x14ac:dyDescent="0.4"/>
    <row r="12528" s="5" customFormat="1" x14ac:dyDescent="0.4"/>
    <row r="12529" s="5" customFormat="1" x14ac:dyDescent="0.4"/>
    <row r="12530" s="5" customFormat="1" x14ac:dyDescent="0.4"/>
    <row r="12531" s="5" customFormat="1" x14ac:dyDescent="0.4"/>
    <row r="12532" s="5" customFormat="1" x14ac:dyDescent="0.4"/>
    <row r="12533" s="5" customFormat="1" x14ac:dyDescent="0.4"/>
    <row r="12534" s="5" customFormat="1" x14ac:dyDescent="0.4"/>
    <row r="12535" s="5" customFormat="1" x14ac:dyDescent="0.4"/>
    <row r="12536" s="5" customFormat="1" x14ac:dyDescent="0.4"/>
    <row r="12537" s="5" customFormat="1" x14ac:dyDescent="0.4"/>
    <row r="12538" s="5" customFormat="1" x14ac:dyDescent="0.4"/>
    <row r="12539" s="5" customFormat="1" x14ac:dyDescent="0.4"/>
    <row r="12540" s="5" customFormat="1" x14ac:dyDescent="0.4"/>
    <row r="12541" s="5" customFormat="1" x14ac:dyDescent="0.4"/>
    <row r="12542" s="5" customFormat="1" x14ac:dyDescent="0.4"/>
    <row r="12543" s="5" customFormat="1" x14ac:dyDescent="0.4"/>
    <row r="12544" s="5" customFormat="1" x14ac:dyDescent="0.4"/>
    <row r="12545" s="5" customFormat="1" x14ac:dyDescent="0.4"/>
    <row r="12546" s="5" customFormat="1" x14ac:dyDescent="0.4"/>
    <row r="12547" s="5" customFormat="1" x14ac:dyDescent="0.4"/>
    <row r="12548" s="5" customFormat="1" x14ac:dyDescent="0.4"/>
    <row r="12549" s="5" customFormat="1" x14ac:dyDescent="0.4"/>
    <row r="12550" s="5" customFormat="1" x14ac:dyDescent="0.4"/>
    <row r="12551" s="5" customFormat="1" x14ac:dyDescent="0.4"/>
    <row r="12552" s="5" customFormat="1" x14ac:dyDescent="0.4"/>
    <row r="12553" s="5" customFormat="1" x14ac:dyDescent="0.4"/>
    <row r="12554" s="5" customFormat="1" x14ac:dyDescent="0.4"/>
    <row r="12555" s="5" customFormat="1" x14ac:dyDescent="0.4"/>
    <row r="12556" s="5" customFormat="1" x14ac:dyDescent="0.4"/>
    <row r="12557" s="5" customFormat="1" x14ac:dyDescent="0.4"/>
    <row r="12558" s="5" customFormat="1" x14ac:dyDescent="0.4"/>
    <row r="12559" s="5" customFormat="1" x14ac:dyDescent="0.4"/>
    <row r="12560" s="5" customFormat="1" x14ac:dyDescent="0.4"/>
    <row r="12561" s="5" customFormat="1" x14ac:dyDescent="0.4"/>
    <row r="12562" s="5" customFormat="1" x14ac:dyDescent="0.4"/>
    <row r="12563" s="5" customFormat="1" x14ac:dyDescent="0.4"/>
    <row r="12564" s="5" customFormat="1" x14ac:dyDescent="0.4"/>
    <row r="12565" s="5" customFormat="1" x14ac:dyDescent="0.4"/>
    <row r="12566" s="5" customFormat="1" x14ac:dyDescent="0.4"/>
    <row r="12567" s="5" customFormat="1" x14ac:dyDescent="0.4"/>
    <row r="12568" s="5" customFormat="1" x14ac:dyDescent="0.4"/>
    <row r="12569" s="5" customFormat="1" x14ac:dyDescent="0.4"/>
    <row r="12570" s="5" customFormat="1" x14ac:dyDescent="0.4"/>
    <row r="12571" s="5" customFormat="1" x14ac:dyDescent="0.4"/>
    <row r="12572" s="5" customFormat="1" x14ac:dyDescent="0.4"/>
    <row r="12573" s="5" customFormat="1" x14ac:dyDescent="0.4"/>
    <row r="12574" s="5" customFormat="1" x14ac:dyDescent="0.4"/>
    <row r="12575" s="5" customFormat="1" x14ac:dyDescent="0.4"/>
    <row r="12576" s="5" customFormat="1" x14ac:dyDescent="0.4"/>
    <row r="12577" s="5" customFormat="1" x14ac:dyDescent="0.4"/>
    <row r="12578" s="5" customFormat="1" x14ac:dyDescent="0.4"/>
    <row r="12579" s="5" customFormat="1" x14ac:dyDescent="0.4"/>
    <row r="12580" s="5" customFormat="1" x14ac:dyDescent="0.4"/>
    <row r="12581" s="5" customFormat="1" x14ac:dyDescent="0.4"/>
    <row r="12582" s="5" customFormat="1" x14ac:dyDescent="0.4"/>
    <row r="12583" s="5" customFormat="1" x14ac:dyDescent="0.4"/>
    <row r="12584" s="5" customFormat="1" x14ac:dyDescent="0.4"/>
    <row r="12585" s="5" customFormat="1" x14ac:dyDescent="0.4"/>
    <row r="12586" s="5" customFormat="1" x14ac:dyDescent="0.4"/>
    <row r="12587" s="5" customFormat="1" x14ac:dyDescent="0.4"/>
    <row r="12588" s="5" customFormat="1" x14ac:dyDescent="0.4"/>
    <row r="12589" s="5" customFormat="1" x14ac:dyDescent="0.4"/>
    <row r="12590" s="5" customFormat="1" x14ac:dyDescent="0.4"/>
    <row r="12591" s="5" customFormat="1" x14ac:dyDescent="0.4"/>
    <row r="12592" s="5" customFormat="1" x14ac:dyDescent="0.4"/>
    <row r="12593" s="5" customFormat="1" x14ac:dyDescent="0.4"/>
    <row r="12594" s="5" customFormat="1" x14ac:dyDescent="0.4"/>
    <row r="12595" s="5" customFormat="1" x14ac:dyDescent="0.4"/>
    <row r="12596" s="5" customFormat="1" x14ac:dyDescent="0.4"/>
    <row r="12597" s="5" customFormat="1" x14ac:dyDescent="0.4"/>
    <row r="12598" s="5" customFormat="1" x14ac:dyDescent="0.4"/>
    <row r="12599" s="5" customFormat="1" x14ac:dyDescent="0.4"/>
    <row r="12600" s="5" customFormat="1" x14ac:dyDescent="0.4"/>
    <row r="12601" s="5" customFormat="1" x14ac:dyDescent="0.4"/>
    <row r="12602" s="5" customFormat="1" x14ac:dyDescent="0.4"/>
    <row r="12603" s="5" customFormat="1" x14ac:dyDescent="0.4"/>
    <row r="12604" s="5" customFormat="1" x14ac:dyDescent="0.4"/>
    <row r="12605" s="5" customFormat="1" x14ac:dyDescent="0.4"/>
    <row r="12606" s="5" customFormat="1" x14ac:dyDescent="0.4"/>
    <row r="12607" s="5" customFormat="1" x14ac:dyDescent="0.4"/>
    <row r="12608" s="5" customFormat="1" x14ac:dyDescent="0.4"/>
    <row r="12609" s="5" customFormat="1" x14ac:dyDescent="0.4"/>
    <row r="12610" s="5" customFormat="1" x14ac:dyDescent="0.4"/>
    <row r="12611" s="5" customFormat="1" x14ac:dyDescent="0.4"/>
    <row r="12612" s="5" customFormat="1" x14ac:dyDescent="0.4"/>
    <row r="12613" s="5" customFormat="1" x14ac:dyDescent="0.4"/>
    <row r="12614" s="5" customFormat="1" x14ac:dyDescent="0.4"/>
    <row r="12615" s="5" customFormat="1" x14ac:dyDescent="0.4"/>
    <row r="12616" s="5" customFormat="1" x14ac:dyDescent="0.4"/>
    <row r="12617" s="5" customFormat="1" x14ac:dyDescent="0.4"/>
    <row r="12618" s="5" customFormat="1" x14ac:dyDescent="0.4"/>
    <row r="12619" s="5" customFormat="1" x14ac:dyDescent="0.4"/>
    <row r="12620" s="5" customFormat="1" x14ac:dyDescent="0.4"/>
    <row r="12621" s="5" customFormat="1" x14ac:dyDescent="0.4"/>
    <row r="12622" s="5" customFormat="1" x14ac:dyDescent="0.4"/>
    <row r="12623" s="5" customFormat="1" x14ac:dyDescent="0.4"/>
    <row r="12624" s="5" customFormat="1" x14ac:dyDescent="0.4"/>
    <row r="12625" s="5" customFormat="1" x14ac:dyDescent="0.4"/>
    <row r="12626" s="5" customFormat="1" x14ac:dyDescent="0.4"/>
    <row r="12627" s="5" customFormat="1" x14ac:dyDescent="0.4"/>
    <row r="12628" s="5" customFormat="1" x14ac:dyDescent="0.4"/>
    <row r="12629" s="5" customFormat="1" x14ac:dyDescent="0.4"/>
    <row r="12630" s="5" customFormat="1" x14ac:dyDescent="0.4"/>
    <row r="12631" s="5" customFormat="1" x14ac:dyDescent="0.4"/>
    <row r="12632" s="5" customFormat="1" x14ac:dyDescent="0.4"/>
    <row r="12633" s="5" customFormat="1" x14ac:dyDescent="0.4"/>
    <row r="12634" s="5" customFormat="1" x14ac:dyDescent="0.4"/>
    <row r="12635" s="5" customFormat="1" x14ac:dyDescent="0.4"/>
    <row r="12636" s="5" customFormat="1" x14ac:dyDescent="0.4"/>
    <row r="12637" s="5" customFormat="1" x14ac:dyDescent="0.4"/>
    <row r="12638" s="5" customFormat="1" x14ac:dyDescent="0.4"/>
    <row r="12639" s="5" customFormat="1" x14ac:dyDescent="0.4"/>
    <row r="12640" s="5" customFormat="1" x14ac:dyDescent="0.4"/>
    <row r="12641" s="5" customFormat="1" x14ac:dyDescent="0.4"/>
    <row r="12642" s="5" customFormat="1" x14ac:dyDescent="0.4"/>
    <row r="12643" s="5" customFormat="1" x14ac:dyDescent="0.4"/>
    <row r="12644" s="5" customFormat="1" x14ac:dyDescent="0.4"/>
    <row r="12645" s="5" customFormat="1" x14ac:dyDescent="0.4"/>
    <row r="12646" s="5" customFormat="1" x14ac:dyDescent="0.4"/>
    <row r="12647" s="5" customFormat="1" x14ac:dyDescent="0.4"/>
    <row r="12648" s="5" customFormat="1" x14ac:dyDescent="0.4"/>
    <row r="12649" s="5" customFormat="1" x14ac:dyDescent="0.4"/>
    <row r="12650" s="5" customFormat="1" x14ac:dyDescent="0.4"/>
    <row r="12651" s="5" customFormat="1" x14ac:dyDescent="0.4"/>
    <row r="12652" s="5" customFormat="1" x14ac:dyDescent="0.4"/>
    <row r="12653" s="5" customFormat="1" x14ac:dyDescent="0.4"/>
    <row r="12654" s="5" customFormat="1" x14ac:dyDescent="0.4"/>
    <row r="12655" s="5" customFormat="1" x14ac:dyDescent="0.4"/>
    <row r="12656" s="5" customFormat="1" x14ac:dyDescent="0.4"/>
    <row r="12657" s="5" customFormat="1" x14ac:dyDescent="0.4"/>
    <row r="12658" s="5" customFormat="1" x14ac:dyDescent="0.4"/>
    <row r="12659" s="5" customFormat="1" x14ac:dyDescent="0.4"/>
    <row r="12660" s="5" customFormat="1" x14ac:dyDescent="0.4"/>
    <row r="12661" s="5" customFormat="1" x14ac:dyDescent="0.4"/>
    <row r="12662" s="5" customFormat="1" x14ac:dyDescent="0.4"/>
    <row r="12663" s="5" customFormat="1" x14ac:dyDescent="0.4"/>
    <row r="12664" s="5" customFormat="1" x14ac:dyDescent="0.4"/>
    <row r="12665" s="5" customFormat="1" x14ac:dyDescent="0.4"/>
    <row r="12666" s="5" customFormat="1" x14ac:dyDescent="0.4"/>
    <row r="12667" s="5" customFormat="1" x14ac:dyDescent="0.4"/>
    <row r="12668" s="5" customFormat="1" x14ac:dyDescent="0.4"/>
    <row r="12669" s="5" customFormat="1" x14ac:dyDescent="0.4"/>
    <row r="12670" s="5" customFormat="1" x14ac:dyDescent="0.4"/>
    <row r="12671" s="5" customFormat="1" x14ac:dyDescent="0.4"/>
    <row r="12672" s="5" customFormat="1" x14ac:dyDescent="0.4"/>
    <row r="12673" s="5" customFormat="1" x14ac:dyDescent="0.4"/>
    <row r="12674" s="5" customFormat="1" x14ac:dyDescent="0.4"/>
    <row r="12675" s="5" customFormat="1" x14ac:dyDescent="0.4"/>
    <row r="12676" s="5" customFormat="1" x14ac:dyDescent="0.4"/>
    <row r="12677" s="5" customFormat="1" x14ac:dyDescent="0.4"/>
    <row r="12678" s="5" customFormat="1" x14ac:dyDescent="0.4"/>
    <row r="12679" s="5" customFormat="1" x14ac:dyDescent="0.4"/>
    <row r="12680" s="5" customFormat="1" x14ac:dyDescent="0.4"/>
    <row r="12681" s="5" customFormat="1" x14ac:dyDescent="0.4"/>
    <row r="12682" s="5" customFormat="1" x14ac:dyDescent="0.4"/>
    <row r="12683" s="5" customFormat="1" x14ac:dyDescent="0.4"/>
    <row r="12684" s="5" customFormat="1" x14ac:dyDescent="0.4"/>
    <row r="12685" s="5" customFormat="1" x14ac:dyDescent="0.4"/>
    <row r="12686" s="5" customFormat="1" x14ac:dyDescent="0.4"/>
    <row r="12687" s="5" customFormat="1" x14ac:dyDescent="0.4"/>
    <row r="12688" s="5" customFormat="1" x14ac:dyDescent="0.4"/>
    <row r="12689" s="5" customFormat="1" x14ac:dyDescent="0.4"/>
    <row r="12690" s="5" customFormat="1" x14ac:dyDescent="0.4"/>
    <row r="12691" s="5" customFormat="1" x14ac:dyDescent="0.4"/>
    <row r="12692" s="5" customFormat="1" x14ac:dyDescent="0.4"/>
    <row r="12693" s="5" customFormat="1" x14ac:dyDescent="0.4"/>
    <row r="12694" s="5" customFormat="1" x14ac:dyDescent="0.4"/>
    <row r="12695" s="5" customFormat="1" x14ac:dyDescent="0.4"/>
    <row r="12696" s="5" customFormat="1" x14ac:dyDescent="0.4"/>
    <row r="12697" s="5" customFormat="1" x14ac:dyDescent="0.4"/>
    <row r="12698" s="5" customFormat="1" x14ac:dyDescent="0.4"/>
    <row r="12699" s="5" customFormat="1" x14ac:dyDescent="0.4"/>
    <row r="12700" s="5" customFormat="1" x14ac:dyDescent="0.4"/>
    <row r="12701" s="5" customFormat="1" x14ac:dyDescent="0.4"/>
    <row r="12702" s="5" customFormat="1" x14ac:dyDescent="0.4"/>
    <row r="12703" s="5" customFormat="1" x14ac:dyDescent="0.4"/>
    <row r="12704" s="5" customFormat="1" x14ac:dyDescent="0.4"/>
    <row r="12705" s="5" customFormat="1" x14ac:dyDescent="0.4"/>
    <row r="12706" s="5" customFormat="1" x14ac:dyDescent="0.4"/>
    <row r="12707" s="5" customFormat="1" x14ac:dyDescent="0.4"/>
    <row r="12708" s="5" customFormat="1" x14ac:dyDescent="0.4"/>
    <row r="12709" s="5" customFormat="1" x14ac:dyDescent="0.4"/>
    <row r="12710" s="5" customFormat="1" x14ac:dyDescent="0.4"/>
    <row r="12711" s="5" customFormat="1" x14ac:dyDescent="0.4"/>
    <row r="12712" s="5" customFormat="1" x14ac:dyDescent="0.4"/>
    <row r="12713" s="5" customFormat="1" x14ac:dyDescent="0.4"/>
    <row r="12714" s="5" customFormat="1" x14ac:dyDescent="0.4"/>
    <row r="12715" s="5" customFormat="1" x14ac:dyDescent="0.4"/>
    <row r="12716" s="5" customFormat="1" x14ac:dyDescent="0.4"/>
    <row r="12717" s="5" customFormat="1" x14ac:dyDescent="0.4"/>
    <row r="12718" s="5" customFormat="1" x14ac:dyDescent="0.4"/>
    <row r="12719" s="5" customFormat="1" x14ac:dyDescent="0.4"/>
    <row r="12720" s="5" customFormat="1" x14ac:dyDescent="0.4"/>
    <row r="12721" s="5" customFormat="1" x14ac:dyDescent="0.4"/>
    <row r="12722" s="5" customFormat="1" x14ac:dyDescent="0.4"/>
    <row r="12723" s="5" customFormat="1" x14ac:dyDescent="0.4"/>
    <row r="12724" s="5" customFormat="1" x14ac:dyDescent="0.4"/>
    <row r="12725" s="5" customFormat="1" x14ac:dyDescent="0.4"/>
    <row r="12726" s="5" customFormat="1" x14ac:dyDescent="0.4"/>
    <row r="12727" s="5" customFormat="1" x14ac:dyDescent="0.4"/>
    <row r="12728" s="5" customFormat="1" x14ac:dyDescent="0.4"/>
    <row r="12729" s="5" customFormat="1" x14ac:dyDescent="0.4"/>
    <row r="12730" s="5" customFormat="1" x14ac:dyDescent="0.4"/>
    <row r="12731" s="5" customFormat="1" x14ac:dyDescent="0.4"/>
    <row r="12732" s="5" customFormat="1" x14ac:dyDescent="0.4"/>
    <row r="12733" s="5" customFormat="1" x14ac:dyDescent="0.4"/>
    <row r="12734" s="5" customFormat="1" x14ac:dyDescent="0.4"/>
    <row r="12735" s="5" customFormat="1" x14ac:dyDescent="0.4"/>
    <row r="12736" s="5" customFormat="1" x14ac:dyDescent="0.4"/>
    <row r="12737" s="5" customFormat="1" x14ac:dyDescent="0.4"/>
    <row r="12738" s="5" customFormat="1" x14ac:dyDescent="0.4"/>
    <row r="12739" s="5" customFormat="1" x14ac:dyDescent="0.4"/>
    <row r="12740" s="5" customFormat="1" x14ac:dyDescent="0.4"/>
    <row r="12741" s="5" customFormat="1" x14ac:dyDescent="0.4"/>
    <row r="12742" s="5" customFormat="1" x14ac:dyDescent="0.4"/>
    <row r="12743" s="5" customFormat="1" x14ac:dyDescent="0.4"/>
    <row r="12744" s="5" customFormat="1" x14ac:dyDescent="0.4"/>
    <row r="12745" s="5" customFormat="1" x14ac:dyDescent="0.4"/>
    <row r="12746" s="5" customFormat="1" x14ac:dyDescent="0.4"/>
    <row r="12747" s="5" customFormat="1" x14ac:dyDescent="0.4"/>
    <row r="12748" s="5" customFormat="1" x14ac:dyDescent="0.4"/>
    <row r="12749" s="5" customFormat="1" x14ac:dyDescent="0.4"/>
    <row r="12750" s="5" customFormat="1" x14ac:dyDescent="0.4"/>
    <row r="12751" s="5" customFormat="1" x14ac:dyDescent="0.4"/>
    <row r="12752" s="5" customFormat="1" x14ac:dyDescent="0.4"/>
    <row r="12753" s="5" customFormat="1" x14ac:dyDescent="0.4"/>
    <row r="12754" s="5" customFormat="1" x14ac:dyDescent="0.4"/>
    <row r="12755" s="5" customFormat="1" x14ac:dyDescent="0.4"/>
    <row r="12756" s="5" customFormat="1" x14ac:dyDescent="0.4"/>
    <row r="12757" s="5" customFormat="1" x14ac:dyDescent="0.4"/>
    <row r="12758" s="5" customFormat="1" x14ac:dyDescent="0.4"/>
    <row r="12759" s="5" customFormat="1" x14ac:dyDescent="0.4"/>
    <row r="12760" s="5" customFormat="1" x14ac:dyDescent="0.4"/>
    <row r="12761" s="5" customFormat="1" x14ac:dyDescent="0.4"/>
    <row r="12762" s="5" customFormat="1" x14ac:dyDescent="0.4"/>
    <row r="12763" s="5" customFormat="1" x14ac:dyDescent="0.4"/>
    <row r="12764" s="5" customFormat="1" x14ac:dyDescent="0.4"/>
    <row r="12765" s="5" customFormat="1" x14ac:dyDescent="0.4"/>
    <row r="12766" s="5" customFormat="1" x14ac:dyDescent="0.4"/>
    <row r="12767" s="5" customFormat="1" x14ac:dyDescent="0.4"/>
    <row r="12768" s="5" customFormat="1" x14ac:dyDescent="0.4"/>
    <row r="12769" s="5" customFormat="1" x14ac:dyDescent="0.4"/>
    <row r="12770" s="5" customFormat="1" x14ac:dyDescent="0.4"/>
    <row r="12771" s="5" customFormat="1" x14ac:dyDescent="0.4"/>
    <row r="12772" s="5" customFormat="1" x14ac:dyDescent="0.4"/>
    <row r="12773" s="5" customFormat="1" x14ac:dyDescent="0.4"/>
    <row r="12774" s="5" customFormat="1" x14ac:dyDescent="0.4"/>
    <row r="12775" s="5" customFormat="1" x14ac:dyDescent="0.4"/>
    <row r="12776" s="5" customFormat="1" x14ac:dyDescent="0.4"/>
    <row r="12777" s="5" customFormat="1" x14ac:dyDescent="0.4"/>
    <row r="12778" s="5" customFormat="1" x14ac:dyDescent="0.4"/>
    <row r="12779" s="5" customFormat="1" x14ac:dyDescent="0.4"/>
    <row r="12780" s="5" customFormat="1" x14ac:dyDescent="0.4"/>
    <row r="12781" s="5" customFormat="1" x14ac:dyDescent="0.4"/>
    <row r="12782" s="5" customFormat="1" x14ac:dyDescent="0.4"/>
    <row r="12783" s="5" customFormat="1" x14ac:dyDescent="0.4"/>
    <row r="12784" s="5" customFormat="1" x14ac:dyDescent="0.4"/>
    <row r="12785" s="5" customFormat="1" x14ac:dyDescent="0.4"/>
    <row r="12786" s="5" customFormat="1" x14ac:dyDescent="0.4"/>
    <row r="12787" s="5" customFormat="1" x14ac:dyDescent="0.4"/>
    <row r="12788" s="5" customFormat="1" x14ac:dyDescent="0.4"/>
    <row r="12789" s="5" customFormat="1" x14ac:dyDescent="0.4"/>
    <row r="12790" s="5" customFormat="1" x14ac:dyDescent="0.4"/>
    <row r="12791" s="5" customFormat="1" x14ac:dyDescent="0.4"/>
    <row r="12792" s="5" customFormat="1" x14ac:dyDescent="0.4"/>
    <row r="12793" s="5" customFormat="1" x14ac:dyDescent="0.4"/>
    <row r="12794" s="5" customFormat="1" x14ac:dyDescent="0.4"/>
    <row r="12795" s="5" customFormat="1" x14ac:dyDescent="0.4"/>
    <row r="12796" s="5" customFormat="1" x14ac:dyDescent="0.4"/>
    <row r="12797" s="5" customFormat="1" x14ac:dyDescent="0.4"/>
    <row r="12798" s="5" customFormat="1" x14ac:dyDescent="0.4"/>
    <row r="12799" s="5" customFormat="1" x14ac:dyDescent="0.4"/>
    <row r="12800" s="5" customFormat="1" x14ac:dyDescent="0.4"/>
    <row r="12801" s="5" customFormat="1" x14ac:dyDescent="0.4"/>
    <row r="12802" s="5" customFormat="1" x14ac:dyDescent="0.4"/>
    <row r="12803" s="5" customFormat="1" x14ac:dyDescent="0.4"/>
    <row r="12804" s="5" customFormat="1" x14ac:dyDescent="0.4"/>
    <row r="12805" s="5" customFormat="1" x14ac:dyDescent="0.4"/>
    <row r="12806" s="5" customFormat="1" x14ac:dyDescent="0.4"/>
    <row r="12807" s="5" customFormat="1" x14ac:dyDescent="0.4"/>
    <row r="12808" s="5" customFormat="1" x14ac:dyDescent="0.4"/>
    <row r="12809" s="5" customFormat="1" x14ac:dyDescent="0.4"/>
    <row r="12810" s="5" customFormat="1" x14ac:dyDescent="0.4"/>
    <row r="12811" s="5" customFormat="1" x14ac:dyDescent="0.4"/>
    <row r="12812" s="5" customFormat="1" x14ac:dyDescent="0.4"/>
    <row r="12813" s="5" customFormat="1" x14ac:dyDescent="0.4"/>
    <row r="12814" s="5" customFormat="1" x14ac:dyDescent="0.4"/>
    <row r="12815" s="5" customFormat="1" x14ac:dyDescent="0.4"/>
    <row r="12816" s="5" customFormat="1" x14ac:dyDescent="0.4"/>
    <row r="12817" s="5" customFormat="1" x14ac:dyDescent="0.4"/>
    <row r="12818" s="5" customFormat="1" x14ac:dyDescent="0.4"/>
    <row r="12819" s="5" customFormat="1" x14ac:dyDescent="0.4"/>
    <row r="12820" s="5" customFormat="1" x14ac:dyDescent="0.4"/>
    <row r="12821" s="5" customFormat="1" x14ac:dyDescent="0.4"/>
    <row r="12822" s="5" customFormat="1" x14ac:dyDescent="0.4"/>
    <row r="12823" s="5" customFormat="1" x14ac:dyDescent="0.4"/>
    <row r="12824" s="5" customFormat="1" x14ac:dyDescent="0.4"/>
    <row r="12825" s="5" customFormat="1" x14ac:dyDescent="0.4"/>
    <row r="12826" s="5" customFormat="1" x14ac:dyDescent="0.4"/>
    <row r="12827" s="5" customFormat="1" x14ac:dyDescent="0.4"/>
    <row r="12828" s="5" customFormat="1" x14ac:dyDescent="0.4"/>
    <row r="12829" s="5" customFormat="1" x14ac:dyDescent="0.4"/>
    <row r="12830" s="5" customFormat="1" x14ac:dyDescent="0.4"/>
    <row r="12831" s="5" customFormat="1" x14ac:dyDescent="0.4"/>
    <row r="12832" s="5" customFormat="1" x14ac:dyDescent="0.4"/>
    <row r="12833" s="5" customFormat="1" x14ac:dyDescent="0.4"/>
    <row r="12834" s="5" customFormat="1" x14ac:dyDescent="0.4"/>
    <row r="12835" s="5" customFormat="1" x14ac:dyDescent="0.4"/>
    <row r="12836" s="5" customFormat="1" x14ac:dyDescent="0.4"/>
    <row r="12837" s="5" customFormat="1" x14ac:dyDescent="0.4"/>
    <row r="12838" s="5" customFormat="1" x14ac:dyDescent="0.4"/>
    <row r="12839" s="5" customFormat="1" x14ac:dyDescent="0.4"/>
    <row r="12840" s="5" customFormat="1" x14ac:dyDescent="0.4"/>
    <row r="12841" s="5" customFormat="1" x14ac:dyDescent="0.4"/>
    <row r="12842" s="5" customFormat="1" x14ac:dyDescent="0.4"/>
    <row r="12843" s="5" customFormat="1" x14ac:dyDescent="0.4"/>
    <row r="12844" s="5" customFormat="1" x14ac:dyDescent="0.4"/>
    <row r="12845" s="5" customFormat="1" x14ac:dyDescent="0.4"/>
    <row r="12846" s="5" customFormat="1" x14ac:dyDescent="0.4"/>
    <row r="12847" s="5" customFormat="1" x14ac:dyDescent="0.4"/>
    <row r="12848" s="5" customFormat="1" x14ac:dyDescent="0.4"/>
    <row r="12849" s="5" customFormat="1" x14ac:dyDescent="0.4"/>
    <row r="12850" s="5" customFormat="1" x14ac:dyDescent="0.4"/>
    <row r="12851" s="5" customFormat="1" x14ac:dyDescent="0.4"/>
    <row r="12852" s="5" customFormat="1" x14ac:dyDescent="0.4"/>
    <row r="12853" s="5" customFormat="1" x14ac:dyDescent="0.4"/>
    <row r="12854" s="5" customFormat="1" x14ac:dyDescent="0.4"/>
    <row r="12855" s="5" customFormat="1" x14ac:dyDescent="0.4"/>
    <row r="12856" s="5" customFormat="1" x14ac:dyDescent="0.4"/>
    <row r="12857" s="5" customFormat="1" x14ac:dyDescent="0.4"/>
    <row r="12858" s="5" customFormat="1" x14ac:dyDescent="0.4"/>
    <row r="12859" s="5" customFormat="1" x14ac:dyDescent="0.4"/>
    <row r="12860" s="5" customFormat="1" x14ac:dyDescent="0.4"/>
    <row r="12861" s="5" customFormat="1" x14ac:dyDescent="0.4"/>
    <row r="12862" s="5" customFormat="1" x14ac:dyDescent="0.4"/>
    <row r="12863" s="5" customFormat="1" x14ac:dyDescent="0.4"/>
    <row r="12864" s="5" customFormat="1" x14ac:dyDescent="0.4"/>
    <row r="12865" s="5" customFormat="1" x14ac:dyDescent="0.4"/>
    <row r="12866" s="5" customFormat="1" x14ac:dyDescent="0.4"/>
    <row r="12867" s="5" customFormat="1" x14ac:dyDescent="0.4"/>
    <row r="12868" s="5" customFormat="1" x14ac:dyDescent="0.4"/>
    <row r="12869" s="5" customFormat="1" x14ac:dyDescent="0.4"/>
    <row r="12870" s="5" customFormat="1" x14ac:dyDescent="0.4"/>
    <row r="12871" s="5" customFormat="1" x14ac:dyDescent="0.4"/>
    <row r="12872" s="5" customFormat="1" x14ac:dyDescent="0.4"/>
    <row r="12873" s="5" customFormat="1" x14ac:dyDescent="0.4"/>
    <row r="12874" s="5" customFormat="1" x14ac:dyDescent="0.4"/>
    <row r="12875" s="5" customFormat="1" x14ac:dyDescent="0.4"/>
    <row r="12876" s="5" customFormat="1" x14ac:dyDescent="0.4"/>
    <row r="12877" s="5" customFormat="1" x14ac:dyDescent="0.4"/>
    <row r="12878" s="5" customFormat="1" x14ac:dyDescent="0.4"/>
    <row r="12879" s="5" customFormat="1" x14ac:dyDescent="0.4"/>
    <row r="12880" s="5" customFormat="1" x14ac:dyDescent="0.4"/>
    <row r="12881" s="5" customFormat="1" x14ac:dyDescent="0.4"/>
    <row r="12882" s="5" customFormat="1" x14ac:dyDescent="0.4"/>
    <row r="12883" s="5" customFormat="1" x14ac:dyDescent="0.4"/>
    <row r="12884" s="5" customFormat="1" x14ac:dyDescent="0.4"/>
    <row r="12885" s="5" customFormat="1" x14ac:dyDescent="0.4"/>
    <row r="12886" s="5" customFormat="1" x14ac:dyDescent="0.4"/>
    <row r="12887" s="5" customFormat="1" x14ac:dyDescent="0.4"/>
    <row r="12888" s="5" customFormat="1" x14ac:dyDescent="0.4"/>
    <row r="12889" s="5" customFormat="1" x14ac:dyDescent="0.4"/>
    <row r="12890" s="5" customFormat="1" x14ac:dyDescent="0.4"/>
    <row r="12891" s="5" customFormat="1" x14ac:dyDescent="0.4"/>
    <row r="12892" s="5" customFormat="1" x14ac:dyDescent="0.4"/>
    <row r="12893" s="5" customFormat="1" x14ac:dyDescent="0.4"/>
    <row r="12894" s="5" customFormat="1" x14ac:dyDescent="0.4"/>
    <row r="12895" s="5" customFormat="1" x14ac:dyDescent="0.4"/>
    <row r="12896" s="5" customFormat="1" x14ac:dyDescent="0.4"/>
    <row r="12897" s="5" customFormat="1" x14ac:dyDescent="0.4"/>
    <row r="12898" s="5" customFormat="1" x14ac:dyDescent="0.4"/>
    <row r="12899" s="5" customFormat="1" x14ac:dyDescent="0.4"/>
    <row r="12900" s="5" customFormat="1" x14ac:dyDescent="0.4"/>
    <row r="12901" s="5" customFormat="1" x14ac:dyDescent="0.4"/>
    <row r="12902" s="5" customFormat="1" x14ac:dyDescent="0.4"/>
    <row r="12903" s="5" customFormat="1" x14ac:dyDescent="0.4"/>
    <row r="12904" s="5" customFormat="1" x14ac:dyDescent="0.4"/>
    <row r="12905" s="5" customFormat="1" x14ac:dyDescent="0.4"/>
    <row r="12906" s="5" customFormat="1" x14ac:dyDescent="0.4"/>
    <row r="12907" s="5" customFormat="1" x14ac:dyDescent="0.4"/>
    <row r="12908" s="5" customFormat="1" x14ac:dyDescent="0.4"/>
    <row r="12909" s="5" customFormat="1" x14ac:dyDescent="0.4"/>
    <row r="12910" s="5" customFormat="1" x14ac:dyDescent="0.4"/>
    <row r="12911" s="5" customFormat="1" x14ac:dyDescent="0.4"/>
    <row r="12912" s="5" customFormat="1" x14ac:dyDescent="0.4"/>
    <row r="12913" s="5" customFormat="1" x14ac:dyDescent="0.4"/>
    <row r="12914" s="5" customFormat="1" x14ac:dyDescent="0.4"/>
    <row r="12915" s="5" customFormat="1" x14ac:dyDescent="0.4"/>
    <row r="12916" s="5" customFormat="1" x14ac:dyDescent="0.4"/>
    <row r="12917" s="5" customFormat="1" x14ac:dyDescent="0.4"/>
    <row r="12918" s="5" customFormat="1" x14ac:dyDescent="0.4"/>
    <row r="12919" s="5" customFormat="1" x14ac:dyDescent="0.4"/>
    <row r="12920" s="5" customFormat="1" x14ac:dyDescent="0.4"/>
    <row r="12921" s="5" customFormat="1" x14ac:dyDescent="0.4"/>
    <row r="12922" s="5" customFormat="1" x14ac:dyDescent="0.4"/>
    <row r="12923" s="5" customFormat="1" x14ac:dyDescent="0.4"/>
    <row r="12924" s="5" customFormat="1" x14ac:dyDescent="0.4"/>
    <row r="12925" s="5" customFormat="1" x14ac:dyDescent="0.4"/>
    <row r="12926" s="5" customFormat="1" x14ac:dyDescent="0.4"/>
    <row r="12927" s="5" customFormat="1" x14ac:dyDescent="0.4"/>
    <row r="12928" s="5" customFormat="1" x14ac:dyDescent="0.4"/>
    <row r="12929" s="5" customFormat="1" x14ac:dyDescent="0.4"/>
    <row r="12930" s="5" customFormat="1" x14ac:dyDescent="0.4"/>
    <row r="12931" s="5" customFormat="1" x14ac:dyDescent="0.4"/>
    <row r="12932" s="5" customFormat="1" x14ac:dyDescent="0.4"/>
    <row r="12933" s="5" customFormat="1" x14ac:dyDescent="0.4"/>
    <row r="12934" s="5" customFormat="1" x14ac:dyDescent="0.4"/>
    <row r="12935" s="5" customFormat="1" x14ac:dyDescent="0.4"/>
    <row r="12936" s="5" customFormat="1" x14ac:dyDescent="0.4"/>
    <row r="12937" s="5" customFormat="1" x14ac:dyDescent="0.4"/>
    <row r="12938" s="5" customFormat="1" x14ac:dyDescent="0.4"/>
    <row r="12939" s="5" customFormat="1" x14ac:dyDescent="0.4"/>
    <row r="12940" s="5" customFormat="1" x14ac:dyDescent="0.4"/>
    <row r="12941" s="5" customFormat="1" x14ac:dyDescent="0.4"/>
    <row r="12942" s="5" customFormat="1" x14ac:dyDescent="0.4"/>
    <row r="12943" s="5" customFormat="1" x14ac:dyDescent="0.4"/>
    <row r="12944" s="5" customFormat="1" x14ac:dyDescent="0.4"/>
    <row r="12945" s="5" customFormat="1" x14ac:dyDescent="0.4"/>
    <row r="12946" s="5" customFormat="1" x14ac:dyDescent="0.4"/>
    <row r="12947" s="5" customFormat="1" x14ac:dyDescent="0.4"/>
    <row r="12948" s="5" customFormat="1" x14ac:dyDescent="0.4"/>
    <row r="12949" s="5" customFormat="1" x14ac:dyDescent="0.4"/>
    <row r="12950" s="5" customFormat="1" x14ac:dyDescent="0.4"/>
    <row r="12951" s="5" customFormat="1" x14ac:dyDescent="0.4"/>
    <row r="12952" s="5" customFormat="1" x14ac:dyDescent="0.4"/>
    <row r="12953" s="5" customFormat="1" x14ac:dyDescent="0.4"/>
    <row r="12954" s="5" customFormat="1" x14ac:dyDescent="0.4"/>
    <row r="12955" s="5" customFormat="1" x14ac:dyDescent="0.4"/>
    <row r="12956" s="5" customFormat="1" x14ac:dyDescent="0.4"/>
    <row r="12957" s="5" customFormat="1" x14ac:dyDescent="0.4"/>
    <row r="12958" s="5" customFormat="1" x14ac:dyDescent="0.4"/>
    <row r="12959" s="5" customFormat="1" x14ac:dyDescent="0.4"/>
    <row r="12960" s="5" customFormat="1" x14ac:dyDescent="0.4"/>
    <row r="12961" s="5" customFormat="1" x14ac:dyDescent="0.4"/>
    <row r="12962" s="5" customFormat="1" x14ac:dyDescent="0.4"/>
    <row r="12963" s="5" customFormat="1" x14ac:dyDescent="0.4"/>
    <row r="12964" s="5" customFormat="1" x14ac:dyDescent="0.4"/>
    <row r="12965" s="5" customFormat="1" x14ac:dyDescent="0.4"/>
    <row r="12966" s="5" customFormat="1" x14ac:dyDescent="0.4"/>
    <row r="12967" s="5" customFormat="1" x14ac:dyDescent="0.4"/>
    <row r="12968" s="5" customFormat="1" x14ac:dyDescent="0.4"/>
    <row r="12969" s="5" customFormat="1" x14ac:dyDescent="0.4"/>
    <row r="12970" s="5" customFormat="1" x14ac:dyDescent="0.4"/>
    <row r="12971" s="5" customFormat="1" x14ac:dyDescent="0.4"/>
    <row r="12972" s="5" customFormat="1" x14ac:dyDescent="0.4"/>
    <row r="12973" s="5" customFormat="1" x14ac:dyDescent="0.4"/>
    <row r="12974" s="5" customFormat="1" x14ac:dyDescent="0.4"/>
    <row r="12975" s="5" customFormat="1" x14ac:dyDescent="0.4"/>
    <row r="12976" s="5" customFormat="1" x14ac:dyDescent="0.4"/>
    <row r="12977" s="5" customFormat="1" x14ac:dyDescent="0.4"/>
    <row r="12978" s="5" customFormat="1" x14ac:dyDescent="0.4"/>
    <row r="12979" s="5" customFormat="1" x14ac:dyDescent="0.4"/>
    <row r="12980" s="5" customFormat="1" x14ac:dyDescent="0.4"/>
    <row r="12981" s="5" customFormat="1" x14ac:dyDescent="0.4"/>
    <row r="12982" s="5" customFormat="1" x14ac:dyDescent="0.4"/>
    <row r="12983" s="5" customFormat="1" x14ac:dyDescent="0.4"/>
    <row r="12984" s="5" customFormat="1" x14ac:dyDescent="0.4"/>
    <row r="12985" s="5" customFormat="1" x14ac:dyDescent="0.4"/>
    <row r="12986" s="5" customFormat="1" x14ac:dyDescent="0.4"/>
    <row r="12987" s="5" customFormat="1" x14ac:dyDescent="0.4"/>
    <row r="12988" s="5" customFormat="1" x14ac:dyDescent="0.4"/>
    <row r="12989" s="5" customFormat="1" x14ac:dyDescent="0.4"/>
    <row r="12990" s="5" customFormat="1" x14ac:dyDescent="0.4"/>
    <row r="12991" s="5" customFormat="1" x14ac:dyDescent="0.4"/>
    <row r="12992" s="5" customFormat="1" x14ac:dyDescent="0.4"/>
    <row r="12993" s="5" customFormat="1" x14ac:dyDescent="0.4"/>
    <row r="12994" s="5" customFormat="1" x14ac:dyDescent="0.4"/>
    <row r="12995" s="5" customFormat="1" x14ac:dyDescent="0.4"/>
    <row r="12996" s="5" customFormat="1" x14ac:dyDescent="0.4"/>
    <row r="12997" s="5" customFormat="1" x14ac:dyDescent="0.4"/>
    <row r="12998" s="5" customFormat="1" x14ac:dyDescent="0.4"/>
    <row r="12999" s="5" customFormat="1" x14ac:dyDescent="0.4"/>
    <row r="13000" s="5" customFormat="1" x14ac:dyDescent="0.4"/>
    <row r="13001" s="5" customFormat="1" x14ac:dyDescent="0.4"/>
    <row r="13002" s="5" customFormat="1" x14ac:dyDescent="0.4"/>
    <row r="13003" s="5" customFormat="1" x14ac:dyDescent="0.4"/>
    <row r="13004" s="5" customFormat="1" x14ac:dyDescent="0.4"/>
    <row r="13005" s="5" customFormat="1" x14ac:dyDescent="0.4"/>
    <row r="13006" s="5" customFormat="1" x14ac:dyDescent="0.4"/>
    <row r="13007" s="5" customFormat="1" x14ac:dyDescent="0.4"/>
    <row r="13008" s="5" customFormat="1" x14ac:dyDescent="0.4"/>
    <row r="13009" s="5" customFormat="1" x14ac:dyDescent="0.4"/>
    <row r="13010" s="5" customFormat="1" x14ac:dyDescent="0.4"/>
    <row r="13011" s="5" customFormat="1" x14ac:dyDescent="0.4"/>
    <row r="13012" s="5" customFormat="1" x14ac:dyDescent="0.4"/>
    <row r="13013" s="5" customFormat="1" x14ac:dyDescent="0.4"/>
    <row r="13014" s="5" customFormat="1" x14ac:dyDescent="0.4"/>
    <row r="13015" s="5" customFormat="1" x14ac:dyDescent="0.4"/>
    <row r="13016" s="5" customFormat="1" x14ac:dyDescent="0.4"/>
    <row r="13017" s="5" customFormat="1" x14ac:dyDescent="0.4"/>
    <row r="13018" s="5" customFormat="1" x14ac:dyDescent="0.4"/>
    <row r="13019" s="5" customFormat="1" x14ac:dyDescent="0.4"/>
    <row r="13020" s="5" customFormat="1" x14ac:dyDescent="0.4"/>
    <row r="13021" s="5" customFormat="1" x14ac:dyDescent="0.4"/>
    <row r="13022" s="5" customFormat="1" x14ac:dyDescent="0.4"/>
    <row r="13023" s="5" customFormat="1" x14ac:dyDescent="0.4"/>
    <row r="13024" s="5" customFormat="1" x14ac:dyDescent="0.4"/>
    <row r="13025" s="5" customFormat="1" x14ac:dyDescent="0.4"/>
    <row r="13026" s="5" customFormat="1" x14ac:dyDescent="0.4"/>
    <row r="13027" s="5" customFormat="1" x14ac:dyDescent="0.4"/>
    <row r="13028" s="5" customFormat="1" x14ac:dyDescent="0.4"/>
    <row r="13029" s="5" customFormat="1" x14ac:dyDescent="0.4"/>
    <row r="13030" s="5" customFormat="1" x14ac:dyDescent="0.4"/>
    <row r="13031" s="5" customFormat="1" x14ac:dyDescent="0.4"/>
    <row r="13032" s="5" customFormat="1" x14ac:dyDescent="0.4"/>
    <row r="13033" s="5" customFormat="1" x14ac:dyDescent="0.4"/>
    <row r="13034" s="5" customFormat="1" x14ac:dyDescent="0.4"/>
    <row r="13035" s="5" customFormat="1" x14ac:dyDescent="0.4"/>
    <row r="13036" s="5" customFormat="1" x14ac:dyDescent="0.4"/>
    <row r="13037" s="5" customFormat="1" x14ac:dyDescent="0.4"/>
    <row r="13038" s="5" customFormat="1" x14ac:dyDescent="0.4"/>
    <row r="13039" s="5" customFormat="1" x14ac:dyDescent="0.4"/>
    <row r="13040" s="5" customFormat="1" x14ac:dyDescent="0.4"/>
    <row r="13041" s="5" customFormat="1" x14ac:dyDescent="0.4"/>
    <row r="13042" s="5" customFormat="1" x14ac:dyDescent="0.4"/>
    <row r="13043" s="5" customFormat="1" x14ac:dyDescent="0.4"/>
    <row r="13044" s="5" customFormat="1" x14ac:dyDescent="0.4"/>
    <row r="13045" s="5" customFormat="1" x14ac:dyDescent="0.4"/>
    <row r="13046" s="5" customFormat="1" x14ac:dyDescent="0.4"/>
    <row r="13047" s="5" customFormat="1" x14ac:dyDescent="0.4"/>
    <row r="13048" s="5" customFormat="1" x14ac:dyDescent="0.4"/>
    <row r="13049" s="5" customFormat="1" x14ac:dyDescent="0.4"/>
    <row r="13050" s="5" customFormat="1" x14ac:dyDescent="0.4"/>
    <row r="13051" s="5" customFormat="1" x14ac:dyDescent="0.4"/>
    <row r="13052" s="5" customFormat="1" x14ac:dyDescent="0.4"/>
    <row r="13053" s="5" customFormat="1" x14ac:dyDescent="0.4"/>
    <row r="13054" s="5" customFormat="1" x14ac:dyDescent="0.4"/>
    <row r="13055" s="5" customFormat="1" x14ac:dyDescent="0.4"/>
    <row r="13056" s="5" customFormat="1" x14ac:dyDescent="0.4"/>
    <row r="13057" s="5" customFormat="1" x14ac:dyDescent="0.4"/>
    <row r="13058" s="5" customFormat="1" x14ac:dyDescent="0.4"/>
    <row r="13059" s="5" customFormat="1" x14ac:dyDescent="0.4"/>
    <row r="13060" s="5" customFormat="1" x14ac:dyDescent="0.4"/>
    <row r="13061" s="5" customFormat="1" x14ac:dyDescent="0.4"/>
    <row r="13062" s="5" customFormat="1" x14ac:dyDescent="0.4"/>
    <row r="13063" s="5" customFormat="1" x14ac:dyDescent="0.4"/>
    <row r="13064" s="5" customFormat="1" x14ac:dyDescent="0.4"/>
    <row r="13065" s="5" customFormat="1" x14ac:dyDescent="0.4"/>
    <row r="13066" s="5" customFormat="1" x14ac:dyDescent="0.4"/>
    <row r="13067" s="5" customFormat="1" x14ac:dyDescent="0.4"/>
    <row r="13068" s="5" customFormat="1" x14ac:dyDescent="0.4"/>
    <row r="13069" s="5" customFormat="1" x14ac:dyDescent="0.4"/>
    <row r="13070" s="5" customFormat="1" x14ac:dyDescent="0.4"/>
    <row r="13071" s="5" customFormat="1" x14ac:dyDescent="0.4"/>
    <row r="13072" s="5" customFormat="1" x14ac:dyDescent="0.4"/>
    <row r="13073" s="5" customFormat="1" x14ac:dyDescent="0.4"/>
    <row r="13074" s="5" customFormat="1" x14ac:dyDescent="0.4"/>
    <row r="13075" s="5" customFormat="1" x14ac:dyDescent="0.4"/>
    <row r="13076" s="5" customFormat="1" x14ac:dyDescent="0.4"/>
    <row r="13077" s="5" customFormat="1" x14ac:dyDescent="0.4"/>
    <row r="13078" s="5" customFormat="1" x14ac:dyDescent="0.4"/>
    <row r="13079" s="5" customFormat="1" x14ac:dyDescent="0.4"/>
    <row r="13080" s="5" customFormat="1" x14ac:dyDescent="0.4"/>
    <row r="13081" s="5" customFormat="1" x14ac:dyDescent="0.4"/>
    <row r="13082" s="5" customFormat="1" x14ac:dyDescent="0.4"/>
    <row r="13083" s="5" customFormat="1" x14ac:dyDescent="0.4"/>
    <row r="13084" s="5" customFormat="1" x14ac:dyDescent="0.4"/>
    <row r="13085" s="5" customFormat="1" x14ac:dyDescent="0.4"/>
    <row r="13086" s="5" customFormat="1" x14ac:dyDescent="0.4"/>
    <row r="13087" s="5" customFormat="1" x14ac:dyDescent="0.4"/>
    <row r="13088" s="5" customFormat="1" x14ac:dyDescent="0.4"/>
    <row r="13089" s="5" customFormat="1" x14ac:dyDescent="0.4"/>
    <row r="13090" s="5" customFormat="1" x14ac:dyDescent="0.4"/>
    <row r="13091" s="5" customFormat="1" x14ac:dyDescent="0.4"/>
    <row r="13092" s="5" customFormat="1" x14ac:dyDescent="0.4"/>
    <row r="13093" s="5" customFormat="1" x14ac:dyDescent="0.4"/>
    <row r="13094" s="5" customFormat="1" x14ac:dyDescent="0.4"/>
    <row r="13095" s="5" customFormat="1" x14ac:dyDescent="0.4"/>
    <row r="13096" s="5" customFormat="1" x14ac:dyDescent="0.4"/>
    <row r="13097" s="5" customFormat="1" x14ac:dyDescent="0.4"/>
    <row r="13098" s="5" customFormat="1" x14ac:dyDescent="0.4"/>
    <row r="13099" s="5" customFormat="1" x14ac:dyDescent="0.4"/>
    <row r="13100" s="5" customFormat="1" x14ac:dyDescent="0.4"/>
    <row r="13101" s="5" customFormat="1" x14ac:dyDescent="0.4"/>
    <row r="13102" s="5" customFormat="1" x14ac:dyDescent="0.4"/>
    <row r="13103" s="5" customFormat="1" x14ac:dyDescent="0.4"/>
    <row r="13104" s="5" customFormat="1" x14ac:dyDescent="0.4"/>
    <row r="13105" s="5" customFormat="1" x14ac:dyDescent="0.4"/>
    <row r="13106" s="5" customFormat="1" x14ac:dyDescent="0.4"/>
    <row r="13107" s="5" customFormat="1" x14ac:dyDescent="0.4"/>
    <row r="13108" s="5" customFormat="1" x14ac:dyDescent="0.4"/>
    <row r="13109" s="5" customFormat="1" x14ac:dyDescent="0.4"/>
    <row r="13110" s="5" customFormat="1" x14ac:dyDescent="0.4"/>
    <row r="13111" s="5" customFormat="1" x14ac:dyDescent="0.4"/>
    <row r="13112" s="5" customFormat="1" x14ac:dyDescent="0.4"/>
    <row r="13113" s="5" customFormat="1" x14ac:dyDescent="0.4"/>
    <row r="13114" s="5" customFormat="1" x14ac:dyDescent="0.4"/>
    <row r="13115" s="5" customFormat="1" x14ac:dyDescent="0.4"/>
    <row r="13116" s="5" customFormat="1" x14ac:dyDescent="0.4"/>
    <row r="13117" s="5" customFormat="1" x14ac:dyDescent="0.4"/>
    <row r="13118" s="5" customFormat="1" x14ac:dyDescent="0.4"/>
    <row r="13119" s="5" customFormat="1" x14ac:dyDescent="0.4"/>
    <row r="13120" s="5" customFormat="1" x14ac:dyDescent="0.4"/>
    <row r="13121" s="5" customFormat="1" x14ac:dyDescent="0.4"/>
    <row r="13122" s="5" customFormat="1" x14ac:dyDescent="0.4"/>
    <row r="13123" s="5" customFormat="1" x14ac:dyDescent="0.4"/>
    <row r="13124" s="5" customFormat="1" x14ac:dyDescent="0.4"/>
    <row r="13125" s="5" customFormat="1" x14ac:dyDescent="0.4"/>
    <row r="13126" s="5" customFormat="1" x14ac:dyDescent="0.4"/>
    <row r="13127" s="5" customFormat="1" x14ac:dyDescent="0.4"/>
    <row r="13128" s="5" customFormat="1" x14ac:dyDescent="0.4"/>
    <row r="13129" s="5" customFormat="1" x14ac:dyDescent="0.4"/>
    <row r="13130" s="5" customFormat="1" x14ac:dyDescent="0.4"/>
    <row r="13131" s="5" customFormat="1" x14ac:dyDescent="0.4"/>
    <row r="13132" s="5" customFormat="1" x14ac:dyDescent="0.4"/>
    <row r="13133" s="5" customFormat="1" x14ac:dyDescent="0.4"/>
    <row r="13134" s="5" customFormat="1" x14ac:dyDescent="0.4"/>
    <row r="13135" s="5" customFormat="1" x14ac:dyDescent="0.4"/>
    <row r="13136" s="5" customFormat="1" x14ac:dyDescent="0.4"/>
    <row r="13137" s="5" customFormat="1" x14ac:dyDescent="0.4"/>
    <row r="13138" s="5" customFormat="1" x14ac:dyDescent="0.4"/>
    <row r="13139" s="5" customFormat="1" x14ac:dyDescent="0.4"/>
    <row r="13140" s="5" customFormat="1" x14ac:dyDescent="0.4"/>
    <row r="13141" s="5" customFormat="1" x14ac:dyDescent="0.4"/>
    <row r="13142" s="5" customFormat="1" x14ac:dyDescent="0.4"/>
    <row r="13143" s="5" customFormat="1" x14ac:dyDescent="0.4"/>
    <row r="13144" s="5" customFormat="1" x14ac:dyDescent="0.4"/>
    <row r="13145" s="5" customFormat="1" x14ac:dyDescent="0.4"/>
    <row r="13146" s="5" customFormat="1" x14ac:dyDescent="0.4"/>
    <row r="13147" s="5" customFormat="1" x14ac:dyDescent="0.4"/>
    <row r="13148" s="5" customFormat="1" x14ac:dyDescent="0.4"/>
    <row r="13149" s="5" customFormat="1" x14ac:dyDescent="0.4"/>
    <row r="13150" s="5" customFormat="1" x14ac:dyDescent="0.4"/>
    <row r="13151" s="5" customFormat="1" x14ac:dyDescent="0.4"/>
    <row r="13152" s="5" customFormat="1" x14ac:dyDescent="0.4"/>
    <row r="13153" s="5" customFormat="1" x14ac:dyDescent="0.4"/>
    <row r="13154" s="5" customFormat="1" x14ac:dyDescent="0.4"/>
    <row r="13155" s="5" customFormat="1" x14ac:dyDescent="0.4"/>
    <row r="13156" s="5" customFormat="1" x14ac:dyDescent="0.4"/>
    <row r="13157" s="5" customFormat="1" x14ac:dyDescent="0.4"/>
    <row r="13158" s="5" customFormat="1" x14ac:dyDescent="0.4"/>
    <row r="13159" s="5" customFormat="1" x14ac:dyDescent="0.4"/>
    <row r="13160" s="5" customFormat="1" x14ac:dyDescent="0.4"/>
    <row r="13161" s="5" customFormat="1" x14ac:dyDescent="0.4"/>
    <row r="13162" s="5" customFormat="1" x14ac:dyDescent="0.4"/>
    <row r="13163" s="5" customFormat="1" x14ac:dyDescent="0.4"/>
    <row r="13164" s="5" customFormat="1" x14ac:dyDescent="0.4"/>
    <row r="13165" s="5" customFormat="1" x14ac:dyDescent="0.4"/>
    <row r="13166" s="5" customFormat="1" x14ac:dyDescent="0.4"/>
    <row r="13167" s="5" customFormat="1" x14ac:dyDescent="0.4"/>
    <row r="13168" s="5" customFormat="1" x14ac:dyDescent="0.4"/>
    <row r="13169" s="5" customFormat="1" x14ac:dyDescent="0.4"/>
    <row r="13170" s="5" customFormat="1" x14ac:dyDescent="0.4"/>
    <row r="13171" s="5" customFormat="1" x14ac:dyDescent="0.4"/>
    <row r="13172" s="5" customFormat="1" x14ac:dyDescent="0.4"/>
    <row r="13173" s="5" customFormat="1" x14ac:dyDescent="0.4"/>
    <row r="13174" s="5" customFormat="1" x14ac:dyDescent="0.4"/>
    <row r="13175" s="5" customFormat="1" x14ac:dyDescent="0.4"/>
    <row r="13176" s="5" customFormat="1" x14ac:dyDescent="0.4"/>
    <row r="13177" s="5" customFormat="1" x14ac:dyDescent="0.4"/>
    <row r="13178" s="5" customFormat="1" x14ac:dyDescent="0.4"/>
    <row r="13179" s="5" customFormat="1" x14ac:dyDescent="0.4"/>
    <row r="13180" s="5" customFormat="1" x14ac:dyDescent="0.4"/>
    <row r="13181" s="5" customFormat="1" x14ac:dyDescent="0.4"/>
    <row r="13182" s="5" customFormat="1" x14ac:dyDescent="0.4"/>
    <row r="13183" s="5" customFormat="1" x14ac:dyDescent="0.4"/>
    <row r="13184" s="5" customFormat="1" x14ac:dyDescent="0.4"/>
    <row r="13185" s="5" customFormat="1" x14ac:dyDescent="0.4"/>
    <row r="13186" s="5" customFormat="1" x14ac:dyDescent="0.4"/>
    <row r="13187" s="5" customFormat="1" x14ac:dyDescent="0.4"/>
    <row r="13188" s="5" customFormat="1" x14ac:dyDescent="0.4"/>
    <row r="13189" s="5" customFormat="1" x14ac:dyDescent="0.4"/>
    <row r="13190" s="5" customFormat="1" x14ac:dyDescent="0.4"/>
    <row r="13191" s="5" customFormat="1" x14ac:dyDescent="0.4"/>
    <row r="13192" s="5" customFormat="1" x14ac:dyDescent="0.4"/>
    <row r="13193" s="5" customFormat="1" x14ac:dyDescent="0.4"/>
    <row r="13194" s="5" customFormat="1" x14ac:dyDescent="0.4"/>
    <row r="13195" s="5" customFormat="1" x14ac:dyDescent="0.4"/>
    <row r="13196" s="5" customFormat="1" x14ac:dyDescent="0.4"/>
    <row r="13197" s="5" customFormat="1" x14ac:dyDescent="0.4"/>
    <row r="13198" s="5" customFormat="1" x14ac:dyDescent="0.4"/>
    <row r="13199" s="5" customFormat="1" x14ac:dyDescent="0.4"/>
    <row r="13200" s="5" customFormat="1" x14ac:dyDescent="0.4"/>
    <row r="13201" s="5" customFormat="1" x14ac:dyDescent="0.4"/>
    <row r="13202" s="5" customFormat="1" x14ac:dyDescent="0.4"/>
    <row r="13203" s="5" customFormat="1" x14ac:dyDescent="0.4"/>
    <row r="13204" s="5" customFormat="1" x14ac:dyDescent="0.4"/>
    <row r="13205" s="5" customFormat="1" x14ac:dyDescent="0.4"/>
    <row r="13206" s="5" customFormat="1" x14ac:dyDescent="0.4"/>
    <row r="13207" s="5" customFormat="1" x14ac:dyDescent="0.4"/>
    <row r="13208" s="5" customFormat="1" x14ac:dyDescent="0.4"/>
    <row r="13209" s="5" customFormat="1" x14ac:dyDescent="0.4"/>
    <row r="13210" s="5" customFormat="1" x14ac:dyDescent="0.4"/>
    <row r="13211" s="5" customFormat="1" x14ac:dyDescent="0.4"/>
    <row r="13212" s="5" customFormat="1" x14ac:dyDescent="0.4"/>
    <row r="13213" s="5" customFormat="1" x14ac:dyDescent="0.4"/>
    <row r="13214" s="5" customFormat="1" x14ac:dyDescent="0.4"/>
    <row r="13215" s="5" customFormat="1" x14ac:dyDescent="0.4"/>
    <row r="13216" s="5" customFormat="1" x14ac:dyDescent="0.4"/>
    <row r="13217" s="5" customFormat="1" x14ac:dyDescent="0.4"/>
    <row r="13218" s="5" customFormat="1" x14ac:dyDescent="0.4"/>
    <row r="13219" s="5" customFormat="1" x14ac:dyDescent="0.4"/>
    <row r="13220" s="5" customFormat="1" x14ac:dyDescent="0.4"/>
    <row r="13221" s="5" customFormat="1" x14ac:dyDescent="0.4"/>
    <row r="13222" s="5" customFormat="1" x14ac:dyDescent="0.4"/>
    <row r="13223" s="5" customFormat="1" x14ac:dyDescent="0.4"/>
    <row r="13224" s="5" customFormat="1" x14ac:dyDescent="0.4"/>
    <row r="13225" s="5" customFormat="1" x14ac:dyDescent="0.4"/>
    <row r="13226" s="5" customFormat="1" x14ac:dyDescent="0.4"/>
    <row r="13227" s="5" customFormat="1" x14ac:dyDescent="0.4"/>
    <row r="13228" s="5" customFormat="1" x14ac:dyDescent="0.4"/>
    <row r="13229" s="5" customFormat="1" x14ac:dyDescent="0.4"/>
    <row r="13230" s="5" customFormat="1" x14ac:dyDescent="0.4"/>
    <row r="13231" s="5" customFormat="1" x14ac:dyDescent="0.4"/>
    <row r="13232" s="5" customFormat="1" x14ac:dyDescent="0.4"/>
    <row r="13233" s="5" customFormat="1" x14ac:dyDescent="0.4"/>
    <row r="13234" s="5" customFormat="1" x14ac:dyDescent="0.4"/>
    <row r="13235" s="5" customFormat="1" x14ac:dyDescent="0.4"/>
    <row r="13236" s="5" customFormat="1" x14ac:dyDescent="0.4"/>
    <row r="13237" s="5" customFormat="1" x14ac:dyDescent="0.4"/>
    <row r="13238" s="5" customFormat="1" x14ac:dyDescent="0.4"/>
    <row r="13239" s="5" customFormat="1" x14ac:dyDescent="0.4"/>
    <row r="13240" s="5" customFormat="1" x14ac:dyDescent="0.4"/>
    <row r="13241" s="5" customFormat="1" x14ac:dyDescent="0.4"/>
    <row r="13242" s="5" customFormat="1" x14ac:dyDescent="0.4"/>
    <row r="13243" s="5" customFormat="1" x14ac:dyDescent="0.4"/>
    <row r="13244" s="5" customFormat="1" x14ac:dyDescent="0.4"/>
    <row r="13245" s="5" customFormat="1" x14ac:dyDescent="0.4"/>
    <row r="13246" s="5" customFormat="1" x14ac:dyDescent="0.4"/>
    <row r="13247" s="5" customFormat="1" x14ac:dyDescent="0.4"/>
    <row r="13248" s="5" customFormat="1" x14ac:dyDescent="0.4"/>
    <row r="13249" s="5" customFormat="1" x14ac:dyDescent="0.4"/>
    <row r="13250" s="5" customFormat="1" x14ac:dyDescent="0.4"/>
    <row r="13251" s="5" customFormat="1" x14ac:dyDescent="0.4"/>
    <row r="13252" s="5" customFormat="1" x14ac:dyDescent="0.4"/>
    <row r="13253" s="5" customFormat="1" x14ac:dyDescent="0.4"/>
    <row r="13254" s="5" customFormat="1" x14ac:dyDescent="0.4"/>
    <row r="13255" s="5" customFormat="1" x14ac:dyDescent="0.4"/>
    <row r="13256" s="5" customFormat="1" x14ac:dyDescent="0.4"/>
    <row r="13257" s="5" customFormat="1" x14ac:dyDescent="0.4"/>
    <row r="13258" s="5" customFormat="1" x14ac:dyDescent="0.4"/>
    <row r="13259" s="5" customFormat="1" x14ac:dyDescent="0.4"/>
    <row r="13260" s="5" customFormat="1" x14ac:dyDescent="0.4"/>
    <row r="13261" s="5" customFormat="1" x14ac:dyDescent="0.4"/>
    <row r="13262" s="5" customFormat="1" x14ac:dyDescent="0.4"/>
    <row r="13263" s="5" customFormat="1" x14ac:dyDescent="0.4"/>
    <row r="13264" s="5" customFormat="1" x14ac:dyDescent="0.4"/>
    <row r="13265" s="5" customFormat="1" x14ac:dyDescent="0.4"/>
    <row r="13266" s="5" customFormat="1" x14ac:dyDescent="0.4"/>
    <row r="13267" s="5" customFormat="1" x14ac:dyDescent="0.4"/>
    <row r="13268" s="5" customFormat="1" x14ac:dyDescent="0.4"/>
    <row r="13269" s="5" customFormat="1" x14ac:dyDescent="0.4"/>
    <row r="13270" s="5" customFormat="1" x14ac:dyDescent="0.4"/>
    <row r="13271" s="5" customFormat="1" x14ac:dyDescent="0.4"/>
    <row r="13272" s="5" customFormat="1" x14ac:dyDescent="0.4"/>
    <row r="13273" s="5" customFormat="1" x14ac:dyDescent="0.4"/>
    <row r="13274" s="5" customFormat="1" x14ac:dyDescent="0.4"/>
    <row r="13275" s="5" customFormat="1" x14ac:dyDescent="0.4"/>
    <row r="13276" s="5" customFormat="1" x14ac:dyDescent="0.4"/>
    <row r="13277" s="5" customFormat="1" x14ac:dyDescent="0.4"/>
    <row r="13278" s="5" customFormat="1" x14ac:dyDescent="0.4"/>
    <row r="13279" s="5" customFormat="1" x14ac:dyDescent="0.4"/>
    <row r="13280" s="5" customFormat="1" x14ac:dyDescent="0.4"/>
    <row r="13281" s="5" customFormat="1" x14ac:dyDescent="0.4"/>
    <row r="13282" s="5" customFormat="1" x14ac:dyDescent="0.4"/>
    <row r="13283" s="5" customFormat="1" x14ac:dyDescent="0.4"/>
    <row r="13284" s="5" customFormat="1" x14ac:dyDescent="0.4"/>
    <row r="13285" s="5" customFormat="1" x14ac:dyDescent="0.4"/>
    <row r="13286" s="5" customFormat="1" x14ac:dyDescent="0.4"/>
    <row r="13287" s="5" customFormat="1" x14ac:dyDescent="0.4"/>
    <row r="13288" s="5" customFormat="1" x14ac:dyDescent="0.4"/>
    <row r="13289" s="5" customFormat="1" x14ac:dyDescent="0.4"/>
    <row r="13290" s="5" customFormat="1" x14ac:dyDescent="0.4"/>
    <row r="13291" s="5" customFormat="1" x14ac:dyDescent="0.4"/>
    <row r="13292" s="5" customFormat="1" x14ac:dyDescent="0.4"/>
    <row r="13293" s="5" customFormat="1" x14ac:dyDescent="0.4"/>
    <row r="13294" s="5" customFormat="1" x14ac:dyDescent="0.4"/>
    <row r="13295" s="5" customFormat="1" x14ac:dyDescent="0.4"/>
    <row r="13296" s="5" customFormat="1" x14ac:dyDescent="0.4"/>
    <row r="13297" s="5" customFormat="1" x14ac:dyDescent="0.4"/>
    <row r="13298" s="5" customFormat="1" x14ac:dyDescent="0.4"/>
    <row r="13299" s="5" customFormat="1" x14ac:dyDescent="0.4"/>
    <row r="13300" s="5" customFormat="1" x14ac:dyDescent="0.4"/>
    <row r="13301" s="5" customFormat="1" x14ac:dyDescent="0.4"/>
    <row r="13302" s="5" customFormat="1" x14ac:dyDescent="0.4"/>
    <row r="13303" s="5" customFormat="1" x14ac:dyDescent="0.4"/>
    <row r="13304" s="5" customFormat="1" x14ac:dyDescent="0.4"/>
    <row r="13305" s="5" customFormat="1" x14ac:dyDescent="0.4"/>
    <row r="13306" s="5" customFormat="1" x14ac:dyDescent="0.4"/>
    <row r="13307" s="5" customFormat="1" x14ac:dyDescent="0.4"/>
    <row r="13308" s="5" customFormat="1" x14ac:dyDescent="0.4"/>
    <row r="13309" s="5" customFormat="1" x14ac:dyDescent="0.4"/>
    <row r="13310" s="5" customFormat="1" x14ac:dyDescent="0.4"/>
    <row r="13311" s="5" customFormat="1" x14ac:dyDescent="0.4"/>
    <row r="13312" s="5" customFormat="1" x14ac:dyDescent="0.4"/>
    <row r="13313" s="5" customFormat="1" x14ac:dyDescent="0.4"/>
    <row r="13314" s="5" customFormat="1" x14ac:dyDescent="0.4"/>
    <row r="13315" s="5" customFormat="1" x14ac:dyDescent="0.4"/>
    <row r="13316" s="5" customFormat="1" x14ac:dyDescent="0.4"/>
    <row r="13317" s="5" customFormat="1" x14ac:dyDescent="0.4"/>
    <row r="13318" s="5" customFormat="1" x14ac:dyDescent="0.4"/>
    <row r="13319" s="5" customFormat="1" x14ac:dyDescent="0.4"/>
    <row r="13320" s="5" customFormat="1" x14ac:dyDescent="0.4"/>
    <row r="13321" s="5" customFormat="1" x14ac:dyDescent="0.4"/>
    <row r="13322" s="5" customFormat="1" x14ac:dyDescent="0.4"/>
    <row r="13323" s="5" customFormat="1" x14ac:dyDescent="0.4"/>
    <row r="13324" s="5" customFormat="1" x14ac:dyDescent="0.4"/>
    <row r="13325" s="5" customFormat="1" x14ac:dyDescent="0.4"/>
    <row r="13326" s="5" customFormat="1" x14ac:dyDescent="0.4"/>
    <row r="13327" s="5" customFormat="1" x14ac:dyDescent="0.4"/>
    <row r="13328" s="5" customFormat="1" x14ac:dyDescent="0.4"/>
    <row r="13329" s="5" customFormat="1" x14ac:dyDescent="0.4"/>
    <row r="13330" s="5" customFormat="1" x14ac:dyDescent="0.4"/>
    <row r="13331" s="5" customFormat="1" x14ac:dyDescent="0.4"/>
    <row r="13332" s="5" customFormat="1" x14ac:dyDescent="0.4"/>
    <row r="13333" s="5" customFormat="1" x14ac:dyDescent="0.4"/>
    <row r="13334" s="5" customFormat="1" x14ac:dyDescent="0.4"/>
    <row r="13335" s="5" customFormat="1" x14ac:dyDescent="0.4"/>
    <row r="13336" s="5" customFormat="1" x14ac:dyDescent="0.4"/>
    <row r="13337" s="5" customFormat="1" x14ac:dyDescent="0.4"/>
    <row r="13338" s="5" customFormat="1" x14ac:dyDescent="0.4"/>
    <row r="13339" s="5" customFormat="1" x14ac:dyDescent="0.4"/>
    <row r="13340" s="5" customFormat="1" x14ac:dyDescent="0.4"/>
    <row r="13341" s="5" customFormat="1" x14ac:dyDescent="0.4"/>
    <row r="13342" s="5" customFormat="1" x14ac:dyDescent="0.4"/>
    <row r="13343" s="5" customFormat="1" x14ac:dyDescent="0.4"/>
    <row r="13344" s="5" customFormat="1" x14ac:dyDescent="0.4"/>
    <row r="13345" s="5" customFormat="1" x14ac:dyDescent="0.4"/>
    <row r="13346" s="5" customFormat="1" x14ac:dyDescent="0.4"/>
    <row r="13347" s="5" customFormat="1" x14ac:dyDescent="0.4"/>
    <row r="13348" s="5" customFormat="1" x14ac:dyDescent="0.4"/>
    <row r="13349" s="5" customFormat="1" x14ac:dyDescent="0.4"/>
    <row r="13350" s="5" customFormat="1" x14ac:dyDescent="0.4"/>
    <row r="13351" s="5" customFormat="1" x14ac:dyDescent="0.4"/>
    <row r="13352" s="5" customFormat="1" x14ac:dyDescent="0.4"/>
    <row r="13353" s="5" customFormat="1" x14ac:dyDescent="0.4"/>
    <row r="13354" s="5" customFormat="1" x14ac:dyDescent="0.4"/>
    <row r="13355" s="5" customFormat="1" x14ac:dyDescent="0.4"/>
    <row r="13356" s="5" customFormat="1" x14ac:dyDescent="0.4"/>
    <row r="13357" s="5" customFormat="1" x14ac:dyDescent="0.4"/>
    <row r="13358" s="5" customFormat="1" x14ac:dyDescent="0.4"/>
    <row r="13359" s="5" customFormat="1" x14ac:dyDescent="0.4"/>
    <row r="13360" s="5" customFormat="1" x14ac:dyDescent="0.4"/>
    <row r="13361" s="5" customFormat="1" x14ac:dyDescent="0.4"/>
    <row r="13362" s="5" customFormat="1" x14ac:dyDescent="0.4"/>
    <row r="13363" s="5" customFormat="1" x14ac:dyDescent="0.4"/>
    <row r="13364" s="5" customFormat="1" x14ac:dyDescent="0.4"/>
    <row r="13365" s="5" customFormat="1" x14ac:dyDescent="0.4"/>
    <row r="13366" s="5" customFormat="1" x14ac:dyDescent="0.4"/>
    <row r="13367" s="5" customFormat="1" x14ac:dyDescent="0.4"/>
    <row r="13368" s="5" customFormat="1" x14ac:dyDescent="0.4"/>
    <row r="13369" s="5" customFormat="1" x14ac:dyDescent="0.4"/>
    <row r="13370" s="5" customFormat="1" x14ac:dyDescent="0.4"/>
    <row r="13371" s="5" customFormat="1" x14ac:dyDescent="0.4"/>
    <row r="13372" s="5" customFormat="1" x14ac:dyDescent="0.4"/>
    <row r="13373" s="5" customFormat="1" x14ac:dyDescent="0.4"/>
    <row r="13374" s="5" customFormat="1" x14ac:dyDescent="0.4"/>
    <row r="13375" s="5" customFormat="1" x14ac:dyDescent="0.4"/>
    <row r="13376" s="5" customFormat="1" x14ac:dyDescent="0.4"/>
    <row r="13377" s="5" customFormat="1" x14ac:dyDescent="0.4"/>
    <row r="13378" s="5" customFormat="1" x14ac:dyDescent="0.4"/>
    <row r="13379" s="5" customFormat="1" x14ac:dyDescent="0.4"/>
    <row r="13380" s="5" customFormat="1" x14ac:dyDescent="0.4"/>
    <row r="13381" s="5" customFormat="1" x14ac:dyDescent="0.4"/>
    <row r="13382" s="5" customFormat="1" x14ac:dyDescent="0.4"/>
    <row r="13383" s="5" customFormat="1" x14ac:dyDescent="0.4"/>
    <row r="13384" s="5" customFormat="1" x14ac:dyDescent="0.4"/>
    <row r="13385" s="5" customFormat="1" x14ac:dyDescent="0.4"/>
    <row r="13386" s="5" customFormat="1" x14ac:dyDescent="0.4"/>
    <row r="13387" s="5" customFormat="1" x14ac:dyDescent="0.4"/>
    <row r="13388" s="5" customFormat="1" x14ac:dyDescent="0.4"/>
    <row r="13389" s="5" customFormat="1" x14ac:dyDescent="0.4"/>
    <row r="13390" s="5" customFormat="1" x14ac:dyDescent="0.4"/>
    <row r="13391" s="5" customFormat="1" x14ac:dyDescent="0.4"/>
    <row r="13392" s="5" customFormat="1" x14ac:dyDescent="0.4"/>
    <row r="13393" s="5" customFormat="1" x14ac:dyDescent="0.4"/>
    <row r="13394" s="5" customFormat="1" x14ac:dyDescent="0.4"/>
    <row r="13395" s="5" customFormat="1" x14ac:dyDescent="0.4"/>
    <row r="13396" s="5" customFormat="1" x14ac:dyDescent="0.4"/>
    <row r="13397" s="5" customFormat="1" x14ac:dyDescent="0.4"/>
    <row r="13398" s="5" customFormat="1" x14ac:dyDescent="0.4"/>
    <row r="13399" s="5" customFormat="1" x14ac:dyDescent="0.4"/>
    <row r="13400" s="5" customFormat="1" x14ac:dyDescent="0.4"/>
    <row r="13401" s="5" customFormat="1" x14ac:dyDescent="0.4"/>
    <row r="13402" s="5" customFormat="1" x14ac:dyDescent="0.4"/>
    <row r="13403" s="5" customFormat="1" x14ac:dyDescent="0.4"/>
    <row r="13404" s="5" customFormat="1" x14ac:dyDescent="0.4"/>
    <row r="13405" s="5" customFormat="1" x14ac:dyDescent="0.4"/>
    <row r="13406" s="5" customFormat="1" x14ac:dyDescent="0.4"/>
    <row r="13407" s="5" customFormat="1" x14ac:dyDescent="0.4"/>
    <row r="13408" s="5" customFormat="1" x14ac:dyDescent="0.4"/>
    <row r="13409" s="5" customFormat="1" x14ac:dyDescent="0.4"/>
    <row r="13410" s="5" customFormat="1" x14ac:dyDescent="0.4"/>
    <row r="13411" s="5" customFormat="1" x14ac:dyDescent="0.4"/>
    <row r="13412" s="5" customFormat="1" x14ac:dyDescent="0.4"/>
    <row r="13413" s="5" customFormat="1" x14ac:dyDescent="0.4"/>
    <row r="13414" s="5" customFormat="1" x14ac:dyDescent="0.4"/>
    <row r="13415" s="5" customFormat="1" x14ac:dyDescent="0.4"/>
    <row r="13416" s="5" customFormat="1" x14ac:dyDescent="0.4"/>
    <row r="13417" s="5" customFormat="1" x14ac:dyDescent="0.4"/>
    <row r="13418" s="5" customFormat="1" x14ac:dyDescent="0.4"/>
    <row r="13419" s="5" customFormat="1" x14ac:dyDescent="0.4"/>
    <row r="13420" s="5" customFormat="1" x14ac:dyDescent="0.4"/>
    <row r="13421" s="5" customFormat="1" x14ac:dyDescent="0.4"/>
    <row r="13422" s="5" customFormat="1" x14ac:dyDescent="0.4"/>
    <row r="13423" s="5" customFormat="1" x14ac:dyDescent="0.4"/>
    <row r="13424" s="5" customFormat="1" x14ac:dyDescent="0.4"/>
    <row r="13425" s="5" customFormat="1" x14ac:dyDescent="0.4"/>
    <row r="13426" s="5" customFormat="1" x14ac:dyDescent="0.4"/>
    <row r="13427" s="5" customFormat="1" x14ac:dyDescent="0.4"/>
    <row r="13428" s="5" customFormat="1" x14ac:dyDescent="0.4"/>
    <row r="13429" s="5" customFormat="1" x14ac:dyDescent="0.4"/>
    <row r="13430" s="5" customFormat="1" x14ac:dyDescent="0.4"/>
    <row r="13431" s="5" customFormat="1" x14ac:dyDescent="0.4"/>
    <row r="13432" s="5" customFormat="1" x14ac:dyDescent="0.4"/>
    <row r="13433" s="5" customFormat="1" x14ac:dyDescent="0.4"/>
    <row r="13434" s="5" customFormat="1" x14ac:dyDescent="0.4"/>
    <row r="13435" s="5" customFormat="1" x14ac:dyDescent="0.4"/>
    <row r="13436" s="5" customFormat="1" x14ac:dyDescent="0.4"/>
    <row r="13437" s="5" customFormat="1" x14ac:dyDescent="0.4"/>
    <row r="13438" s="5" customFormat="1" x14ac:dyDescent="0.4"/>
    <row r="13439" s="5" customFormat="1" x14ac:dyDescent="0.4"/>
    <row r="13440" s="5" customFormat="1" x14ac:dyDescent="0.4"/>
    <row r="13441" s="5" customFormat="1" x14ac:dyDescent="0.4"/>
    <row r="13442" s="5" customFormat="1" x14ac:dyDescent="0.4"/>
    <row r="13443" s="5" customFormat="1" x14ac:dyDescent="0.4"/>
    <row r="13444" s="5" customFormat="1" x14ac:dyDescent="0.4"/>
    <row r="13445" s="5" customFormat="1" x14ac:dyDescent="0.4"/>
    <row r="13446" s="5" customFormat="1" x14ac:dyDescent="0.4"/>
    <row r="13447" s="5" customFormat="1" x14ac:dyDescent="0.4"/>
    <row r="13448" s="5" customFormat="1" x14ac:dyDescent="0.4"/>
    <row r="13449" s="5" customFormat="1" x14ac:dyDescent="0.4"/>
    <row r="13450" s="5" customFormat="1" x14ac:dyDescent="0.4"/>
    <row r="13451" s="5" customFormat="1" x14ac:dyDescent="0.4"/>
    <row r="13452" s="5" customFormat="1" x14ac:dyDescent="0.4"/>
    <row r="13453" s="5" customFormat="1" x14ac:dyDescent="0.4"/>
    <row r="13454" s="5" customFormat="1" x14ac:dyDescent="0.4"/>
    <row r="13455" s="5" customFormat="1" x14ac:dyDescent="0.4"/>
    <row r="13456" s="5" customFormat="1" x14ac:dyDescent="0.4"/>
    <row r="13457" s="5" customFormat="1" x14ac:dyDescent="0.4"/>
    <row r="13458" s="5" customFormat="1" x14ac:dyDescent="0.4"/>
    <row r="13459" s="5" customFormat="1" x14ac:dyDescent="0.4"/>
    <row r="13460" s="5" customFormat="1" x14ac:dyDescent="0.4"/>
    <row r="13461" s="5" customFormat="1" x14ac:dyDescent="0.4"/>
    <row r="13462" s="5" customFormat="1" x14ac:dyDescent="0.4"/>
    <row r="13463" s="5" customFormat="1" x14ac:dyDescent="0.4"/>
    <row r="13464" s="5" customFormat="1" x14ac:dyDescent="0.4"/>
    <row r="13465" s="5" customFormat="1" x14ac:dyDescent="0.4"/>
    <row r="13466" s="5" customFormat="1" x14ac:dyDescent="0.4"/>
    <row r="13467" s="5" customFormat="1" x14ac:dyDescent="0.4"/>
    <row r="13468" s="5" customFormat="1" x14ac:dyDescent="0.4"/>
    <row r="13469" s="5" customFormat="1" x14ac:dyDescent="0.4"/>
    <row r="13470" s="5" customFormat="1" x14ac:dyDescent="0.4"/>
    <row r="13471" s="5" customFormat="1" x14ac:dyDescent="0.4"/>
    <row r="13472" s="5" customFormat="1" x14ac:dyDescent="0.4"/>
    <row r="13473" s="5" customFormat="1" x14ac:dyDescent="0.4"/>
    <row r="13474" s="5" customFormat="1" x14ac:dyDescent="0.4"/>
    <row r="13475" s="5" customFormat="1" x14ac:dyDescent="0.4"/>
    <row r="13476" s="5" customFormat="1" x14ac:dyDescent="0.4"/>
    <row r="13477" s="5" customFormat="1" x14ac:dyDescent="0.4"/>
    <row r="13478" s="5" customFormat="1" x14ac:dyDescent="0.4"/>
    <row r="13479" s="5" customFormat="1" x14ac:dyDescent="0.4"/>
    <row r="13480" s="5" customFormat="1" x14ac:dyDescent="0.4"/>
    <row r="13481" s="5" customFormat="1" x14ac:dyDescent="0.4"/>
    <row r="13482" s="5" customFormat="1" x14ac:dyDescent="0.4"/>
    <row r="13483" s="5" customFormat="1" x14ac:dyDescent="0.4"/>
    <row r="13484" s="5" customFormat="1" x14ac:dyDescent="0.4"/>
    <row r="13485" s="5" customFormat="1" x14ac:dyDescent="0.4"/>
    <row r="13486" s="5" customFormat="1" x14ac:dyDescent="0.4"/>
    <row r="13487" s="5" customFormat="1" x14ac:dyDescent="0.4"/>
    <row r="13488" s="5" customFormat="1" x14ac:dyDescent="0.4"/>
    <row r="13489" s="5" customFormat="1" x14ac:dyDescent="0.4"/>
    <row r="13490" s="5" customFormat="1" x14ac:dyDescent="0.4"/>
    <row r="13491" s="5" customFormat="1" x14ac:dyDescent="0.4"/>
    <row r="13492" s="5" customFormat="1" x14ac:dyDescent="0.4"/>
    <row r="13493" s="5" customFormat="1" x14ac:dyDescent="0.4"/>
    <row r="13494" s="5" customFormat="1" x14ac:dyDescent="0.4"/>
    <row r="13495" s="5" customFormat="1" x14ac:dyDescent="0.4"/>
    <row r="13496" s="5" customFormat="1" x14ac:dyDescent="0.4"/>
    <row r="13497" s="5" customFormat="1" x14ac:dyDescent="0.4"/>
    <row r="13498" s="5" customFormat="1" x14ac:dyDescent="0.4"/>
    <row r="13499" s="5" customFormat="1" x14ac:dyDescent="0.4"/>
    <row r="13500" s="5" customFormat="1" x14ac:dyDescent="0.4"/>
    <row r="13501" s="5" customFormat="1" x14ac:dyDescent="0.4"/>
    <row r="13502" s="5" customFormat="1" x14ac:dyDescent="0.4"/>
    <row r="13503" s="5" customFormat="1" x14ac:dyDescent="0.4"/>
    <row r="13504" s="5" customFormat="1" x14ac:dyDescent="0.4"/>
    <row r="13505" s="5" customFormat="1" x14ac:dyDescent="0.4"/>
    <row r="13506" s="5" customFormat="1" x14ac:dyDescent="0.4"/>
    <row r="13507" s="5" customFormat="1" x14ac:dyDescent="0.4"/>
    <row r="13508" s="5" customFormat="1" x14ac:dyDescent="0.4"/>
    <row r="13509" s="5" customFormat="1" x14ac:dyDescent="0.4"/>
    <row r="13510" s="5" customFormat="1" x14ac:dyDescent="0.4"/>
    <row r="13511" s="5" customFormat="1" x14ac:dyDescent="0.4"/>
    <row r="13512" s="5" customFormat="1" x14ac:dyDescent="0.4"/>
    <row r="13513" s="5" customFormat="1" x14ac:dyDescent="0.4"/>
    <row r="13514" s="5" customFormat="1" x14ac:dyDescent="0.4"/>
    <row r="13515" s="5" customFormat="1" x14ac:dyDescent="0.4"/>
    <row r="13516" s="5" customFormat="1" x14ac:dyDescent="0.4"/>
    <row r="13517" s="5" customFormat="1" x14ac:dyDescent="0.4"/>
    <row r="13518" s="5" customFormat="1" x14ac:dyDescent="0.4"/>
    <row r="13519" s="5" customFormat="1" x14ac:dyDescent="0.4"/>
    <row r="13520" s="5" customFormat="1" x14ac:dyDescent="0.4"/>
    <row r="13521" s="5" customFormat="1" x14ac:dyDescent="0.4"/>
    <row r="13522" s="5" customFormat="1" x14ac:dyDescent="0.4"/>
    <row r="13523" s="5" customFormat="1" x14ac:dyDescent="0.4"/>
    <row r="13524" s="5" customFormat="1" x14ac:dyDescent="0.4"/>
    <row r="13525" s="5" customFormat="1" x14ac:dyDescent="0.4"/>
    <row r="13526" s="5" customFormat="1" x14ac:dyDescent="0.4"/>
    <row r="13527" s="5" customFormat="1" x14ac:dyDescent="0.4"/>
    <row r="13528" s="5" customFormat="1" x14ac:dyDescent="0.4"/>
    <row r="13529" s="5" customFormat="1" x14ac:dyDescent="0.4"/>
    <row r="13530" s="5" customFormat="1" x14ac:dyDescent="0.4"/>
    <row r="13531" s="5" customFormat="1" x14ac:dyDescent="0.4"/>
    <row r="13532" s="5" customFormat="1" x14ac:dyDescent="0.4"/>
    <row r="13533" s="5" customFormat="1" x14ac:dyDescent="0.4"/>
    <row r="13534" s="5" customFormat="1" x14ac:dyDescent="0.4"/>
    <row r="13535" s="5" customFormat="1" x14ac:dyDescent="0.4"/>
    <row r="13536" s="5" customFormat="1" x14ac:dyDescent="0.4"/>
    <row r="13537" s="5" customFormat="1" x14ac:dyDescent="0.4"/>
    <row r="13538" s="5" customFormat="1" x14ac:dyDescent="0.4"/>
    <row r="13539" s="5" customFormat="1" x14ac:dyDescent="0.4"/>
    <row r="13540" s="5" customFormat="1" x14ac:dyDescent="0.4"/>
    <row r="13541" s="5" customFormat="1" x14ac:dyDescent="0.4"/>
    <row r="13542" s="5" customFormat="1" x14ac:dyDescent="0.4"/>
    <row r="13543" s="5" customFormat="1" x14ac:dyDescent="0.4"/>
    <row r="13544" s="5" customFormat="1" x14ac:dyDescent="0.4"/>
    <row r="13545" s="5" customFormat="1" x14ac:dyDescent="0.4"/>
    <row r="13546" s="5" customFormat="1" x14ac:dyDescent="0.4"/>
    <row r="13547" s="5" customFormat="1" x14ac:dyDescent="0.4"/>
    <row r="13548" s="5" customFormat="1" x14ac:dyDescent="0.4"/>
    <row r="13549" s="5" customFormat="1" x14ac:dyDescent="0.4"/>
    <row r="13550" s="5" customFormat="1" x14ac:dyDescent="0.4"/>
    <row r="13551" s="5" customFormat="1" x14ac:dyDescent="0.4"/>
    <row r="13552" s="5" customFormat="1" x14ac:dyDescent="0.4"/>
    <row r="13553" s="5" customFormat="1" x14ac:dyDescent="0.4"/>
    <row r="13554" s="5" customFormat="1" x14ac:dyDescent="0.4"/>
    <row r="13555" s="5" customFormat="1" x14ac:dyDescent="0.4"/>
    <row r="13556" s="5" customFormat="1" x14ac:dyDescent="0.4"/>
    <row r="13557" s="5" customFormat="1" x14ac:dyDescent="0.4"/>
    <row r="13558" s="5" customFormat="1" x14ac:dyDescent="0.4"/>
    <row r="13559" s="5" customFormat="1" x14ac:dyDescent="0.4"/>
    <row r="13560" s="5" customFormat="1" x14ac:dyDescent="0.4"/>
    <row r="13561" s="5" customFormat="1" x14ac:dyDescent="0.4"/>
    <row r="13562" s="5" customFormat="1" x14ac:dyDescent="0.4"/>
    <row r="13563" s="5" customFormat="1" x14ac:dyDescent="0.4"/>
    <row r="13564" s="5" customFormat="1" x14ac:dyDescent="0.4"/>
    <row r="13565" s="5" customFormat="1" x14ac:dyDescent="0.4"/>
    <row r="13566" s="5" customFormat="1" x14ac:dyDescent="0.4"/>
    <row r="13567" s="5" customFormat="1" x14ac:dyDescent="0.4"/>
    <row r="13568" s="5" customFormat="1" x14ac:dyDescent="0.4"/>
    <row r="13569" s="5" customFormat="1" x14ac:dyDescent="0.4"/>
    <row r="13570" s="5" customFormat="1" x14ac:dyDescent="0.4"/>
    <row r="13571" s="5" customFormat="1" x14ac:dyDescent="0.4"/>
    <row r="13572" s="5" customFormat="1" x14ac:dyDescent="0.4"/>
    <row r="13573" s="5" customFormat="1" x14ac:dyDescent="0.4"/>
    <row r="13574" s="5" customFormat="1" x14ac:dyDescent="0.4"/>
    <row r="13575" s="5" customFormat="1" x14ac:dyDescent="0.4"/>
    <row r="13576" s="5" customFormat="1" x14ac:dyDescent="0.4"/>
    <row r="13577" s="5" customFormat="1" x14ac:dyDescent="0.4"/>
    <row r="13578" s="5" customFormat="1" x14ac:dyDescent="0.4"/>
    <row r="13579" s="5" customFormat="1" x14ac:dyDescent="0.4"/>
    <row r="13580" s="5" customFormat="1" x14ac:dyDescent="0.4"/>
    <row r="13581" s="5" customFormat="1" x14ac:dyDescent="0.4"/>
    <row r="13582" s="5" customFormat="1" x14ac:dyDescent="0.4"/>
    <row r="13583" s="5" customFormat="1" x14ac:dyDescent="0.4"/>
    <row r="13584" s="5" customFormat="1" x14ac:dyDescent="0.4"/>
    <row r="13585" s="5" customFormat="1" x14ac:dyDescent="0.4"/>
    <row r="13586" s="5" customFormat="1" x14ac:dyDescent="0.4"/>
    <row r="13587" s="5" customFormat="1" x14ac:dyDescent="0.4"/>
    <row r="13588" s="5" customFormat="1" x14ac:dyDescent="0.4"/>
    <row r="13589" s="5" customFormat="1" x14ac:dyDescent="0.4"/>
    <row r="13590" s="5" customFormat="1" x14ac:dyDescent="0.4"/>
    <row r="13591" s="5" customFormat="1" x14ac:dyDescent="0.4"/>
    <row r="13592" s="5" customFormat="1" x14ac:dyDescent="0.4"/>
    <row r="13593" s="5" customFormat="1" x14ac:dyDescent="0.4"/>
    <row r="13594" s="5" customFormat="1" x14ac:dyDescent="0.4"/>
    <row r="13595" s="5" customFormat="1" x14ac:dyDescent="0.4"/>
    <row r="13596" s="5" customFormat="1" x14ac:dyDescent="0.4"/>
    <row r="13597" s="5" customFormat="1" x14ac:dyDescent="0.4"/>
    <row r="13598" s="5" customFormat="1" x14ac:dyDescent="0.4"/>
    <row r="13599" s="5" customFormat="1" x14ac:dyDescent="0.4"/>
    <row r="13600" s="5" customFormat="1" x14ac:dyDescent="0.4"/>
    <row r="13601" s="5" customFormat="1" x14ac:dyDescent="0.4"/>
    <row r="13602" s="5" customFormat="1" x14ac:dyDescent="0.4"/>
    <row r="13603" s="5" customFormat="1" x14ac:dyDescent="0.4"/>
    <row r="13604" s="5" customFormat="1" x14ac:dyDescent="0.4"/>
    <row r="13605" s="5" customFormat="1" x14ac:dyDescent="0.4"/>
    <row r="13606" s="5" customFormat="1" x14ac:dyDescent="0.4"/>
    <row r="13607" s="5" customFormat="1" x14ac:dyDescent="0.4"/>
    <row r="13608" s="5" customFormat="1" x14ac:dyDescent="0.4"/>
    <row r="13609" s="5" customFormat="1" x14ac:dyDescent="0.4"/>
    <row r="13610" s="5" customFormat="1" x14ac:dyDescent="0.4"/>
    <row r="13611" s="5" customFormat="1" x14ac:dyDescent="0.4"/>
    <row r="13612" s="5" customFormat="1" x14ac:dyDescent="0.4"/>
    <row r="13613" s="5" customFormat="1" x14ac:dyDescent="0.4"/>
    <row r="13614" s="5" customFormat="1" x14ac:dyDescent="0.4"/>
    <row r="13615" s="5" customFormat="1" x14ac:dyDescent="0.4"/>
    <row r="13616" s="5" customFormat="1" x14ac:dyDescent="0.4"/>
    <row r="13617" s="5" customFormat="1" x14ac:dyDescent="0.4"/>
    <row r="13618" s="5" customFormat="1" x14ac:dyDescent="0.4"/>
    <row r="13619" s="5" customFormat="1" x14ac:dyDescent="0.4"/>
    <row r="13620" s="5" customFormat="1" x14ac:dyDescent="0.4"/>
    <row r="13621" s="5" customFormat="1" x14ac:dyDescent="0.4"/>
    <row r="13622" s="5" customFormat="1" x14ac:dyDescent="0.4"/>
    <row r="13623" s="5" customFormat="1" x14ac:dyDescent="0.4"/>
    <row r="13624" s="5" customFormat="1" x14ac:dyDescent="0.4"/>
    <row r="13625" s="5" customFormat="1" x14ac:dyDescent="0.4"/>
    <row r="13626" s="5" customFormat="1" x14ac:dyDescent="0.4"/>
    <row r="13627" s="5" customFormat="1" x14ac:dyDescent="0.4"/>
    <row r="13628" s="5" customFormat="1" x14ac:dyDescent="0.4"/>
    <row r="13629" s="5" customFormat="1" x14ac:dyDescent="0.4"/>
    <row r="13630" s="5" customFormat="1" x14ac:dyDescent="0.4"/>
    <row r="13631" s="5" customFormat="1" x14ac:dyDescent="0.4"/>
    <row r="13632" s="5" customFormat="1" x14ac:dyDescent="0.4"/>
    <row r="13633" s="5" customFormat="1" x14ac:dyDescent="0.4"/>
    <row r="13634" s="5" customFormat="1" x14ac:dyDescent="0.4"/>
    <row r="13635" s="5" customFormat="1" x14ac:dyDescent="0.4"/>
    <row r="13636" s="5" customFormat="1" x14ac:dyDescent="0.4"/>
    <row r="13637" s="5" customFormat="1" x14ac:dyDescent="0.4"/>
    <row r="13638" s="5" customFormat="1" x14ac:dyDescent="0.4"/>
    <row r="13639" s="5" customFormat="1" x14ac:dyDescent="0.4"/>
    <row r="13640" s="5" customFormat="1" x14ac:dyDescent="0.4"/>
    <row r="13641" s="5" customFormat="1" x14ac:dyDescent="0.4"/>
    <row r="13642" s="5" customFormat="1" x14ac:dyDescent="0.4"/>
    <row r="13643" s="5" customFormat="1" x14ac:dyDescent="0.4"/>
    <row r="13644" s="5" customFormat="1" x14ac:dyDescent="0.4"/>
    <row r="13645" s="5" customFormat="1" x14ac:dyDescent="0.4"/>
    <row r="13646" s="5" customFormat="1" x14ac:dyDescent="0.4"/>
    <row r="13647" s="5" customFormat="1" x14ac:dyDescent="0.4"/>
    <row r="13648" s="5" customFormat="1" x14ac:dyDescent="0.4"/>
    <row r="13649" s="5" customFormat="1" x14ac:dyDescent="0.4"/>
    <row r="13650" s="5" customFormat="1" x14ac:dyDescent="0.4"/>
    <row r="13651" s="5" customFormat="1" x14ac:dyDescent="0.4"/>
    <row r="13652" s="5" customFormat="1" x14ac:dyDescent="0.4"/>
    <row r="13653" s="5" customFormat="1" x14ac:dyDescent="0.4"/>
    <row r="13654" s="5" customFormat="1" x14ac:dyDescent="0.4"/>
    <row r="13655" s="5" customFormat="1" x14ac:dyDescent="0.4"/>
    <row r="13656" s="5" customFormat="1" x14ac:dyDescent="0.4"/>
    <row r="13657" s="5" customFormat="1" x14ac:dyDescent="0.4"/>
    <row r="13658" s="5" customFormat="1" x14ac:dyDescent="0.4"/>
    <row r="13659" s="5" customFormat="1" x14ac:dyDescent="0.4"/>
    <row r="13660" s="5" customFormat="1" x14ac:dyDescent="0.4"/>
    <row r="13661" s="5" customFormat="1" x14ac:dyDescent="0.4"/>
    <row r="13662" s="5" customFormat="1" x14ac:dyDescent="0.4"/>
    <row r="13663" s="5" customFormat="1" x14ac:dyDescent="0.4"/>
    <row r="13664" s="5" customFormat="1" x14ac:dyDescent="0.4"/>
    <row r="13665" s="5" customFormat="1" x14ac:dyDescent="0.4"/>
    <row r="13666" s="5" customFormat="1" x14ac:dyDescent="0.4"/>
    <row r="13667" s="5" customFormat="1" x14ac:dyDescent="0.4"/>
    <row r="13668" s="5" customFormat="1" x14ac:dyDescent="0.4"/>
    <row r="13669" s="5" customFormat="1" x14ac:dyDescent="0.4"/>
    <row r="13670" s="5" customFormat="1" x14ac:dyDescent="0.4"/>
    <row r="13671" s="5" customFormat="1" x14ac:dyDescent="0.4"/>
    <row r="13672" s="5" customFormat="1" x14ac:dyDescent="0.4"/>
    <row r="13673" s="5" customFormat="1" x14ac:dyDescent="0.4"/>
    <row r="13674" s="5" customFormat="1" x14ac:dyDescent="0.4"/>
    <row r="13675" s="5" customFormat="1" x14ac:dyDescent="0.4"/>
    <row r="13676" s="5" customFormat="1" x14ac:dyDescent="0.4"/>
    <row r="13677" s="5" customFormat="1" x14ac:dyDescent="0.4"/>
    <row r="13678" s="5" customFormat="1" x14ac:dyDescent="0.4"/>
    <row r="13679" s="5" customFormat="1" x14ac:dyDescent="0.4"/>
    <row r="13680" s="5" customFormat="1" x14ac:dyDescent="0.4"/>
    <row r="13681" s="5" customFormat="1" x14ac:dyDescent="0.4"/>
    <row r="13682" s="5" customFormat="1" x14ac:dyDescent="0.4"/>
    <row r="13683" s="5" customFormat="1" x14ac:dyDescent="0.4"/>
    <row r="13684" s="5" customFormat="1" x14ac:dyDescent="0.4"/>
    <row r="13685" s="5" customFormat="1" x14ac:dyDescent="0.4"/>
    <row r="13686" s="5" customFormat="1" x14ac:dyDescent="0.4"/>
    <row r="13687" s="5" customFormat="1" x14ac:dyDescent="0.4"/>
    <row r="13688" s="5" customFormat="1" x14ac:dyDescent="0.4"/>
    <row r="13689" s="5" customFormat="1" x14ac:dyDescent="0.4"/>
    <row r="13690" s="5" customFormat="1" x14ac:dyDescent="0.4"/>
    <row r="13691" s="5" customFormat="1" x14ac:dyDescent="0.4"/>
    <row r="13692" s="5" customFormat="1" x14ac:dyDescent="0.4"/>
    <row r="13693" s="5" customFormat="1" x14ac:dyDescent="0.4"/>
    <row r="13694" s="5" customFormat="1" x14ac:dyDescent="0.4"/>
    <row r="13695" s="5" customFormat="1" x14ac:dyDescent="0.4"/>
    <row r="13696" s="5" customFormat="1" x14ac:dyDescent="0.4"/>
    <row r="13697" s="5" customFormat="1" x14ac:dyDescent="0.4"/>
    <row r="13698" s="5" customFormat="1" x14ac:dyDescent="0.4"/>
    <row r="13699" s="5" customFormat="1" x14ac:dyDescent="0.4"/>
    <row r="13700" s="5" customFormat="1" x14ac:dyDescent="0.4"/>
    <row r="13701" s="5" customFormat="1" x14ac:dyDescent="0.4"/>
    <row r="13702" s="5" customFormat="1" x14ac:dyDescent="0.4"/>
    <row r="13703" s="5" customFormat="1" x14ac:dyDescent="0.4"/>
    <row r="13704" s="5" customFormat="1" x14ac:dyDescent="0.4"/>
    <row r="13705" s="5" customFormat="1" x14ac:dyDescent="0.4"/>
    <row r="13706" s="5" customFormat="1" x14ac:dyDescent="0.4"/>
    <row r="13707" s="5" customFormat="1" x14ac:dyDescent="0.4"/>
    <row r="13708" s="5" customFormat="1" x14ac:dyDescent="0.4"/>
    <row r="13709" s="5" customFormat="1" x14ac:dyDescent="0.4"/>
    <row r="13710" s="5" customFormat="1" x14ac:dyDescent="0.4"/>
    <row r="13711" s="5" customFormat="1" x14ac:dyDescent="0.4"/>
    <row r="13712" s="5" customFormat="1" x14ac:dyDescent="0.4"/>
    <row r="13713" s="5" customFormat="1" x14ac:dyDescent="0.4"/>
    <row r="13714" s="5" customFormat="1" x14ac:dyDescent="0.4"/>
    <row r="13715" s="5" customFormat="1" x14ac:dyDescent="0.4"/>
    <row r="13716" s="5" customFormat="1" x14ac:dyDescent="0.4"/>
    <row r="13717" s="5" customFormat="1" x14ac:dyDescent="0.4"/>
    <row r="13718" s="5" customFormat="1" x14ac:dyDescent="0.4"/>
    <row r="13719" s="5" customFormat="1" x14ac:dyDescent="0.4"/>
    <row r="13720" s="5" customFormat="1" x14ac:dyDescent="0.4"/>
    <row r="13721" s="5" customFormat="1" x14ac:dyDescent="0.4"/>
    <row r="13722" s="5" customFormat="1" x14ac:dyDescent="0.4"/>
    <row r="13723" s="5" customFormat="1" x14ac:dyDescent="0.4"/>
    <row r="13724" s="5" customFormat="1" x14ac:dyDescent="0.4"/>
    <row r="13725" s="5" customFormat="1" x14ac:dyDescent="0.4"/>
    <row r="13726" s="5" customFormat="1" x14ac:dyDescent="0.4"/>
    <row r="13727" s="5" customFormat="1" x14ac:dyDescent="0.4"/>
    <row r="13728" s="5" customFormat="1" x14ac:dyDescent="0.4"/>
    <row r="13729" s="5" customFormat="1" x14ac:dyDescent="0.4"/>
    <row r="13730" s="5" customFormat="1" x14ac:dyDescent="0.4"/>
    <row r="13731" s="5" customFormat="1" x14ac:dyDescent="0.4"/>
    <row r="13732" s="5" customFormat="1" x14ac:dyDescent="0.4"/>
    <row r="13733" s="5" customFormat="1" x14ac:dyDescent="0.4"/>
    <row r="13734" s="5" customFormat="1" x14ac:dyDescent="0.4"/>
    <row r="13735" s="5" customFormat="1" x14ac:dyDescent="0.4"/>
    <row r="13736" s="5" customFormat="1" x14ac:dyDescent="0.4"/>
    <row r="13737" s="5" customFormat="1" x14ac:dyDescent="0.4"/>
    <row r="13738" s="5" customFormat="1" x14ac:dyDescent="0.4"/>
    <row r="13739" s="5" customFormat="1" x14ac:dyDescent="0.4"/>
    <row r="13740" s="5" customFormat="1" x14ac:dyDescent="0.4"/>
    <row r="13741" s="5" customFormat="1" x14ac:dyDescent="0.4"/>
    <row r="13742" s="5" customFormat="1" x14ac:dyDescent="0.4"/>
    <row r="13743" s="5" customFormat="1" x14ac:dyDescent="0.4"/>
    <row r="13744" s="5" customFormat="1" x14ac:dyDescent="0.4"/>
    <row r="13745" s="5" customFormat="1" x14ac:dyDescent="0.4"/>
    <row r="13746" s="5" customFormat="1" x14ac:dyDescent="0.4"/>
    <row r="13747" s="5" customFormat="1" x14ac:dyDescent="0.4"/>
    <row r="13748" s="5" customFormat="1" x14ac:dyDescent="0.4"/>
    <row r="13749" s="5" customFormat="1" x14ac:dyDescent="0.4"/>
    <row r="13750" s="5" customFormat="1" x14ac:dyDescent="0.4"/>
    <row r="13751" s="5" customFormat="1" x14ac:dyDescent="0.4"/>
    <row r="13752" s="5" customFormat="1" x14ac:dyDescent="0.4"/>
    <row r="13753" s="5" customFormat="1" x14ac:dyDescent="0.4"/>
    <row r="13754" s="5" customFormat="1" x14ac:dyDescent="0.4"/>
    <row r="13755" s="5" customFormat="1" x14ac:dyDescent="0.4"/>
    <row r="13756" s="5" customFormat="1" x14ac:dyDescent="0.4"/>
    <row r="13757" s="5" customFormat="1" x14ac:dyDescent="0.4"/>
    <row r="13758" s="5" customFormat="1" x14ac:dyDescent="0.4"/>
    <row r="13759" s="5" customFormat="1" x14ac:dyDescent="0.4"/>
    <row r="13760" s="5" customFormat="1" x14ac:dyDescent="0.4"/>
    <row r="13761" s="5" customFormat="1" x14ac:dyDescent="0.4"/>
    <row r="13762" s="5" customFormat="1" x14ac:dyDescent="0.4"/>
    <row r="13763" s="5" customFormat="1" x14ac:dyDescent="0.4"/>
    <row r="13764" s="5" customFormat="1" x14ac:dyDescent="0.4"/>
    <row r="13765" s="5" customFormat="1" x14ac:dyDescent="0.4"/>
    <row r="13766" s="5" customFormat="1" x14ac:dyDescent="0.4"/>
    <row r="13767" s="5" customFormat="1" x14ac:dyDescent="0.4"/>
    <row r="13768" s="5" customFormat="1" x14ac:dyDescent="0.4"/>
    <row r="13769" s="5" customFormat="1" x14ac:dyDescent="0.4"/>
    <row r="13770" s="5" customFormat="1" x14ac:dyDescent="0.4"/>
    <row r="13771" s="5" customFormat="1" x14ac:dyDescent="0.4"/>
    <row r="13772" s="5" customFormat="1" x14ac:dyDescent="0.4"/>
    <row r="13773" s="5" customFormat="1" x14ac:dyDescent="0.4"/>
    <row r="13774" s="5" customFormat="1" x14ac:dyDescent="0.4"/>
    <row r="13775" s="5" customFormat="1" x14ac:dyDescent="0.4"/>
    <row r="13776" s="5" customFormat="1" x14ac:dyDescent="0.4"/>
    <row r="13777" s="5" customFormat="1" x14ac:dyDescent="0.4"/>
    <row r="13778" s="5" customFormat="1" x14ac:dyDescent="0.4"/>
    <row r="13779" s="5" customFormat="1" x14ac:dyDescent="0.4"/>
    <row r="13780" s="5" customFormat="1" x14ac:dyDescent="0.4"/>
    <row r="13781" s="5" customFormat="1" x14ac:dyDescent="0.4"/>
    <row r="13782" s="5" customFormat="1" x14ac:dyDescent="0.4"/>
    <row r="13783" s="5" customFormat="1" x14ac:dyDescent="0.4"/>
    <row r="13784" s="5" customFormat="1" x14ac:dyDescent="0.4"/>
    <row r="13785" s="5" customFormat="1" x14ac:dyDescent="0.4"/>
    <row r="13786" s="5" customFormat="1" x14ac:dyDescent="0.4"/>
    <row r="13787" s="5" customFormat="1" x14ac:dyDescent="0.4"/>
    <row r="13788" s="5" customFormat="1" x14ac:dyDescent="0.4"/>
    <row r="13789" s="5" customFormat="1" x14ac:dyDescent="0.4"/>
    <row r="13790" s="5" customFormat="1" x14ac:dyDescent="0.4"/>
    <row r="13791" s="5" customFormat="1" x14ac:dyDescent="0.4"/>
    <row r="13792" s="5" customFormat="1" x14ac:dyDescent="0.4"/>
    <row r="13793" s="5" customFormat="1" x14ac:dyDescent="0.4"/>
    <row r="13794" s="5" customFormat="1" x14ac:dyDescent="0.4"/>
    <row r="13795" s="5" customFormat="1" x14ac:dyDescent="0.4"/>
    <row r="13796" s="5" customFormat="1" x14ac:dyDescent="0.4"/>
    <row r="13797" s="5" customFormat="1" x14ac:dyDescent="0.4"/>
    <row r="13798" s="5" customFormat="1" x14ac:dyDescent="0.4"/>
    <row r="13799" s="5" customFormat="1" x14ac:dyDescent="0.4"/>
    <row r="13800" s="5" customFormat="1" x14ac:dyDescent="0.4"/>
    <row r="13801" s="5" customFormat="1" x14ac:dyDescent="0.4"/>
    <row r="13802" s="5" customFormat="1" x14ac:dyDescent="0.4"/>
    <row r="13803" s="5" customFormat="1" x14ac:dyDescent="0.4"/>
    <row r="13804" s="5" customFormat="1" x14ac:dyDescent="0.4"/>
    <row r="13805" s="5" customFormat="1" x14ac:dyDescent="0.4"/>
    <row r="13806" s="5" customFormat="1" x14ac:dyDescent="0.4"/>
    <row r="13807" s="5" customFormat="1" x14ac:dyDescent="0.4"/>
    <row r="13808" s="5" customFormat="1" x14ac:dyDescent="0.4"/>
    <row r="13809" s="5" customFormat="1" x14ac:dyDescent="0.4"/>
    <row r="13810" s="5" customFormat="1" x14ac:dyDescent="0.4"/>
    <row r="13811" s="5" customFormat="1" x14ac:dyDescent="0.4"/>
    <row r="13812" s="5" customFormat="1" x14ac:dyDescent="0.4"/>
    <row r="13813" s="5" customFormat="1" x14ac:dyDescent="0.4"/>
    <row r="13814" s="5" customFormat="1" x14ac:dyDescent="0.4"/>
    <row r="13815" s="5" customFormat="1" x14ac:dyDescent="0.4"/>
    <row r="13816" s="5" customFormat="1" x14ac:dyDescent="0.4"/>
    <row r="13817" s="5" customFormat="1" x14ac:dyDescent="0.4"/>
    <row r="13818" s="5" customFormat="1" x14ac:dyDescent="0.4"/>
    <row r="13819" s="5" customFormat="1" x14ac:dyDescent="0.4"/>
    <row r="13820" s="5" customFormat="1" x14ac:dyDescent="0.4"/>
    <row r="13821" s="5" customFormat="1" x14ac:dyDescent="0.4"/>
    <row r="13822" s="5" customFormat="1" x14ac:dyDescent="0.4"/>
    <row r="13823" s="5" customFormat="1" x14ac:dyDescent="0.4"/>
    <row r="13824" s="5" customFormat="1" x14ac:dyDescent="0.4"/>
    <row r="13825" s="5" customFormat="1" x14ac:dyDescent="0.4"/>
    <row r="13826" s="5" customFormat="1" x14ac:dyDescent="0.4"/>
    <row r="13827" s="5" customFormat="1" x14ac:dyDescent="0.4"/>
    <row r="13828" s="5" customFormat="1" x14ac:dyDescent="0.4"/>
    <row r="13829" s="5" customFormat="1" x14ac:dyDescent="0.4"/>
    <row r="13830" s="5" customFormat="1" x14ac:dyDescent="0.4"/>
    <row r="13831" s="5" customFormat="1" x14ac:dyDescent="0.4"/>
    <row r="13832" s="5" customFormat="1" x14ac:dyDescent="0.4"/>
    <row r="13833" s="5" customFormat="1" x14ac:dyDescent="0.4"/>
    <row r="13834" s="5" customFormat="1" x14ac:dyDescent="0.4"/>
    <row r="13835" s="5" customFormat="1" x14ac:dyDescent="0.4"/>
    <row r="13836" s="5" customFormat="1" x14ac:dyDescent="0.4"/>
    <row r="13837" s="5" customFormat="1" x14ac:dyDescent="0.4"/>
    <row r="13838" s="5" customFormat="1" x14ac:dyDescent="0.4"/>
    <row r="13839" s="5" customFormat="1" x14ac:dyDescent="0.4"/>
    <row r="13840" s="5" customFormat="1" x14ac:dyDescent="0.4"/>
    <row r="13841" s="5" customFormat="1" x14ac:dyDescent="0.4"/>
    <row r="13842" s="5" customFormat="1" x14ac:dyDescent="0.4"/>
    <row r="13843" s="5" customFormat="1" x14ac:dyDescent="0.4"/>
    <row r="13844" s="5" customFormat="1" x14ac:dyDescent="0.4"/>
    <row r="13845" s="5" customFormat="1" x14ac:dyDescent="0.4"/>
    <row r="13846" s="5" customFormat="1" x14ac:dyDescent="0.4"/>
    <row r="13847" s="5" customFormat="1" x14ac:dyDescent="0.4"/>
    <row r="13848" s="5" customFormat="1" x14ac:dyDescent="0.4"/>
    <row r="13849" s="5" customFormat="1" x14ac:dyDescent="0.4"/>
    <row r="13850" s="5" customFormat="1" x14ac:dyDescent="0.4"/>
    <row r="13851" s="5" customFormat="1" x14ac:dyDescent="0.4"/>
    <row r="13852" s="5" customFormat="1" x14ac:dyDescent="0.4"/>
    <row r="13853" s="5" customFormat="1" x14ac:dyDescent="0.4"/>
    <row r="13854" s="5" customFormat="1" x14ac:dyDescent="0.4"/>
    <row r="13855" s="5" customFormat="1" x14ac:dyDescent="0.4"/>
    <row r="13856" s="5" customFormat="1" x14ac:dyDescent="0.4"/>
    <row r="13857" s="5" customFormat="1" x14ac:dyDescent="0.4"/>
    <row r="13858" s="5" customFormat="1" x14ac:dyDescent="0.4"/>
    <row r="13859" s="5" customFormat="1" x14ac:dyDescent="0.4"/>
    <row r="13860" s="5" customFormat="1" x14ac:dyDescent="0.4"/>
    <row r="13861" s="5" customFormat="1" x14ac:dyDescent="0.4"/>
    <row r="13862" s="5" customFormat="1" x14ac:dyDescent="0.4"/>
    <row r="13863" s="5" customFormat="1" x14ac:dyDescent="0.4"/>
    <row r="13864" s="5" customFormat="1" x14ac:dyDescent="0.4"/>
    <row r="13865" s="5" customFormat="1" x14ac:dyDescent="0.4"/>
    <row r="13866" s="5" customFormat="1" x14ac:dyDescent="0.4"/>
    <row r="13867" s="5" customFormat="1" x14ac:dyDescent="0.4"/>
    <row r="13868" s="5" customFormat="1" x14ac:dyDescent="0.4"/>
    <row r="13869" s="5" customFormat="1" x14ac:dyDescent="0.4"/>
    <row r="13870" s="5" customFormat="1" x14ac:dyDescent="0.4"/>
    <row r="13871" s="5" customFormat="1" x14ac:dyDescent="0.4"/>
    <row r="13872" s="5" customFormat="1" x14ac:dyDescent="0.4"/>
    <row r="13873" s="5" customFormat="1" x14ac:dyDescent="0.4"/>
    <row r="13874" s="5" customFormat="1" x14ac:dyDescent="0.4"/>
    <row r="13875" s="5" customFormat="1" x14ac:dyDescent="0.4"/>
    <row r="13876" s="5" customFormat="1" x14ac:dyDescent="0.4"/>
    <row r="13877" s="5" customFormat="1" x14ac:dyDescent="0.4"/>
    <row r="13878" s="5" customFormat="1" x14ac:dyDescent="0.4"/>
    <row r="13879" s="5" customFormat="1" x14ac:dyDescent="0.4"/>
    <row r="13880" s="5" customFormat="1" x14ac:dyDescent="0.4"/>
    <row r="13881" s="5" customFormat="1" x14ac:dyDescent="0.4"/>
    <row r="13882" s="5" customFormat="1" x14ac:dyDescent="0.4"/>
    <row r="13883" s="5" customFormat="1" x14ac:dyDescent="0.4"/>
    <row r="13884" s="5" customFormat="1" x14ac:dyDescent="0.4"/>
    <row r="13885" s="5" customFormat="1" x14ac:dyDescent="0.4"/>
    <row r="13886" s="5" customFormat="1" x14ac:dyDescent="0.4"/>
    <row r="13887" s="5" customFormat="1" x14ac:dyDescent="0.4"/>
    <row r="13888" s="5" customFormat="1" x14ac:dyDescent="0.4"/>
    <row r="13889" s="5" customFormat="1" x14ac:dyDescent="0.4"/>
    <row r="13890" s="5" customFormat="1" x14ac:dyDescent="0.4"/>
    <row r="13891" s="5" customFormat="1" x14ac:dyDescent="0.4"/>
    <row r="13892" s="5" customFormat="1" x14ac:dyDescent="0.4"/>
    <row r="13893" s="5" customFormat="1" x14ac:dyDescent="0.4"/>
    <row r="13894" s="5" customFormat="1" x14ac:dyDescent="0.4"/>
    <row r="13895" s="5" customFormat="1" x14ac:dyDescent="0.4"/>
    <row r="13896" s="5" customFormat="1" x14ac:dyDescent="0.4"/>
    <row r="13897" s="5" customFormat="1" x14ac:dyDescent="0.4"/>
    <row r="13898" s="5" customFormat="1" x14ac:dyDescent="0.4"/>
    <row r="13899" s="5" customFormat="1" x14ac:dyDescent="0.4"/>
    <row r="13900" s="5" customFormat="1" x14ac:dyDescent="0.4"/>
    <row r="13901" s="5" customFormat="1" x14ac:dyDescent="0.4"/>
    <row r="13902" s="5" customFormat="1" x14ac:dyDescent="0.4"/>
    <row r="13903" s="5" customFormat="1" x14ac:dyDescent="0.4"/>
    <row r="13904" s="5" customFormat="1" x14ac:dyDescent="0.4"/>
    <row r="13905" s="5" customFormat="1" x14ac:dyDescent="0.4"/>
    <row r="13906" s="5" customFormat="1" x14ac:dyDescent="0.4"/>
    <row r="13907" s="5" customFormat="1" x14ac:dyDescent="0.4"/>
    <row r="13908" s="5" customFormat="1" x14ac:dyDescent="0.4"/>
    <row r="13909" s="5" customFormat="1" x14ac:dyDescent="0.4"/>
    <row r="13910" s="5" customFormat="1" x14ac:dyDescent="0.4"/>
    <row r="13911" s="5" customFormat="1" x14ac:dyDescent="0.4"/>
    <row r="13912" s="5" customFormat="1" x14ac:dyDescent="0.4"/>
    <row r="13913" s="5" customFormat="1" x14ac:dyDescent="0.4"/>
    <row r="13914" s="5" customFormat="1" x14ac:dyDescent="0.4"/>
    <row r="13915" s="5" customFormat="1" x14ac:dyDescent="0.4"/>
    <row r="13916" s="5" customFormat="1" x14ac:dyDescent="0.4"/>
    <row r="13917" s="5" customFormat="1" x14ac:dyDescent="0.4"/>
    <row r="13918" s="5" customFormat="1" x14ac:dyDescent="0.4"/>
    <row r="13919" s="5" customFormat="1" x14ac:dyDescent="0.4"/>
    <row r="13920" s="5" customFormat="1" x14ac:dyDescent="0.4"/>
    <row r="13921" s="5" customFormat="1" x14ac:dyDescent="0.4"/>
    <row r="13922" s="5" customFormat="1" x14ac:dyDescent="0.4"/>
    <row r="13923" s="5" customFormat="1" x14ac:dyDescent="0.4"/>
    <row r="13924" s="5" customFormat="1" x14ac:dyDescent="0.4"/>
    <row r="13925" s="5" customFormat="1" x14ac:dyDescent="0.4"/>
    <row r="13926" s="5" customFormat="1" x14ac:dyDescent="0.4"/>
    <row r="13927" s="5" customFormat="1" x14ac:dyDescent="0.4"/>
    <row r="13928" s="5" customFormat="1" x14ac:dyDescent="0.4"/>
    <row r="13929" s="5" customFormat="1" x14ac:dyDescent="0.4"/>
    <row r="13930" s="5" customFormat="1" x14ac:dyDescent="0.4"/>
    <row r="13931" s="5" customFormat="1" x14ac:dyDescent="0.4"/>
    <row r="13932" s="5" customFormat="1" x14ac:dyDescent="0.4"/>
    <row r="13933" s="5" customFormat="1" x14ac:dyDescent="0.4"/>
    <row r="13934" s="5" customFormat="1" x14ac:dyDescent="0.4"/>
    <row r="13935" s="5" customFormat="1" x14ac:dyDescent="0.4"/>
    <row r="13936" s="5" customFormat="1" x14ac:dyDescent="0.4"/>
    <row r="13937" s="5" customFormat="1" x14ac:dyDescent="0.4"/>
    <row r="13938" s="5" customFormat="1" x14ac:dyDescent="0.4"/>
    <row r="13939" s="5" customFormat="1" x14ac:dyDescent="0.4"/>
    <row r="13940" s="5" customFormat="1" x14ac:dyDescent="0.4"/>
    <row r="13941" s="5" customFormat="1" x14ac:dyDescent="0.4"/>
    <row r="13942" s="5" customFormat="1" x14ac:dyDescent="0.4"/>
    <row r="13943" s="5" customFormat="1" x14ac:dyDescent="0.4"/>
    <row r="13944" s="5" customFormat="1" x14ac:dyDescent="0.4"/>
    <row r="13945" s="5" customFormat="1" x14ac:dyDescent="0.4"/>
    <row r="13946" s="5" customFormat="1" x14ac:dyDescent="0.4"/>
    <row r="13947" s="5" customFormat="1" x14ac:dyDescent="0.4"/>
    <row r="13948" s="5" customFormat="1" x14ac:dyDescent="0.4"/>
    <row r="13949" s="5" customFormat="1" x14ac:dyDescent="0.4"/>
    <row r="13950" s="5" customFormat="1" x14ac:dyDescent="0.4"/>
    <row r="13951" s="5" customFormat="1" x14ac:dyDescent="0.4"/>
    <row r="13952" s="5" customFormat="1" x14ac:dyDescent="0.4"/>
    <row r="13953" s="5" customFormat="1" x14ac:dyDescent="0.4"/>
    <row r="13954" s="5" customFormat="1" x14ac:dyDescent="0.4"/>
    <row r="13955" s="5" customFormat="1" x14ac:dyDescent="0.4"/>
    <row r="13956" s="5" customFormat="1" x14ac:dyDescent="0.4"/>
    <row r="13957" s="5" customFormat="1" x14ac:dyDescent="0.4"/>
    <row r="13958" s="5" customFormat="1" x14ac:dyDescent="0.4"/>
    <row r="13959" s="5" customFormat="1" x14ac:dyDescent="0.4"/>
    <row r="13960" s="5" customFormat="1" x14ac:dyDescent="0.4"/>
    <row r="13961" s="5" customFormat="1" x14ac:dyDescent="0.4"/>
    <row r="13962" s="5" customFormat="1" x14ac:dyDescent="0.4"/>
    <row r="13963" s="5" customFormat="1" x14ac:dyDescent="0.4"/>
    <row r="13964" s="5" customFormat="1" x14ac:dyDescent="0.4"/>
    <row r="13965" s="5" customFormat="1" x14ac:dyDescent="0.4"/>
    <row r="13966" s="5" customFormat="1" x14ac:dyDescent="0.4"/>
    <row r="13967" s="5" customFormat="1" x14ac:dyDescent="0.4"/>
    <row r="13968" s="5" customFormat="1" x14ac:dyDescent="0.4"/>
    <row r="13969" s="5" customFormat="1" x14ac:dyDescent="0.4"/>
    <row r="13970" s="5" customFormat="1" x14ac:dyDescent="0.4"/>
    <row r="13971" s="5" customFormat="1" x14ac:dyDescent="0.4"/>
    <row r="13972" s="5" customFormat="1" x14ac:dyDescent="0.4"/>
    <row r="13973" s="5" customFormat="1" x14ac:dyDescent="0.4"/>
    <row r="13974" s="5" customFormat="1" x14ac:dyDescent="0.4"/>
    <row r="13975" s="5" customFormat="1" x14ac:dyDescent="0.4"/>
    <row r="13976" s="5" customFormat="1" x14ac:dyDescent="0.4"/>
    <row r="13977" s="5" customFormat="1" x14ac:dyDescent="0.4"/>
    <row r="13978" s="5" customFormat="1" x14ac:dyDescent="0.4"/>
    <row r="13979" s="5" customFormat="1" x14ac:dyDescent="0.4"/>
    <row r="13980" s="5" customFormat="1" x14ac:dyDescent="0.4"/>
    <row r="13981" s="5" customFormat="1" x14ac:dyDescent="0.4"/>
    <row r="13982" s="5" customFormat="1" x14ac:dyDescent="0.4"/>
    <row r="13983" s="5" customFormat="1" x14ac:dyDescent="0.4"/>
    <row r="13984" s="5" customFormat="1" x14ac:dyDescent="0.4"/>
    <row r="13985" s="5" customFormat="1" x14ac:dyDescent="0.4"/>
    <row r="13986" s="5" customFormat="1" x14ac:dyDescent="0.4"/>
    <row r="13987" s="5" customFormat="1" x14ac:dyDescent="0.4"/>
    <row r="13988" s="5" customFormat="1" x14ac:dyDescent="0.4"/>
    <row r="13989" s="5" customFormat="1" x14ac:dyDescent="0.4"/>
    <row r="13990" s="5" customFormat="1" x14ac:dyDescent="0.4"/>
    <row r="13991" s="5" customFormat="1" x14ac:dyDescent="0.4"/>
    <row r="13992" s="5" customFormat="1" x14ac:dyDescent="0.4"/>
    <row r="13993" s="5" customFormat="1" x14ac:dyDescent="0.4"/>
    <row r="13994" s="5" customFormat="1" x14ac:dyDescent="0.4"/>
    <row r="13995" s="5" customFormat="1" x14ac:dyDescent="0.4"/>
    <row r="13996" s="5" customFormat="1" x14ac:dyDescent="0.4"/>
    <row r="13997" s="5" customFormat="1" x14ac:dyDescent="0.4"/>
    <row r="13998" s="5" customFormat="1" x14ac:dyDescent="0.4"/>
    <row r="13999" s="5" customFormat="1" x14ac:dyDescent="0.4"/>
    <row r="14000" s="5" customFormat="1" x14ac:dyDescent="0.4"/>
    <row r="14001" s="5" customFormat="1" x14ac:dyDescent="0.4"/>
    <row r="14002" s="5" customFormat="1" x14ac:dyDescent="0.4"/>
    <row r="14003" s="5" customFormat="1" x14ac:dyDescent="0.4"/>
    <row r="14004" s="5" customFormat="1" x14ac:dyDescent="0.4"/>
    <row r="14005" s="5" customFormat="1" x14ac:dyDescent="0.4"/>
    <row r="14006" s="5" customFormat="1" x14ac:dyDescent="0.4"/>
    <row r="14007" s="5" customFormat="1" x14ac:dyDescent="0.4"/>
    <row r="14008" s="5" customFormat="1" x14ac:dyDescent="0.4"/>
    <row r="14009" s="5" customFormat="1" x14ac:dyDescent="0.4"/>
    <row r="14010" s="5" customFormat="1" x14ac:dyDescent="0.4"/>
    <row r="14011" s="5" customFormat="1" x14ac:dyDescent="0.4"/>
    <row r="14012" s="5" customFormat="1" x14ac:dyDescent="0.4"/>
    <row r="14013" s="5" customFormat="1" x14ac:dyDescent="0.4"/>
    <row r="14014" s="5" customFormat="1" x14ac:dyDescent="0.4"/>
    <row r="14015" s="5" customFormat="1" x14ac:dyDescent="0.4"/>
    <row r="14016" s="5" customFormat="1" x14ac:dyDescent="0.4"/>
    <row r="14017" s="5" customFormat="1" x14ac:dyDescent="0.4"/>
    <row r="14018" s="5" customFormat="1" x14ac:dyDescent="0.4"/>
    <row r="14019" s="5" customFormat="1" x14ac:dyDescent="0.4"/>
    <row r="14020" s="5" customFormat="1" x14ac:dyDescent="0.4"/>
    <row r="14021" s="5" customFormat="1" x14ac:dyDescent="0.4"/>
    <row r="14022" s="5" customFormat="1" x14ac:dyDescent="0.4"/>
    <row r="14023" s="5" customFormat="1" x14ac:dyDescent="0.4"/>
    <row r="14024" s="5" customFormat="1" x14ac:dyDescent="0.4"/>
    <row r="14025" s="5" customFormat="1" x14ac:dyDescent="0.4"/>
    <row r="14026" s="5" customFormat="1" x14ac:dyDescent="0.4"/>
    <row r="14027" s="5" customFormat="1" x14ac:dyDescent="0.4"/>
    <row r="14028" s="5" customFormat="1" x14ac:dyDescent="0.4"/>
    <row r="14029" s="5" customFormat="1" x14ac:dyDescent="0.4"/>
    <row r="14030" s="5" customFormat="1" x14ac:dyDescent="0.4"/>
    <row r="14031" s="5" customFormat="1" x14ac:dyDescent="0.4"/>
    <row r="14032" s="5" customFormat="1" x14ac:dyDescent="0.4"/>
    <row r="14033" s="5" customFormat="1" x14ac:dyDescent="0.4"/>
    <row r="14034" s="5" customFormat="1" x14ac:dyDescent="0.4"/>
    <row r="14035" s="5" customFormat="1" x14ac:dyDescent="0.4"/>
    <row r="14036" s="5" customFormat="1" x14ac:dyDescent="0.4"/>
    <row r="14037" s="5" customFormat="1" x14ac:dyDescent="0.4"/>
    <row r="14038" s="5" customFormat="1" x14ac:dyDescent="0.4"/>
    <row r="14039" s="5" customFormat="1" x14ac:dyDescent="0.4"/>
    <row r="14040" s="5" customFormat="1" x14ac:dyDescent="0.4"/>
    <row r="14041" s="5" customFormat="1" x14ac:dyDescent="0.4"/>
    <row r="14042" s="5" customFormat="1" x14ac:dyDescent="0.4"/>
    <row r="14043" s="5" customFormat="1" x14ac:dyDescent="0.4"/>
    <row r="14044" s="5" customFormat="1" x14ac:dyDescent="0.4"/>
    <row r="14045" s="5" customFormat="1" x14ac:dyDescent="0.4"/>
    <row r="14046" s="5" customFormat="1" x14ac:dyDescent="0.4"/>
    <row r="14047" s="5" customFormat="1" x14ac:dyDescent="0.4"/>
    <row r="14048" s="5" customFormat="1" x14ac:dyDescent="0.4"/>
    <row r="14049" s="5" customFormat="1" x14ac:dyDescent="0.4"/>
    <row r="14050" s="5" customFormat="1" x14ac:dyDescent="0.4"/>
    <row r="14051" s="5" customFormat="1" x14ac:dyDescent="0.4"/>
    <row r="14052" s="5" customFormat="1" x14ac:dyDescent="0.4"/>
    <row r="14053" s="5" customFormat="1" x14ac:dyDescent="0.4"/>
    <row r="14054" s="5" customFormat="1" x14ac:dyDescent="0.4"/>
    <row r="14055" s="5" customFormat="1" x14ac:dyDescent="0.4"/>
    <row r="14056" s="5" customFormat="1" x14ac:dyDescent="0.4"/>
    <row r="14057" s="5" customFormat="1" x14ac:dyDescent="0.4"/>
    <row r="14058" s="5" customFormat="1" x14ac:dyDescent="0.4"/>
    <row r="14059" s="5" customFormat="1" x14ac:dyDescent="0.4"/>
    <row r="14060" s="5" customFormat="1" x14ac:dyDescent="0.4"/>
    <row r="14061" s="5" customFormat="1" x14ac:dyDescent="0.4"/>
    <row r="14062" s="5" customFormat="1" x14ac:dyDescent="0.4"/>
    <row r="14063" s="5" customFormat="1" x14ac:dyDescent="0.4"/>
    <row r="14064" s="5" customFormat="1" x14ac:dyDescent="0.4"/>
    <row r="14065" s="5" customFormat="1" x14ac:dyDescent="0.4"/>
    <row r="14066" s="5" customFormat="1" x14ac:dyDescent="0.4"/>
    <row r="14067" s="5" customFormat="1" x14ac:dyDescent="0.4"/>
    <row r="14068" s="5" customFormat="1" x14ac:dyDescent="0.4"/>
    <row r="14069" s="5" customFormat="1" x14ac:dyDescent="0.4"/>
    <row r="14070" s="5" customFormat="1" x14ac:dyDescent="0.4"/>
    <row r="14071" s="5" customFormat="1" x14ac:dyDescent="0.4"/>
    <row r="14072" s="5" customFormat="1" x14ac:dyDescent="0.4"/>
    <row r="14073" s="5" customFormat="1" x14ac:dyDescent="0.4"/>
    <row r="14074" s="5" customFormat="1" x14ac:dyDescent="0.4"/>
    <row r="14075" s="5" customFormat="1" x14ac:dyDescent="0.4"/>
    <row r="14076" s="5" customFormat="1" x14ac:dyDescent="0.4"/>
    <row r="14077" s="5" customFormat="1" x14ac:dyDescent="0.4"/>
    <row r="14078" s="5" customFormat="1" x14ac:dyDescent="0.4"/>
    <row r="14079" s="5" customFormat="1" x14ac:dyDescent="0.4"/>
    <row r="14080" s="5" customFormat="1" x14ac:dyDescent="0.4"/>
    <row r="14081" s="5" customFormat="1" x14ac:dyDescent="0.4"/>
    <row r="14082" s="5" customFormat="1" x14ac:dyDescent="0.4"/>
    <row r="14083" s="5" customFormat="1" x14ac:dyDescent="0.4"/>
    <row r="14084" s="5" customFormat="1" x14ac:dyDescent="0.4"/>
    <row r="14085" s="5" customFormat="1" x14ac:dyDescent="0.4"/>
    <row r="14086" s="5" customFormat="1" x14ac:dyDescent="0.4"/>
    <row r="14087" s="5" customFormat="1" x14ac:dyDescent="0.4"/>
    <row r="14088" s="5" customFormat="1" x14ac:dyDescent="0.4"/>
    <row r="14089" s="5" customFormat="1" x14ac:dyDescent="0.4"/>
    <row r="14090" s="5" customFormat="1" x14ac:dyDescent="0.4"/>
    <row r="14091" s="5" customFormat="1" x14ac:dyDescent="0.4"/>
    <row r="14092" s="5" customFormat="1" x14ac:dyDescent="0.4"/>
    <row r="14093" s="5" customFormat="1" x14ac:dyDescent="0.4"/>
    <row r="14094" s="5" customFormat="1" x14ac:dyDescent="0.4"/>
    <row r="14095" s="5" customFormat="1" x14ac:dyDescent="0.4"/>
    <row r="14096" s="5" customFormat="1" x14ac:dyDescent="0.4"/>
    <row r="14097" s="5" customFormat="1" x14ac:dyDescent="0.4"/>
    <row r="14098" s="5" customFormat="1" x14ac:dyDescent="0.4"/>
    <row r="14099" s="5" customFormat="1" x14ac:dyDescent="0.4"/>
    <row r="14100" s="5" customFormat="1" x14ac:dyDescent="0.4"/>
    <row r="14101" s="5" customFormat="1" x14ac:dyDescent="0.4"/>
    <row r="14102" s="5" customFormat="1" x14ac:dyDescent="0.4"/>
    <row r="14103" s="5" customFormat="1" x14ac:dyDescent="0.4"/>
    <row r="14104" s="5" customFormat="1" x14ac:dyDescent="0.4"/>
    <row r="14105" s="5" customFormat="1" x14ac:dyDescent="0.4"/>
    <row r="14106" s="5" customFormat="1" x14ac:dyDescent="0.4"/>
    <row r="14107" s="5" customFormat="1" x14ac:dyDescent="0.4"/>
    <row r="14108" s="5" customFormat="1" x14ac:dyDescent="0.4"/>
    <row r="14109" s="5" customFormat="1" x14ac:dyDescent="0.4"/>
    <row r="14110" s="5" customFormat="1" x14ac:dyDescent="0.4"/>
    <row r="14111" s="5" customFormat="1" x14ac:dyDescent="0.4"/>
    <row r="14112" s="5" customFormat="1" x14ac:dyDescent="0.4"/>
    <row r="14113" s="5" customFormat="1" x14ac:dyDescent="0.4"/>
    <row r="14114" s="5" customFormat="1" x14ac:dyDescent="0.4"/>
    <row r="14115" s="5" customFormat="1" x14ac:dyDescent="0.4"/>
    <row r="14116" s="5" customFormat="1" x14ac:dyDescent="0.4"/>
    <row r="14117" s="5" customFormat="1" x14ac:dyDescent="0.4"/>
    <row r="14118" s="5" customFormat="1" x14ac:dyDescent="0.4"/>
    <row r="14119" s="5" customFormat="1" x14ac:dyDescent="0.4"/>
    <row r="14120" s="5" customFormat="1" x14ac:dyDescent="0.4"/>
    <row r="14121" s="5" customFormat="1" x14ac:dyDescent="0.4"/>
    <row r="14122" s="5" customFormat="1" x14ac:dyDescent="0.4"/>
    <row r="14123" s="5" customFormat="1" x14ac:dyDescent="0.4"/>
    <row r="14124" s="5" customFormat="1" x14ac:dyDescent="0.4"/>
    <row r="14125" s="5" customFormat="1" x14ac:dyDescent="0.4"/>
    <row r="14126" s="5" customFormat="1" x14ac:dyDescent="0.4"/>
    <row r="14127" s="5" customFormat="1" x14ac:dyDescent="0.4"/>
    <row r="14128" s="5" customFormat="1" x14ac:dyDescent="0.4"/>
    <row r="14129" s="5" customFormat="1" x14ac:dyDescent="0.4"/>
    <row r="14130" s="5" customFormat="1" x14ac:dyDescent="0.4"/>
    <row r="14131" s="5" customFormat="1" x14ac:dyDescent="0.4"/>
    <row r="14132" s="5" customFormat="1" x14ac:dyDescent="0.4"/>
    <row r="14133" s="5" customFormat="1" x14ac:dyDescent="0.4"/>
    <row r="14134" s="5" customFormat="1" x14ac:dyDescent="0.4"/>
    <row r="14135" s="5" customFormat="1" x14ac:dyDescent="0.4"/>
    <row r="14136" s="5" customFormat="1" x14ac:dyDescent="0.4"/>
    <row r="14137" s="5" customFormat="1" x14ac:dyDescent="0.4"/>
    <row r="14138" s="5" customFormat="1" x14ac:dyDescent="0.4"/>
    <row r="14139" s="5" customFormat="1" x14ac:dyDescent="0.4"/>
    <row r="14140" s="5" customFormat="1" x14ac:dyDescent="0.4"/>
    <row r="14141" s="5" customFormat="1" x14ac:dyDescent="0.4"/>
    <row r="14142" s="5" customFormat="1" x14ac:dyDescent="0.4"/>
    <row r="14143" s="5" customFormat="1" x14ac:dyDescent="0.4"/>
    <row r="14144" s="5" customFormat="1" x14ac:dyDescent="0.4"/>
    <row r="14145" s="5" customFormat="1" x14ac:dyDescent="0.4"/>
    <row r="14146" s="5" customFormat="1" x14ac:dyDescent="0.4"/>
    <row r="14147" s="5" customFormat="1" x14ac:dyDescent="0.4"/>
    <row r="14148" s="5" customFormat="1" x14ac:dyDescent="0.4"/>
    <row r="14149" s="5" customFormat="1" x14ac:dyDescent="0.4"/>
    <row r="14150" s="5" customFormat="1" x14ac:dyDescent="0.4"/>
    <row r="14151" s="5" customFormat="1" x14ac:dyDescent="0.4"/>
    <row r="14152" s="5" customFormat="1" x14ac:dyDescent="0.4"/>
    <row r="14153" s="5" customFormat="1" x14ac:dyDescent="0.4"/>
    <row r="14154" s="5" customFormat="1" x14ac:dyDescent="0.4"/>
    <row r="14155" s="5" customFormat="1" x14ac:dyDescent="0.4"/>
    <row r="14156" s="5" customFormat="1" x14ac:dyDescent="0.4"/>
    <row r="14157" s="5" customFormat="1" x14ac:dyDescent="0.4"/>
    <row r="14158" s="5" customFormat="1" x14ac:dyDescent="0.4"/>
    <row r="14159" s="5" customFormat="1" x14ac:dyDescent="0.4"/>
    <row r="14160" s="5" customFormat="1" x14ac:dyDescent="0.4"/>
    <row r="14161" s="5" customFormat="1" x14ac:dyDescent="0.4"/>
    <row r="14162" s="5" customFormat="1" x14ac:dyDescent="0.4"/>
    <row r="14163" s="5" customFormat="1" x14ac:dyDescent="0.4"/>
    <row r="14164" s="5" customFormat="1" x14ac:dyDescent="0.4"/>
    <row r="14165" s="5" customFormat="1" x14ac:dyDescent="0.4"/>
    <row r="14166" s="5" customFormat="1" x14ac:dyDescent="0.4"/>
    <row r="14167" s="5" customFormat="1" x14ac:dyDescent="0.4"/>
    <row r="14168" s="5" customFormat="1" x14ac:dyDescent="0.4"/>
    <row r="14169" s="5" customFormat="1" x14ac:dyDescent="0.4"/>
    <row r="14170" s="5" customFormat="1" x14ac:dyDescent="0.4"/>
    <row r="14171" s="5" customFormat="1" x14ac:dyDescent="0.4"/>
    <row r="14172" s="5" customFormat="1" x14ac:dyDescent="0.4"/>
    <row r="14173" s="5" customFormat="1" x14ac:dyDescent="0.4"/>
    <row r="14174" s="5" customFormat="1" x14ac:dyDescent="0.4"/>
    <row r="14175" s="5" customFormat="1" x14ac:dyDescent="0.4"/>
    <row r="14176" s="5" customFormat="1" x14ac:dyDescent="0.4"/>
    <row r="14177" s="5" customFormat="1" x14ac:dyDescent="0.4"/>
    <row r="14178" s="5" customFormat="1" x14ac:dyDescent="0.4"/>
    <row r="14179" s="5" customFormat="1" x14ac:dyDescent="0.4"/>
    <row r="14180" s="5" customFormat="1" x14ac:dyDescent="0.4"/>
    <row r="14181" s="5" customFormat="1" x14ac:dyDescent="0.4"/>
    <row r="14182" s="5" customFormat="1" x14ac:dyDescent="0.4"/>
    <row r="14183" s="5" customFormat="1" x14ac:dyDescent="0.4"/>
    <row r="14184" s="5" customFormat="1" x14ac:dyDescent="0.4"/>
    <row r="14185" s="5" customFormat="1" x14ac:dyDescent="0.4"/>
    <row r="14186" s="5" customFormat="1" x14ac:dyDescent="0.4"/>
    <row r="14187" s="5" customFormat="1" x14ac:dyDescent="0.4"/>
    <row r="14188" s="5" customFormat="1" x14ac:dyDescent="0.4"/>
    <row r="14189" s="5" customFormat="1" x14ac:dyDescent="0.4"/>
    <row r="14190" s="5" customFormat="1" x14ac:dyDescent="0.4"/>
    <row r="14191" s="5" customFormat="1" x14ac:dyDescent="0.4"/>
    <row r="14192" s="5" customFormat="1" x14ac:dyDescent="0.4"/>
    <row r="14193" s="5" customFormat="1" x14ac:dyDescent="0.4"/>
    <row r="14194" s="5" customFormat="1" x14ac:dyDescent="0.4"/>
    <row r="14195" s="5" customFormat="1" x14ac:dyDescent="0.4"/>
    <row r="14196" s="5" customFormat="1" x14ac:dyDescent="0.4"/>
    <row r="14197" s="5" customFormat="1" x14ac:dyDescent="0.4"/>
    <row r="14198" s="5" customFormat="1" x14ac:dyDescent="0.4"/>
    <row r="14199" s="5" customFormat="1" x14ac:dyDescent="0.4"/>
    <row r="14200" s="5" customFormat="1" x14ac:dyDescent="0.4"/>
    <row r="14201" s="5" customFormat="1" x14ac:dyDescent="0.4"/>
    <row r="14202" s="5" customFormat="1" x14ac:dyDescent="0.4"/>
    <row r="14203" s="5" customFormat="1" x14ac:dyDescent="0.4"/>
    <row r="14204" s="5" customFormat="1" x14ac:dyDescent="0.4"/>
    <row r="14205" s="5" customFormat="1" x14ac:dyDescent="0.4"/>
    <row r="14206" s="5" customFormat="1" x14ac:dyDescent="0.4"/>
    <row r="14207" s="5" customFormat="1" x14ac:dyDescent="0.4"/>
    <row r="14208" s="5" customFormat="1" x14ac:dyDescent="0.4"/>
    <row r="14209" s="5" customFormat="1" x14ac:dyDescent="0.4"/>
    <row r="14210" s="5" customFormat="1" x14ac:dyDescent="0.4"/>
    <row r="14211" s="5" customFormat="1" x14ac:dyDescent="0.4"/>
    <row r="14212" s="5" customFormat="1" x14ac:dyDescent="0.4"/>
    <row r="14213" s="5" customFormat="1" x14ac:dyDescent="0.4"/>
    <row r="14214" s="5" customFormat="1" x14ac:dyDescent="0.4"/>
    <row r="14215" s="5" customFormat="1" x14ac:dyDescent="0.4"/>
    <row r="14216" s="5" customFormat="1" x14ac:dyDescent="0.4"/>
    <row r="14217" s="5" customFormat="1" x14ac:dyDescent="0.4"/>
    <row r="14218" s="5" customFormat="1" x14ac:dyDescent="0.4"/>
    <row r="14219" s="5" customFormat="1" x14ac:dyDescent="0.4"/>
    <row r="14220" s="5" customFormat="1" x14ac:dyDescent="0.4"/>
    <row r="14221" s="5" customFormat="1" x14ac:dyDescent="0.4"/>
    <row r="14222" s="5" customFormat="1" x14ac:dyDescent="0.4"/>
    <row r="14223" s="5" customFormat="1" x14ac:dyDescent="0.4"/>
    <row r="14224" s="5" customFormat="1" x14ac:dyDescent="0.4"/>
    <row r="14225" s="5" customFormat="1" x14ac:dyDescent="0.4"/>
    <row r="14226" s="5" customFormat="1" x14ac:dyDescent="0.4"/>
    <row r="14227" s="5" customFormat="1" x14ac:dyDescent="0.4"/>
    <row r="14228" s="5" customFormat="1" x14ac:dyDescent="0.4"/>
    <row r="14229" s="5" customFormat="1" x14ac:dyDescent="0.4"/>
    <row r="14230" s="5" customFormat="1" x14ac:dyDescent="0.4"/>
    <row r="14231" s="5" customFormat="1" x14ac:dyDescent="0.4"/>
    <row r="14232" s="5" customFormat="1" x14ac:dyDescent="0.4"/>
    <row r="14233" s="5" customFormat="1" x14ac:dyDescent="0.4"/>
    <row r="14234" s="5" customFormat="1" x14ac:dyDescent="0.4"/>
    <row r="14235" s="5" customFormat="1" x14ac:dyDescent="0.4"/>
    <row r="14236" s="5" customFormat="1" x14ac:dyDescent="0.4"/>
    <row r="14237" s="5" customFormat="1" x14ac:dyDescent="0.4"/>
    <row r="14238" s="5" customFormat="1" x14ac:dyDescent="0.4"/>
    <row r="14239" s="5" customFormat="1" x14ac:dyDescent="0.4"/>
    <row r="14240" s="5" customFormat="1" x14ac:dyDescent="0.4"/>
    <row r="14241" s="5" customFormat="1" x14ac:dyDescent="0.4"/>
    <row r="14242" s="5" customFormat="1" x14ac:dyDescent="0.4"/>
    <row r="14243" s="5" customFormat="1" x14ac:dyDescent="0.4"/>
    <row r="14244" s="5" customFormat="1" x14ac:dyDescent="0.4"/>
    <row r="14245" s="5" customFormat="1" x14ac:dyDescent="0.4"/>
    <row r="14246" s="5" customFormat="1" x14ac:dyDescent="0.4"/>
    <row r="14247" s="5" customFormat="1" x14ac:dyDescent="0.4"/>
    <row r="14248" s="5" customFormat="1" x14ac:dyDescent="0.4"/>
    <row r="14249" s="5" customFormat="1" x14ac:dyDescent="0.4"/>
    <row r="14250" s="5" customFormat="1" x14ac:dyDescent="0.4"/>
    <row r="14251" s="5" customFormat="1" x14ac:dyDescent="0.4"/>
    <row r="14252" s="5" customFormat="1" x14ac:dyDescent="0.4"/>
    <row r="14253" s="5" customFormat="1" x14ac:dyDescent="0.4"/>
    <row r="14254" s="5" customFormat="1" x14ac:dyDescent="0.4"/>
    <row r="14255" s="5" customFormat="1" x14ac:dyDescent="0.4"/>
    <row r="14256" s="5" customFormat="1" x14ac:dyDescent="0.4"/>
    <row r="14257" s="5" customFormat="1" x14ac:dyDescent="0.4"/>
    <row r="14258" s="5" customFormat="1" x14ac:dyDescent="0.4"/>
    <row r="14259" s="5" customFormat="1" x14ac:dyDescent="0.4"/>
    <row r="14260" s="5" customFormat="1" x14ac:dyDescent="0.4"/>
    <row r="14261" s="5" customFormat="1" x14ac:dyDescent="0.4"/>
    <row r="14262" s="5" customFormat="1" x14ac:dyDescent="0.4"/>
    <row r="14263" s="5" customFormat="1" x14ac:dyDescent="0.4"/>
    <row r="14264" s="5" customFormat="1" x14ac:dyDescent="0.4"/>
    <row r="14265" s="5" customFormat="1" x14ac:dyDescent="0.4"/>
    <row r="14266" s="5" customFormat="1" x14ac:dyDescent="0.4"/>
    <row r="14267" s="5" customFormat="1" x14ac:dyDescent="0.4"/>
    <row r="14268" s="5" customFormat="1" x14ac:dyDescent="0.4"/>
    <row r="14269" s="5" customFormat="1" x14ac:dyDescent="0.4"/>
    <row r="14270" s="5" customFormat="1" x14ac:dyDescent="0.4"/>
    <row r="14271" s="5" customFormat="1" x14ac:dyDescent="0.4"/>
    <row r="14272" s="5" customFormat="1" x14ac:dyDescent="0.4"/>
    <row r="14273" s="5" customFormat="1" x14ac:dyDescent="0.4"/>
    <row r="14274" s="5" customFormat="1" x14ac:dyDescent="0.4"/>
    <row r="14275" s="5" customFormat="1" x14ac:dyDescent="0.4"/>
    <row r="14276" s="5" customFormat="1" x14ac:dyDescent="0.4"/>
    <row r="14277" s="5" customFormat="1" x14ac:dyDescent="0.4"/>
    <row r="14278" s="5" customFormat="1" x14ac:dyDescent="0.4"/>
    <row r="14279" s="5" customFormat="1" x14ac:dyDescent="0.4"/>
    <row r="14280" s="5" customFormat="1" x14ac:dyDescent="0.4"/>
    <row r="14281" s="5" customFormat="1" x14ac:dyDescent="0.4"/>
    <row r="14282" s="5" customFormat="1" x14ac:dyDescent="0.4"/>
    <row r="14283" s="5" customFormat="1" x14ac:dyDescent="0.4"/>
    <row r="14284" s="5" customFormat="1" x14ac:dyDescent="0.4"/>
    <row r="14285" s="5" customFormat="1" x14ac:dyDescent="0.4"/>
    <row r="14286" s="5" customFormat="1" x14ac:dyDescent="0.4"/>
    <row r="14287" s="5" customFormat="1" x14ac:dyDescent="0.4"/>
    <row r="14288" s="5" customFormat="1" x14ac:dyDescent="0.4"/>
    <row r="14289" s="5" customFormat="1" x14ac:dyDescent="0.4"/>
    <row r="14290" s="5" customFormat="1" x14ac:dyDescent="0.4"/>
    <row r="14291" s="5" customFormat="1" x14ac:dyDescent="0.4"/>
    <row r="14292" s="5" customFormat="1" x14ac:dyDescent="0.4"/>
    <row r="14293" s="5" customFormat="1" x14ac:dyDescent="0.4"/>
    <row r="14294" s="5" customFormat="1" x14ac:dyDescent="0.4"/>
    <row r="14295" s="5" customFormat="1" x14ac:dyDescent="0.4"/>
    <row r="14296" s="5" customFormat="1" x14ac:dyDescent="0.4"/>
    <row r="14297" s="5" customFormat="1" x14ac:dyDescent="0.4"/>
    <row r="14298" s="5" customFormat="1" x14ac:dyDescent="0.4"/>
    <row r="14299" s="5" customFormat="1" x14ac:dyDescent="0.4"/>
    <row r="14300" s="5" customFormat="1" x14ac:dyDescent="0.4"/>
    <row r="14301" s="5" customFormat="1" x14ac:dyDescent="0.4"/>
    <row r="14302" s="5" customFormat="1" x14ac:dyDescent="0.4"/>
    <row r="14303" s="5" customFormat="1" x14ac:dyDescent="0.4"/>
    <row r="14304" s="5" customFormat="1" x14ac:dyDescent="0.4"/>
    <row r="14305" s="5" customFormat="1" x14ac:dyDescent="0.4"/>
    <row r="14306" s="5" customFormat="1" x14ac:dyDescent="0.4"/>
    <row r="14307" s="5" customFormat="1" x14ac:dyDescent="0.4"/>
    <row r="14308" s="5" customFormat="1" x14ac:dyDescent="0.4"/>
    <row r="14309" s="5" customFormat="1" x14ac:dyDescent="0.4"/>
    <row r="14310" s="5" customFormat="1" x14ac:dyDescent="0.4"/>
    <row r="14311" s="5" customFormat="1" x14ac:dyDescent="0.4"/>
    <row r="14312" s="5" customFormat="1" x14ac:dyDescent="0.4"/>
    <row r="14313" s="5" customFormat="1" x14ac:dyDescent="0.4"/>
    <row r="14314" s="5" customFormat="1" x14ac:dyDescent="0.4"/>
    <row r="14315" s="5" customFormat="1" x14ac:dyDescent="0.4"/>
    <row r="14316" s="5" customFormat="1" x14ac:dyDescent="0.4"/>
    <row r="14317" s="5" customFormat="1" x14ac:dyDescent="0.4"/>
    <row r="14318" s="5" customFormat="1" x14ac:dyDescent="0.4"/>
    <row r="14319" s="5" customFormat="1" x14ac:dyDescent="0.4"/>
    <row r="14320" s="5" customFormat="1" x14ac:dyDescent="0.4"/>
    <row r="14321" s="5" customFormat="1" x14ac:dyDescent="0.4"/>
    <row r="14322" s="5" customFormat="1" x14ac:dyDescent="0.4"/>
    <row r="14323" s="5" customFormat="1" x14ac:dyDescent="0.4"/>
    <row r="14324" s="5" customFormat="1" x14ac:dyDescent="0.4"/>
    <row r="14325" s="5" customFormat="1" x14ac:dyDescent="0.4"/>
    <row r="14326" s="5" customFormat="1" x14ac:dyDescent="0.4"/>
    <row r="14327" s="5" customFormat="1" x14ac:dyDescent="0.4"/>
    <row r="14328" s="5" customFormat="1" x14ac:dyDescent="0.4"/>
    <row r="14329" s="5" customFormat="1" x14ac:dyDescent="0.4"/>
    <row r="14330" s="5" customFormat="1" x14ac:dyDescent="0.4"/>
    <row r="14331" s="5" customFormat="1" x14ac:dyDescent="0.4"/>
    <row r="14332" s="5" customFormat="1" x14ac:dyDescent="0.4"/>
    <row r="14333" s="5" customFormat="1" x14ac:dyDescent="0.4"/>
    <row r="14334" s="5" customFormat="1" x14ac:dyDescent="0.4"/>
    <row r="14335" s="5" customFormat="1" x14ac:dyDescent="0.4"/>
    <row r="14336" s="5" customFormat="1" x14ac:dyDescent="0.4"/>
    <row r="14337" s="5" customFormat="1" x14ac:dyDescent="0.4"/>
    <row r="14338" s="5" customFormat="1" x14ac:dyDescent="0.4"/>
    <row r="14339" s="5" customFormat="1" x14ac:dyDescent="0.4"/>
    <row r="14340" s="5" customFormat="1" x14ac:dyDescent="0.4"/>
    <row r="14341" s="5" customFormat="1" x14ac:dyDescent="0.4"/>
    <row r="14342" s="5" customFormat="1" x14ac:dyDescent="0.4"/>
    <row r="14343" s="5" customFormat="1" x14ac:dyDescent="0.4"/>
    <row r="14344" s="5" customFormat="1" x14ac:dyDescent="0.4"/>
    <row r="14345" s="5" customFormat="1" x14ac:dyDescent="0.4"/>
    <row r="14346" s="5" customFormat="1" x14ac:dyDescent="0.4"/>
    <row r="14347" s="5" customFormat="1" x14ac:dyDescent="0.4"/>
    <row r="14348" s="5" customFormat="1" x14ac:dyDescent="0.4"/>
    <row r="14349" s="5" customFormat="1" x14ac:dyDescent="0.4"/>
    <row r="14350" s="5" customFormat="1" x14ac:dyDescent="0.4"/>
    <row r="14351" s="5" customFormat="1" x14ac:dyDescent="0.4"/>
    <row r="14352" s="5" customFormat="1" x14ac:dyDescent="0.4"/>
    <row r="14353" s="5" customFormat="1" x14ac:dyDescent="0.4"/>
    <row r="14354" s="5" customFormat="1" x14ac:dyDescent="0.4"/>
    <row r="14355" s="5" customFormat="1" x14ac:dyDescent="0.4"/>
    <row r="14356" s="5" customFormat="1" x14ac:dyDescent="0.4"/>
    <row r="14357" s="5" customFormat="1" x14ac:dyDescent="0.4"/>
    <row r="14358" s="5" customFormat="1" x14ac:dyDescent="0.4"/>
    <row r="14359" s="5" customFormat="1" x14ac:dyDescent="0.4"/>
    <row r="14360" s="5" customFormat="1" x14ac:dyDescent="0.4"/>
    <row r="14361" s="5" customFormat="1" x14ac:dyDescent="0.4"/>
    <row r="14362" s="5" customFormat="1" x14ac:dyDescent="0.4"/>
    <row r="14363" s="5" customFormat="1" x14ac:dyDescent="0.4"/>
    <row r="14364" s="5" customFormat="1" x14ac:dyDescent="0.4"/>
    <row r="14365" s="5" customFormat="1" x14ac:dyDescent="0.4"/>
    <row r="14366" s="5" customFormat="1" x14ac:dyDescent="0.4"/>
    <row r="14367" s="5" customFormat="1" x14ac:dyDescent="0.4"/>
    <row r="14368" s="5" customFormat="1" x14ac:dyDescent="0.4"/>
    <row r="14369" s="5" customFormat="1" x14ac:dyDescent="0.4"/>
    <row r="14370" s="5" customFormat="1" x14ac:dyDescent="0.4"/>
    <row r="14371" s="5" customFormat="1" x14ac:dyDescent="0.4"/>
    <row r="14372" s="5" customFormat="1" x14ac:dyDescent="0.4"/>
    <row r="14373" s="5" customFormat="1" x14ac:dyDescent="0.4"/>
    <row r="14374" s="5" customFormat="1" x14ac:dyDescent="0.4"/>
    <row r="14375" s="5" customFormat="1" x14ac:dyDescent="0.4"/>
    <row r="14376" s="5" customFormat="1" x14ac:dyDescent="0.4"/>
    <row r="14377" s="5" customFormat="1" x14ac:dyDescent="0.4"/>
    <row r="14378" s="5" customFormat="1" x14ac:dyDescent="0.4"/>
    <row r="14379" s="5" customFormat="1" x14ac:dyDescent="0.4"/>
    <row r="14380" s="5" customFormat="1" x14ac:dyDescent="0.4"/>
    <row r="14381" s="5" customFormat="1" x14ac:dyDescent="0.4"/>
    <row r="14382" s="5" customFormat="1" x14ac:dyDescent="0.4"/>
    <row r="14383" s="5" customFormat="1" x14ac:dyDescent="0.4"/>
    <row r="14384" s="5" customFormat="1" x14ac:dyDescent="0.4"/>
    <row r="14385" s="5" customFormat="1" x14ac:dyDescent="0.4"/>
    <row r="14386" s="5" customFormat="1" x14ac:dyDescent="0.4"/>
    <row r="14387" s="5" customFormat="1" x14ac:dyDescent="0.4"/>
    <row r="14388" s="5" customFormat="1" x14ac:dyDescent="0.4"/>
    <row r="14389" s="5" customFormat="1" x14ac:dyDescent="0.4"/>
    <row r="14390" s="5" customFormat="1" x14ac:dyDescent="0.4"/>
    <row r="14391" s="5" customFormat="1" x14ac:dyDescent="0.4"/>
    <row r="14392" s="5" customFormat="1" x14ac:dyDescent="0.4"/>
    <row r="14393" s="5" customFormat="1" x14ac:dyDescent="0.4"/>
    <row r="14394" s="5" customFormat="1" x14ac:dyDescent="0.4"/>
    <row r="14395" s="5" customFormat="1" x14ac:dyDescent="0.4"/>
    <row r="14396" s="5" customFormat="1" x14ac:dyDescent="0.4"/>
    <row r="14397" s="5" customFormat="1" x14ac:dyDescent="0.4"/>
    <row r="14398" s="5" customFormat="1" x14ac:dyDescent="0.4"/>
    <row r="14399" s="5" customFormat="1" x14ac:dyDescent="0.4"/>
    <row r="14400" s="5" customFormat="1" x14ac:dyDescent="0.4"/>
    <row r="14401" s="5" customFormat="1" x14ac:dyDescent="0.4"/>
    <row r="14402" s="5" customFormat="1" x14ac:dyDescent="0.4"/>
    <row r="14403" s="5" customFormat="1" x14ac:dyDescent="0.4"/>
    <row r="14404" s="5" customFormat="1" x14ac:dyDescent="0.4"/>
    <row r="14405" s="5" customFormat="1" x14ac:dyDescent="0.4"/>
    <row r="14406" s="5" customFormat="1" x14ac:dyDescent="0.4"/>
    <row r="14407" s="5" customFormat="1" x14ac:dyDescent="0.4"/>
    <row r="14408" s="5" customFormat="1" x14ac:dyDescent="0.4"/>
    <row r="14409" s="5" customFormat="1" x14ac:dyDescent="0.4"/>
    <row r="14410" s="5" customFormat="1" x14ac:dyDescent="0.4"/>
    <row r="14411" s="5" customFormat="1" x14ac:dyDescent="0.4"/>
    <row r="14412" s="5" customFormat="1" x14ac:dyDescent="0.4"/>
    <row r="14413" s="5" customFormat="1" x14ac:dyDescent="0.4"/>
    <row r="14414" s="5" customFormat="1" x14ac:dyDescent="0.4"/>
    <row r="14415" s="5" customFormat="1" x14ac:dyDescent="0.4"/>
    <row r="14416" s="5" customFormat="1" x14ac:dyDescent="0.4"/>
    <row r="14417" s="5" customFormat="1" x14ac:dyDescent="0.4"/>
    <row r="14418" s="5" customFormat="1" x14ac:dyDescent="0.4"/>
    <row r="14419" s="5" customFormat="1" x14ac:dyDescent="0.4"/>
    <row r="14420" s="5" customFormat="1" x14ac:dyDescent="0.4"/>
    <row r="14421" s="5" customFormat="1" x14ac:dyDescent="0.4"/>
    <row r="14422" s="5" customFormat="1" x14ac:dyDescent="0.4"/>
    <row r="14423" s="5" customFormat="1" x14ac:dyDescent="0.4"/>
    <row r="14424" s="5" customFormat="1" x14ac:dyDescent="0.4"/>
    <row r="14425" s="5" customFormat="1" x14ac:dyDescent="0.4"/>
    <row r="14426" s="5" customFormat="1" x14ac:dyDescent="0.4"/>
    <row r="14427" s="5" customFormat="1" x14ac:dyDescent="0.4"/>
    <row r="14428" s="5" customFormat="1" x14ac:dyDescent="0.4"/>
    <row r="14429" s="5" customFormat="1" x14ac:dyDescent="0.4"/>
    <row r="14430" s="5" customFormat="1" x14ac:dyDescent="0.4"/>
    <row r="14431" s="5" customFormat="1" x14ac:dyDescent="0.4"/>
    <row r="14432" s="5" customFormat="1" x14ac:dyDescent="0.4"/>
    <row r="14433" s="5" customFormat="1" x14ac:dyDescent="0.4"/>
    <row r="14434" s="5" customFormat="1" x14ac:dyDescent="0.4"/>
    <row r="14435" s="5" customFormat="1" x14ac:dyDescent="0.4"/>
    <row r="14436" s="5" customFormat="1" x14ac:dyDescent="0.4"/>
    <row r="14437" s="5" customFormat="1" x14ac:dyDescent="0.4"/>
    <row r="14438" s="5" customFormat="1" x14ac:dyDescent="0.4"/>
    <row r="14439" s="5" customFormat="1" x14ac:dyDescent="0.4"/>
    <row r="14440" s="5" customFormat="1" x14ac:dyDescent="0.4"/>
    <row r="14441" s="5" customFormat="1" x14ac:dyDescent="0.4"/>
    <row r="14442" s="5" customFormat="1" x14ac:dyDescent="0.4"/>
    <row r="14443" s="5" customFormat="1" x14ac:dyDescent="0.4"/>
    <row r="14444" s="5" customFormat="1" x14ac:dyDescent="0.4"/>
    <row r="14445" s="5" customFormat="1" x14ac:dyDescent="0.4"/>
    <row r="14446" s="5" customFormat="1" x14ac:dyDescent="0.4"/>
    <row r="14447" s="5" customFormat="1" x14ac:dyDescent="0.4"/>
    <row r="14448" s="5" customFormat="1" x14ac:dyDescent="0.4"/>
    <row r="14449" s="5" customFormat="1" x14ac:dyDescent="0.4"/>
    <row r="14450" s="5" customFormat="1" x14ac:dyDescent="0.4"/>
    <row r="14451" s="5" customFormat="1" x14ac:dyDescent="0.4"/>
    <row r="14452" s="5" customFormat="1" x14ac:dyDescent="0.4"/>
    <row r="14453" s="5" customFormat="1" x14ac:dyDescent="0.4"/>
    <row r="14454" s="5" customFormat="1" x14ac:dyDescent="0.4"/>
    <row r="14455" s="5" customFormat="1" x14ac:dyDescent="0.4"/>
    <row r="14456" s="5" customFormat="1" x14ac:dyDescent="0.4"/>
    <row r="14457" s="5" customFormat="1" x14ac:dyDescent="0.4"/>
    <row r="14458" s="5" customFormat="1" x14ac:dyDescent="0.4"/>
    <row r="14459" s="5" customFormat="1" x14ac:dyDescent="0.4"/>
    <row r="14460" s="5" customFormat="1" x14ac:dyDescent="0.4"/>
    <row r="14461" s="5" customFormat="1" x14ac:dyDescent="0.4"/>
    <row r="14462" s="5" customFormat="1" x14ac:dyDescent="0.4"/>
    <row r="14463" s="5" customFormat="1" x14ac:dyDescent="0.4"/>
    <row r="14464" s="5" customFormat="1" x14ac:dyDescent="0.4"/>
    <row r="14465" s="5" customFormat="1" x14ac:dyDescent="0.4"/>
    <row r="14466" s="5" customFormat="1" x14ac:dyDescent="0.4"/>
    <row r="14467" s="5" customFormat="1" x14ac:dyDescent="0.4"/>
    <row r="14468" s="5" customFormat="1" x14ac:dyDescent="0.4"/>
    <row r="14469" s="5" customFormat="1" x14ac:dyDescent="0.4"/>
    <row r="14470" s="5" customFormat="1" x14ac:dyDescent="0.4"/>
    <row r="14471" s="5" customFormat="1" x14ac:dyDescent="0.4"/>
    <row r="14472" s="5" customFormat="1" x14ac:dyDescent="0.4"/>
    <row r="14473" s="5" customFormat="1" x14ac:dyDescent="0.4"/>
    <row r="14474" s="5" customFormat="1" x14ac:dyDescent="0.4"/>
    <row r="14475" s="5" customFormat="1" x14ac:dyDescent="0.4"/>
    <row r="14476" s="5" customFormat="1" x14ac:dyDescent="0.4"/>
    <row r="14477" s="5" customFormat="1" x14ac:dyDescent="0.4"/>
    <row r="14478" s="5" customFormat="1" x14ac:dyDescent="0.4"/>
    <row r="14479" s="5" customFormat="1" x14ac:dyDescent="0.4"/>
    <row r="14480" s="5" customFormat="1" x14ac:dyDescent="0.4"/>
    <row r="14481" s="5" customFormat="1" x14ac:dyDescent="0.4"/>
    <row r="14482" s="5" customFormat="1" x14ac:dyDescent="0.4"/>
    <row r="14483" s="5" customFormat="1" x14ac:dyDescent="0.4"/>
    <row r="14484" s="5" customFormat="1" x14ac:dyDescent="0.4"/>
    <row r="14485" s="5" customFormat="1" x14ac:dyDescent="0.4"/>
    <row r="14486" s="5" customFormat="1" x14ac:dyDescent="0.4"/>
    <row r="14487" s="5" customFormat="1" x14ac:dyDescent="0.4"/>
    <row r="14488" s="5" customFormat="1" x14ac:dyDescent="0.4"/>
    <row r="14489" s="5" customFormat="1" x14ac:dyDescent="0.4"/>
    <row r="14490" s="5" customFormat="1" x14ac:dyDescent="0.4"/>
    <row r="14491" s="5" customFormat="1" x14ac:dyDescent="0.4"/>
    <row r="14492" s="5" customFormat="1" x14ac:dyDescent="0.4"/>
    <row r="14493" s="5" customFormat="1" x14ac:dyDescent="0.4"/>
    <row r="14494" s="5" customFormat="1" x14ac:dyDescent="0.4"/>
    <row r="14495" s="5" customFormat="1" x14ac:dyDescent="0.4"/>
    <row r="14496" s="5" customFormat="1" x14ac:dyDescent="0.4"/>
    <row r="14497" s="5" customFormat="1" x14ac:dyDescent="0.4"/>
    <row r="14498" s="5" customFormat="1" x14ac:dyDescent="0.4"/>
    <row r="14499" s="5" customFormat="1" x14ac:dyDescent="0.4"/>
    <row r="14500" s="5" customFormat="1" x14ac:dyDescent="0.4"/>
    <row r="14501" s="5" customFormat="1" x14ac:dyDescent="0.4"/>
    <row r="14502" s="5" customFormat="1" x14ac:dyDescent="0.4"/>
    <row r="14503" s="5" customFormat="1" x14ac:dyDescent="0.4"/>
    <row r="14504" s="5" customFormat="1" x14ac:dyDescent="0.4"/>
    <row r="14505" s="5" customFormat="1" x14ac:dyDescent="0.4"/>
    <row r="14506" s="5" customFormat="1" x14ac:dyDescent="0.4"/>
    <row r="14507" s="5" customFormat="1" x14ac:dyDescent="0.4"/>
    <row r="14508" s="5" customFormat="1" x14ac:dyDescent="0.4"/>
    <row r="14509" s="5" customFormat="1" x14ac:dyDescent="0.4"/>
    <row r="14510" s="5" customFormat="1" x14ac:dyDescent="0.4"/>
    <row r="14511" s="5" customFormat="1" x14ac:dyDescent="0.4"/>
    <row r="14512" s="5" customFormat="1" x14ac:dyDescent="0.4"/>
    <row r="14513" s="5" customFormat="1" x14ac:dyDescent="0.4"/>
    <row r="14514" s="5" customFormat="1" x14ac:dyDescent="0.4"/>
    <row r="14515" s="5" customFormat="1" x14ac:dyDescent="0.4"/>
    <row r="14516" s="5" customFormat="1" x14ac:dyDescent="0.4"/>
    <row r="14517" s="5" customFormat="1" x14ac:dyDescent="0.4"/>
    <row r="14518" s="5" customFormat="1" x14ac:dyDescent="0.4"/>
    <row r="14519" s="5" customFormat="1" x14ac:dyDescent="0.4"/>
    <row r="14520" s="5" customFormat="1" x14ac:dyDescent="0.4"/>
    <row r="14521" s="5" customFormat="1" x14ac:dyDescent="0.4"/>
    <row r="14522" s="5" customFormat="1" x14ac:dyDescent="0.4"/>
    <row r="14523" s="5" customFormat="1" x14ac:dyDescent="0.4"/>
    <row r="14524" s="5" customFormat="1" x14ac:dyDescent="0.4"/>
    <row r="14525" s="5" customFormat="1" x14ac:dyDescent="0.4"/>
    <row r="14526" s="5" customFormat="1" x14ac:dyDescent="0.4"/>
    <row r="14527" s="5" customFormat="1" x14ac:dyDescent="0.4"/>
    <row r="14528" s="5" customFormat="1" x14ac:dyDescent="0.4"/>
    <row r="14529" s="5" customFormat="1" x14ac:dyDescent="0.4"/>
    <row r="14530" s="5" customFormat="1" x14ac:dyDescent="0.4"/>
    <row r="14531" s="5" customFormat="1" x14ac:dyDescent="0.4"/>
    <row r="14532" s="5" customFormat="1" x14ac:dyDescent="0.4"/>
    <row r="14533" s="5" customFormat="1" x14ac:dyDescent="0.4"/>
    <row r="14534" s="5" customFormat="1" x14ac:dyDescent="0.4"/>
    <row r="14535" s="5" customFormat="1" x14ac:dyDescent="0.4"/>
    <row r="14536" s="5" customFormat="1" x14ac:dyDescent="0.4"/>
    <row r="14537" s="5" customFormat="1" x14ac:dyDescent="0.4"/>
    <row r="14538" s="5" customFormat="1" x14ac:dyDescent="0.4"/>
    <row r="14539" s="5" customFormat="1" x14ac:dyDescent="0.4"/>
    <row r="14540" s="5" customFormat="1" x14ac:dyDescent="0.4"/>
    <row r="14541" s="5" customFormat="1" x14ac:dyDescent="0.4"/>
    <row r="14542" s="5" customFormat="1" x14ac:dyDescent="0.4"/>
    <row r="14543" s="5" customFormat="1" x14ac:dyDescent="0.4"/>
    <row r="14544" s="5" customFormat="1" x14ac:dyDescent="0.4"/>
    <row r="14545" s="5" customFormat="1" x14ac:dyDescent="0.4"/>
    <row r="14546" s="5" customFormat="1" x14ac:dyDescent="0.4"/>
    <row r="14547" s="5" customFormat="1" x14ac:dyDescent="0.4"/>
    <row r="14548" s="5" customFormat="1" x14ac:dyDescent="0.4"/>
    <row r="14549" s="5" customFormat="1" x14ac:dyDescent="0.4"/>
    <row r="14550" s="5" customFormat="1" x14ac:dyDescent="0.4"/>
    <row r="14551" s="5" customFormat="1" x14ac:dyDescent="0.4"/>
    <row r="14552" s="5" customFormat="1" x14ac:dyDescent="0.4"/>
    <row r="14553" s="5" customFormat="1" x14ac:dyDescent="0.4"/>
    <row r="14554" s="5" customFormat="1" x14ac:dyDescent="0.4"/>
    <row r="14555" s="5" customFormat="1" x14ac:dyDescent="0.4"/>
    <row r="14556" s="5" customFormat="1" x14ac:dyDescent="0.4"/>
    <row r="14557" s="5" customFormat="1" x14ac:dyDescent="0.4"/>
    <row r="14558" s="5" customFormat="1" x14ac:dyDescent="0.4"/>
    <row r="14559" s="5" customFormat="1" x14ac:dyDescent="0.4"/>
    <row r="14560" s="5" customFormat="1" x14ac:dyDescent="0.4"/>
    <row r="14561" s="5" customFormat="1" x14ac:dyDescent="0.4"/>
    <row r="14562" s="5" customFormat="1" x14ac:dyDescent="0.4"/>
    <row r="14563" s="5" customFormat="1" x14ac:dyDescent="0.4"/>
    <row r="14564" s="5" customFormat="1" x14ac:dyDescent="0.4"/>
    <row r="14565" s="5" customFormat="1" x14ac:dyDescent="0.4"/>
    <row r="14566" s="5" customFormat="1" x14ac:dyDescent="0.4"/>
    <row r="14567" s="5" customFormat="1" x14ac:dyDescent="0.4"/>
    <row r="14568" s="5" customFormat="1" x14ac:dyDescent="0.4"/>
    <row r="14569" s="5" customFormat="1" x14ac:dyDescent="0.4"/>
    <row r="14570" s="5" customFormat="1" x14ac:dyDescent="0.4"/>
    <row r="14571" s="5" customFormat="1" x14ac:dyDescent="0.4"/>
    <row r="14572" s="5" customFormat="1" x14ac:dyDescent="0.4"/>
    <row r="14573" s="5" customFormat="1" x14ac:dyDescent="0.4"/>
    <row r="14574" s="5" customFormat="1" x14ac:dyDescent="0.4"/>
    <row r="14575" s="5" customFormat="1" x14ac:dyDescent="0.4"/>
    <row r="14576" s="5" customFormat="1" x14ac:dyDescent="0.4"/>
    <row r="14577" s="5" customFormat="1" x14ac:dyDescent="0.4"/>
    <row r="14578" s="5" customFormat="1" x14ac:dyDescent="0.4"/>
    <row r="14579" s="5" customFormat="1" x14ac:dyDescent="0.4"/>
    <row r="14580" s="5" customFormat="1" x14ac:dyDescent="0.4"/>
    <row r="14581" s="5" customFormat="1" x14ac:dyDescent="0.4"/>
    <row r="14582" s="5" customFormat="1" x14ac:dyDescent="0.4"/>
    <row r="14583" s="5" customFormat="1" x14ac:dyDescent="0.4"/>
    <row r="14584" s="5" customFormat="1" x14ac:dyDescent="0.4"/>
    <row r="14585" s="5" customFormat="1" x14ac:dyDescent="0.4"/>
    <row r="14586" s="5" customFormat="1" x14ac:dyDescent="0.4"/>
    <row r="14587" s="5" customFormat="1" x14ac:dyDescent="0.4"/>
    <row r="14588" s="5" customFormat="1" x14ac:dyDescent="0.4"/>
    <row r="14589" s="5" customFormat="1" x14ac:dyDescent="0.4"/>
    <row r="14590" s="5" customFormat="1" x14ac:dyDescent="0.4"/>
    <row r="14591" s="5" customFormat="1" x14ac:dyDescent="0.4"/>
    <row r="14592" s="5" customFormat="1" x14ac:dyDescent="0.4"/>
    <row r="14593" s="5" customFormat="1" x14ac:dyDescent="0.4"/>
    <row r="14594" s="5" customFormat="1" x14ac:dyDescent="0.4"/>
    <row r="14595" s="5" customFormat="1" x14ac:dyDescent="0.4"/>
    <row r="14596" s="5" customFormat="1" x14ac:dyDescent="0.4"/>
    <row r="14597" s="5" customFormat="1" x14ac:dyDescent="0.4"/>
    <row r="14598" s="5" customFormat="1" x14ac:dyDescent="0.4"/>
    <row r="14599" s="5" customFormat="1" x14ac:dyDescent="0.4"/>
    <row r="14600" s="5" customFormat="1" x14ac:dyDescent="0.4"/>
    <row r="14601" s="5" customFormat="1" x14ac:dyDescent="0.4"/>
    <row r="14602" s="5" customFormat="1" x14ac:dyDescent="0.4"/>
    <row r="14603" s="5" customFormat="1" x14ac:dyDescent="0.4"/>
    <row r="14604" s="5" customFormat="1" x14ac:dyDescent="0.4"/>
    <row r="14605" s="5" customFormat="1" x14ac:dyDescent="0.4"/>
    <row r="14606" s="5" customFormat="1" x14ac:dyDescent="0.4"/>
    <row r="14607" s="5" customFormat="1" x14ac:dyDescent="0.4"/>
    <row r="14608" s="5" customFormat="1" x14ac:dyDescent="0.4"/>
    <row r="14609" s="5" customFormat="1" x14ac:dyDescent="0.4"/>
    <row r="14610" s="5" customFormat="1" x14ac:dyDescent="0.4"/>
    <row r="14611" s="5" customFormat="1" x14ac:dyDescent="0.4"/>
    <row r="14612" s="5" customFormat="1" x14ac:dyDescent="0.4"/>
    <row r="14613" s="5" customFormat="1" x14ac:dyDescent="0.4"/>
    <row r="14614" s="5" customFormat="1" x14ac:dyDescent="0.4"/>
    <row r="14615" s="5" customFormat="1" x14ac:dyDescent="0.4"/>
    <row r="14616" s="5" customFormat="1" x14ac:dyDescent="0.4"/>
    <row r="14617" s="5" customFormat="1" x14ac:dyDescent="0.4"/>
    <row r="14618" s="5" customFormat="1" x14ac:dyDescent="0.4"/>
    <row r="14619" s="5" customFormat="1" x14ac:dyDescent="0.4"/>
    <row r="14620" s="5" customFormat="1" x14ac:dyDescent="0.4"/>
    <row r="14621" s="5" customFormat="1" x14ac:dyDescent="0.4"/>
    <row r="14622" s="5" customFormat="1" x14ac:dyDescent="0.4"/>
    <row r="14623" s="5" customFormat="1" x14ac:dyDescent="0.4"/>
    <row r="14624" s="5" customFormat="1" x14ac:dyDescent="0.4"/>
    <row r="14625" s="5" customFormat="1" x14ac:dyDescent="0.4"/>
    <row r="14626" s="5" customFormat="1" x14ac:dyDescent="0.4"/>
    <row r="14627" s="5" customFormat="1" x14ac:dyDescent="0.4"/>
    <row r="14628" s="5" customFormat="1" x14ac:dyDescent="0.4"/>
    <row r="14629" s="5" customFormat="1" x14ac:dyDescent="0.4"/>
    <row r="14630" s="5" customFormat="1" x14ac:dyDescent="0.4"/>
    <row r="14631" s="5" customFormat="1" x14ac:dyDescent="0.4"/>
    <row r="14632" s="5" customFormat="1" x14ac:dyDescent="0.4"/>
    <row r="14633" s="5" customFormat="1" x14ac:dyDescent="0.4"/>
    <row r="14634" s="5" customFormat="1" x14ac:dyDescent="0.4"/>
    <row r="14635" s="5" customFormat="1" x14ac:dyDescent="0.4"/>
    <row r="14636" s="5" customFormat="1" x14ac:dyDescent="0.4"/>
    <row r="14637" s="5" customFormat="1" x14ac:dyDescent="0.4"/>
    <row r="14638" s="5" customFormat="1" x14ac:dyDescent="0.4"/>
    <row r="14639" s="5" customFormat="1" x14ac:dyDescent="0.4"/>
    <row r="14640" s="5" customFormat="1" x14ac:dyDescent="0.4"/>
    <row r="14641" s="5" customFormat="1" x14ac:dyDescent="0.4"/>
    <row r="14642" s="5" customFormat="1" x14ac:dyDescent="0.4"/>
    <row r="14643" s="5" customFormat="1" x14ac:dyDescent="0.4"/>
    <row r="14644" s="5" customFormat="1" x14ac:dyDescent="0.4"/>
    <row r="14645" s="5" customFormat="1" x14ac:dyDescent="0.4"/>
    <row r="14646" s="5" customFormat="1" x14ac:dyDescent="0.4"/>
    <row r="14647" s="5" customFormat="1" x14ac:dyDescent="0.4"/>
    <row r="14648" s="5" customFormat="1" x14ac:dyDescent="0.4"/>
    <row r="14649" s="5" customFormat="1" x14ac:dyDescent="0.4"/>
    <row r="14650" s="5" customFormat="1" x14ac:dyDescent="0.4"/>
    <row r="14651" s="5" customFormat="1" x14ac:dyDescent="0.4"/>
    <row r="14652" s="5" customFormat="1" x14ac:dyDescent="0.4"/>
    <row r="14653" s="5" customFormat="1" x14ac:dyDescent="0.4"/>
    <row r="14654" s="5" customFormat="1" x14ac:dyDescent="0.4"/>
    <row r="14655" s="5" customFormat="1" x14ac:dyDescent="0.4"/>
    <row r="14656" s="5" customFormat="1" x14ac:dyDescent="0.4"/>
    <row r="14657" s="5" customFormat="1" x14ac:dyDescent="0.4"/>
    <row r="14658" s="5" customFormat="1" x14ac:dyDescent="0.4"/>
    <row r="14659" s="5" customFormat="1" x14ac:dyDescent="0.4"/>
    <row r="14660" s="5" customFormat="1" x14ac:dyDescent="0.4"/>
    <row r="14661" s="5" customFormat="1" x14ac:dyDescent="0.4"/>
    <row r="14662" s="5" customFormat="1" x14ac:dyDescent="0.4"/>
    <row r="14663" s="5" customFormat="1" x14ac:dyDescent="0.4"/>
    <row r="14664" s="5" customFormat="1" x14ac:dyDescent="0.4"/>
    <row r="14665" s="5" customFormat="1" x14ac:dyDescent="0.4"/>
    <row r="14666" s="5" customFormat="1" x14ac:dyDescent="0.4"/>
    <row r="14667" s="5" customFormat="1" x14ac:dyDescent="0.4"/>
    <row r="14668" s="5" customFormat="1" x14ac:dyDescent="0.4"/>
    <row r="14669" s="5" customFormat="1" x14ac:dyDescent="0.4"/>
    <row r="14670" s="5" customFormat="1" x14ac:dyDescent="0.4"/>
    <row r="14671" s="5" customFormat="1" x14ac:dyDescent="0.4"/>
    <row r="14672" s="5" customFormat="1" x14ac:dyDescent="0.4"/>
    <row r="14673" s="5" customFormat="1" x14ac:dyDescent="0.4"/>
    <row r="14674" s="5" customFormat="1" x14ac:dyDescent="0.4"/>
    <row r="14675" s="5" customFormat="1" x14ac:dyDescent="0.4"/>
    <row r="14676" s="5" customFormat="1" x14ac:dyDescent="0.4"/>
    <row r="14677" s="5" customFormat="1" x14ac:dyDescent="0.4"/>
    <row r="14678" s="5" customFormat="1" x14ac:dyDescent="0.4"/>
    <row r="14679" s="5" customFormat="1" x14ac:dyDescent="0.4"/>
    <row r="14680" s="5" customFormat="1" x14ac:dyDescent="0.4"/>
    <row r="14681" s="5" customFormat="1" x14ac:dyDescent="0.4"/>
    <row r="14682" s="5" customFormat="1" x14ac:dyDescent="0.4"/>
    <row r="14683" s="5" customFormat="1" x14ac:dyDescent="0.4"/>
    <row r="14684" s="5" customFormat="1" x14ac:dyDescent="0.4"/>
    <row r="14685" s="5" customFormat="1" x14ac:dyDescent="0.4"/>
    <row r="14686" s="5" customFormat="1" x14ac:dyDescent="0.4"/>
    <row r="14687" s="5" customFormat="1" x14ac:dyDescent="0.4"/>
    <row r="14688" s="5" customFormat="1" x14ac:dyDescent="0.4"/>
    <row r="14689" s="5" customFormat="1" x14ac:dyDescent="0.4"/>
    <row r="14690" s="5" customFormat="1" x14ac:dyDescent="0.4"/>
    <row r="14691" s="5" customFormat="1" x14ac:dyDescent="0.4"/>
    <row r="14692" s="5" customFormat="1" x14ac:dyDescent="0.4"/>
    <row r="14693" s="5" customFormat="1" x14ac:dyDescent="0.4"/>
    <row r="14694" s="5" customFormat="1" x14ac:dyDescent="0.4"/>
    <row r="14695" s="5" customFormat="1" x14ac:dyDescent="0.4"/>
    <row r="14696" s="5" customFormat="1" x14ac:dyDescent="0.4"/>
    <row r="14697" s="5" customFormat="1" x14ac:dyDescent="0.4"/>
    <row r="14698" s="5" customFormat="1" x14ac:dyDescent="0.4"/>
    <row r="14699" s="5" customFormat="1" x14ac:dyDescent="0.4"/>
    <row r="14700" s="5" customFormat="1" x14ac:dyDescent="0.4"/>
    <row r="14701" s="5" customFormat="1" x14ac:dyDescent="0.4"/>
    <row r="14702" s="5" customFormat="1" x14ac:dyDescent="0.4"/>
    <row r="14703" s="5" customFormat="1" x14ac:dyDescent="0.4"/>
    <row r="14704" s="5" customFormat="1" x14ac:dyDescent="0.4"/>
    <row r="14705" s="5" customFormat="1" x14ac:dyDescent="0.4"/>
    <row r="14706" s="5" customFormat="1" x14ac:dyDescent="0.4"/>
    <row r="14707" s="5" customFormat="1" x14ac:dyDescent="0.4"/>
    <row r="14708" s="5" customFormat="1" x14ac:dyDescent="0.4"/>
    <row r="14709" s="5" customFormat="1" x14ac:dyDescent="0.4"/>
    <row r="14710" s="5" customFormat="1" x14ac:dyDescent="0.4"/>
    <row r="14711" s="5" customFormat="1" x14ac:dyDescent="0.4"/>
    <row r="14712" s="5" customFormat="1" x14ac:dyDescent="0.4"/>
    <row r="14713" s="5" customFormat="1" x14ac:dyDescent="0.4"/>
    <row r="14714" s="5" customFormat="1" x14ac:dyDescent="0.4"/>
    <row r="14715" s="5" customFormat="1" x14ac:dyDescent="0.4"/>
    <row r="14716" s="5" customFormat="1" x14ac:dyDescent="0.4"/>
    <row r="14717" s="5" customFormat="1" x14ac:dyDescent="0.4"/>
    <row r="14718" s="5" customFormat="1" x14ac:dyDescent="0.4"/>
    <row r="14719" s="5" customFormat="1" x14ac:dyDescent="0.4"/>
    <row r="14720" s="5" customFormat="1" x14ac:dyDescent="0.4"/>
    <row r="14721" s="5" customFormat="1" x14ac:dyDescent="0.4"/>
    <row r="14722" s="5" customFormat="1" x14ac:dyDescent="0.4"/>
    <row r="14723" s="5" customFormat="1" x14ac:dyDescent="0.4"/>
    <row r="14724" s="5" customFormat="1" x14ac:dyDescent="0.4"/>
    <row r="14725" s="5" customFormat="1" x14ac:dyDescent="0.4"/>
    <row r="14726" s="5" customFormat="1" x14ac:dyDescent="0.4"/>
    <row r="14727" s="5" customFormat="1" x14ac:dyDescent="0.4"/>
    <row r="14728" s="5" customFormat="1" x14ac:dyDescent="0.4"/>
    <row r="14729" s="5" customFormat="1" x14ac:dyDescent="0.4"/>
    <row r="14730" s="5" customFormat="1" x14ac:dyDescent="0.4"/>
    <row r="14731" s="5" customFormat="1" x14ac:dyDescent="0.4"/>
    <row r="14732" s="5" customFormat="1" x14ac:dyDescent="0.4"/>
    <row r="14733" s="5" customFormat="1" x14ac:dyDescent="0.4"/>
    <row r="14734" s="5" customFormat="1" x14ac:dyDescent="0.4"/>
    <row r="14735" s="5" customFormat="1" x14ac:dyDescent="0.4"/>
    <row r="14736" s="5" customFormat="1" x14ac:dyDescent="0.4"/>
    <row r="14737" s="5" customFormat="1" x14ac:dyDescent="0.4"/>
    <row r="14738" s="5" customFormat="1" x14ac:dyDescent="0.4"/>
    <row r="14739" s="5" customFormat="1" x14ac:dyDescent="0.4"/>
    <row r="14740" s="5" customFormat="1" x14ac:dyDescent="0.4"/>
    <row r="14741" s="5" customFormat="1" x14ac:dyDescent="0.4"/>
    <row r="14742" s="5" customFormat="1" x14ac:dyDescent="0.4"/>
    <row r="14743" s="5" customFormat="1" x14ac:dyDescent="0.4"/>
    <row r="14744" s="5" customFormat="1" x14ac:dyDescent="0.4"/>
    <row r="14745" s="5" customFormat="1" x14ac:dyDescent="0.4"/>
    <row r="14746" s="5" customFormat="1" x14ac:dyDescent="0.4"/>
    <row r="14747" s="5" customFormat="1" x14ac:dyDescent="0.4"/>
    <row r="14748" s="5" customFormat="1" x14ac:dyDescent="0.4"/>
    <row r="14749" s="5" customFormat="1" x14ac:dyDescent="0.4"/>
    <row r="14750" s="5" customFormat="1" x14ac:dyDescent="0.4"/>
    <row r="14751" s="5" customFormat="1" x14ac:dyDescent="0.4"/>
    <row r="14752" s="5" customFormat="1" x14ac:dyDescent="0.4"/>
    <row r="14753" s="5" customFormat="1" x14ac:dyDescent="0.4"/>
    <row r="14754" s="5" customFormat="1" x14ac:dyDescent="0.4"/>
    <row r="14755" s="5" customFormat="1" x14ac:dyDescent="0.4"/>
    <row r="14756" s="5" customFormat="1" x14ac:dyDescent="0.4"/>
    <row r="14757" s="5" customFormat="1" x14ac:dyDescent="0.4"/>
    <row r="14758" s="5" customFormat="1" x14ac:dyDescent="0.4"/>
    <row r="14759" s="5" customFormat="1" x14ac:dyDescent="0.4"/>
    <row r="14760" s="5" customFormat="1" x14ac:dyDescent="0.4"/>
    <row r="14761" s="5" customFormat="1" x14ac:dyDescent="0.4"/>
    <row r="14762" s="5" customFormat="1" x14ac:dyDescent="0.4"/>
    <row r="14763" s="5" customFormat="1" x14ac:dyDescent="0.4"/>
    <row r="14764" s="5" customFormat="1" x14ac:dyDescent="0.4"/>
    <row r="14765" s="5" customFormat="1" x14ac:dyDescent="0.4"/>
    <row r="14766" s="5" customFormat="1" x14ac:dyDescent="0.4"/>
    <row r="14767" s="5" customFormat="1" x14ac:dyDescent="0.4"/>
    <row r="14768" s="5" customFormat="1" x14ac:dyDescent="0.4"/>
    <row r="14769" s="5" customFormat="1" x14ac:dyDescent="0.4"/>
    <row r="14770" s="5" customFormat="1" x14ac:dyDescent="0.4"/>
    <row r="14771" s="5" customFormat="1" x14ac:dyDescent="0.4"/>
    <row r="14772" s="5" customFormat="1" x14ac:dyDescent="0.4"/>
    <row r="14773" s="5" customFormat="1" x14ac:dyDescent="0.4"/>
    <row r="14774" s="5" customFormat="1" x14ac:dyDescent="0.4"/>
    <row r="14775" s="5" customFormat="1" x14ac:dyDescent="0.4"/>
    <row r="14776" s="5" customFormat="1" x14ac:dyDescent="0.4"/>
    <row r="14777" s="5" customFormat="1" x14ac:dyDescent="0.4"/>
    <row r="14778" s="5" customFormat="1" x14ac:dyDescent="0.4"/>
    <row r="14779" s="5" customFormat="1" x14ac:dyDescent="0.4"/>
    <row r="14780" s="5" customFormat="1" x14ac:dyDescent="0.4"/>
    <row r="14781" s="5" customFormat="1" x14ac:dyDescent="0.4"/>
    <row r="14782" s="5" customFormat="1" x14ac:dyDescent="0.4"/>
    <row r="14783" s="5" customFormat="1" x14ac:dyDescent="0.4"/>
    <row r="14784" s="5" customFormat="1" x14ac:dyDescent="0.4"/>
    <row r="14785" s="5" customFormat="1" x14ac:dyDescent="0.4"/>
    <row r="14786" s="5" customFormat="1" x14ac:dyDescent="0.4"/>
    <row r="14787" s="5" customFormat="1" x14ac:dyDescent="0.4"/>
    <row r="14788" s="5" customFormat="1" x14ac:dyDescent="0.4"/>
    <row r="14789" s="5" customFormat="1" x14ac:dyDescent="0.4"/>
    <row r="14790" s="5" customFormat="1" x14ac:dyDescent="0.4"/>
    <row r="14791" s="5" customFormat="1" x14ac:dyDescent="0.4"/>
    <row r="14792" s="5" customFormat="1" x14ac:dyDescent="0.4"/>
    <row r="14793" s="5" customFormat="1" x14ac:dyDescent="0.4"/>
    <row r="14794" s="5" customFormat="1" x14ac:dyDescent="0.4"/>
    <row r="14795" s="5" customFormat="1" x14ac:dyDescent="0.4"/>
    <row r="14796" s="5" customFormat="1" x14ac:dyDescent="0.4"/>
    <row r="14797" s="5" customFormat="1" x14ac:dyDescent="0.4"/>
    <row r="14798" s="5" customFormat="1" x14ac:dyDescent="0.4"/>
    <row r="14799" s="5" customFormat="1" x14ac:dyDescent="0.4"/>
    <row r="14800" s="5" customFormat="1" x14ac:dyDescent="0.4"/>
    <row r="14801" s="5" customFormat="1" x14ac:dyDescent="0.4"/>
    <row r="14802" s="5" customFormat="1" x14ac:dyDescent="0.4"/>
    <row r="14803" s="5" customFormat="1" x14ac:dyDescent="0.4"/>
    <row r="14804" s="5" customFormat="1" x14ac:dyDescent="0.4"/>
    <row r="14805" s="5" customFormat="1" x14ac:dyDescent="0.4"/>
    <row r="14806" s="5" customFormat="1" x14ac:dyDescent="0.4"/>
    <row r="14807" s="5" customFormat="1" x14ac:dyDescent="0.4"/>
    <row r="14808" s="5" customFormat="1" x14ac:dyDescent="0.4"/>
    <row r="14809" s="5" customFormat="1" x14ac:dyDescent="0.4"/>
    <row r="14810" s="5" customFormat="1" x14ac:dyDescent="0.4"/>
    <row r="14811" s="5" customFormat="1" x14ac:dyDescent="0.4"/>
    <row r="14812" s="5" customFormat="1" x14ac:dyDescent="0.4"/>
    <row r="14813" s="5" customFormat="1" x14ac:dyDescent="0.4"/>
    <row r="14814" s="5" customFormat="1" x14ac:dyDescent="0.4"/>
    <row r="14815" s="5" customFormat="1" x14ac:dyDescent="0.4"/>
    <row r="14816" s="5" customFormat="1" x14ac:dyDescent="0.4"/>
    <row r="14817" s="5" customFormat="1" x14ac:dyDescent="0.4"/>
    <row r="14818" s="5" customFormat="1" x14ac:dyDescent="0.4"/>
    <row r="14819" s="5" customFormat="1" x14ac:dyDescent="0.4"/>
    <row r="14820" s="5" customFormat="1" x14ac:dyDescent="0.4"/>
    <row r="14821" s="5" customFormat="1" x14ac:dyDescent="0.4"/>
    <row r="14822" s="5" customFormat="1" x14ac:dyDescent="0.4"/>
    <row r="14823" s="5" customFormat="1" x14ac:dyDescent="0.4"/>
    <row r="14824" s="5" customFormat="1" x14ac:dyDescent="0.4"/>
    <row r="14825" s="5" customFormat="1" x14ac:dyDescent="0.4"/>
    <row r="14826" s="5" customFormat="1" x14ac:dyDescent="0.4"/>
    <row r="14827" s="5" customFormat="1" x14ac:dyDescent="0.4"/>
    <row r="14828" s="5" customFormat="1" x14ac:dyDescent="0.4"/>
    <row r="14829" s="5" customFormat="1" x14ac:dyDescent="0.4"/>
    <row r="14830" s="5" customFormat="1" x14ac:dyDescent="0.4"/>
    <row r="14831" s="5" customFormat="1" x14ac:dyDescent="0.4"/>
    <row r="14832" s="5" customFormat="1" x14ac:dyDescent="0.4"/>
    <row r="14833" s="5" customFormat="1" x14ac:dyDescent="0.4"/>
    <row r="14834" s="5" customFormat="1" x14ac:dyDescent="0.4"/>
    <row r="14835" s="5" customFormat="1" x14ac:dyDescent="0.4"/>
    <row r="14836" s="5" customFormat="1" x14ac:dyDescent="0.4"/>
    <row r="14837" s="5" customFormat="1" x14ac:dyDescent="0.4"/>
    <row r="14838" s="5" customFormat="1" x14ac:dyDescent="0.4"/>
    <row r="14839" s="5" customFormat="1" x14ac:dyDescent="0.4"/>
    <row r="14840" s="5" customFormat="1" x14ac:dyDescent="0.4"/>
    <row r="14841" s="5" customFormat="1" x14ac:dyDescent="0.4"/>
    <row r="14842" s="5" customFormat="1" x14ac:dyDescent="0.4"/>
    <row r="14843" s="5" customFormat="1" x14ac:dyDescent="0.4"/>
    <row r="14844" s="5" customFormat="1" x14ac:dyDescent="0.4"/>
    <row r="14845" s="5" customFormat="1" x14ac:dyDescent="0.4"/>
    <row r="14846" s="5" customFormat="1" x14ac:dyDescent="0.4"/>
    <row r="14847" s="5" customFormat="1" x14ac:dyDescent="0.4"/>
    <row r="14848" s="5" customFormat="1" x14ac:dyDescent="0.4"/>
    <row r="14849" s="5" customFormat="1" x14ac:dyDescent="0.4"/>
    <row r="14850" s="5" customFormat="1" x14ac:dyDescent="0.4"/>
    <row r="14851" s="5" customFormat="1" x14ac:dyDescent="0.4"/>
    <row r="14852" s="5" customFormat="1" x14ac:dyDescent="0.4"/>
    <row r="14853" s="5" customFormat="1" x14ac:dyDescent="0.4"/>
    <row r="14854" s="5" customFormat="1" x14ac:dyDescent="0.4"/>
    <row r="14855" s="5" customFormat="1" x14ac:dyDescent="0.4"/>
    <row r="14856" s="5" customFormat="1" x14ac:dyDescent="0.4"/>
    <row r="14857" s="5" customFormat="1" x14ac:dyDescent="0.4"/>
    <row r="14858" s="5" customFormat="1" x14ac:dyDescent="0.4"/>
    <row r="14859" s="5" customFormat="1" x14ac:dyDescent="0.4"/>
    <row r="14860" s="5" customFormat="1" x14ac:dyDescent="0.4"/>
    <row r="14861" s="5" customFormat="1" x14ac:dyDescent="0.4"/>
    <row r="14862" s="5" customFormat="1" x14ac:dyDescent="0.4"/>
    <row r="14863" s="5" customFormat="1" x14ac:dyDescent="0.4"/>
    <row r="14864" s="5" customFormat="1" x14ac:dyDescent="0.4"/>
    <row r="14865" s="5" customFormat="1" x14ac:dyDescent="0.4"/>
    <row r="14866" s="5" customFormat="1" x14ac:dyDescent="0.4"/>
    <row r="14867" s="5" customFormat="1" x14ac:dyDescent="0.4"/>
    <row r="14868" s="5" customFormat="1" x14ac:dyDescent="0.4"/>
    <row r="14869" s="5" customFormat="1" x14ac:dyDescent="0.4"/>
    <row r="14870" s="5" customFormat="1" x14ac:dyDescent="0.4"/>
    <row r="14871" s="5" customFormat="1" x14ac:dyDescent="0.4"/>
    <row r="14872" s="5" customFormat="1" x14ac:dyDescent="0.4"/>
    <row r="14873" s="5" customFormat="1" x14ac:dyDescent="0.4"/>
    <row r="14874" s="5" customFormat="1" x14ac:dyDescent="0.4"/>
    <row r="14875" s="5" customFormat="1" x14ac:dyDescent="0.4"/>
    <row r="14876" s="5" customFormat="1" x14ac:dyDescent="0.4"/>
    <row r="14877" s="5" customFormat="1" x14ac:dyDescent="0.4"/>
    <row r="14878" s="5" customFormat="1" x14ac:dyDescent="0.4"/>
    <row r="14879" s="5" customFormat="1" x14ac:dyDescent="0.4"/>
    <row r="14880" s="5" customFormat="1" x14ac:dyDescent="0.4"/>
    <row r="14881" s="5" customFormat="1" x14ac:dyDescent="0.4"/>
    <row r="14882" s="5" customFormat="1" x14ac:dyDescent="0.4"/>
    <row r="14883" s="5" customFormat="1" x14ac:dyDescent="0.4"/>
    <row r="14884" s="5" customFormat="1" x14ac:dyDescent="0.4"/>
    <row r="14885" s="5" customFormat="1" x14ac:dyDescent="0.4"/>
    <row r="14886" s="5" customFormat="1" x14ac:dyDescent="0.4"/>
    <row r="14887" s="5" customFormat="1" x14ac:dyDescent="0.4"/>
    <row r="14888" s="5" customFormat="1" x14ac:dyDescent="0.4"/>
    <row r="14889" s="5" customFormat="1" x14ac:dyDescent="0.4"/>
    <row r="14890" s="5" customFormat="1" x14ac:dyDescent="0.4"/>
    <row r="14891" s="5" customFormat="1" x14ac:dyDescent="0.4"/>
    <row r="14892" s="5" customFormat="1" x14ac:dyDescent="0.4"/>
    <row r="14893" s="5" customFormat="1" x14ac:dyDescent="0.4"/>
    <row r="14894" s="5" customFormat="1" x14ac:dyDescent="0.4"/>
    <row r="14895" s="5" customFormat="1" x14ac:dyDescent="0.4"/>
    <row r="14896" s="5" customFormat="1" x14ac:dyDescent="0.4"/>
    <row r="14897" s="5" customFormat="1" x14ac:dyDescent="0.4"/>
    <row r="14898" s="5" customFormat="1" x14ac:dyDescent="0.4"/>
    <row r="14899" s="5" customFormat="1" x14ac:dyDescent="0.4"/>
    <row r="14900" s="5" customFormat="1" x14ac:dyDescent="0.4"/>
    <row r="14901" s="5" customFormat="1" x14ac:dyDescent="0.4"/>
    <row r="14902" s="5" customFormat="1" x14ac:dyDescent="0.4"/>
    <row r="14903" s="5" customFormat="1" x14ac:dyDescent="0.4"/>
    <row r="14904" s="5" customFormat="1" x14ac:dyDescent="0.4"/>
    <row r="14905" s="5" customFormat="1" x14ac:dyDescent="0.4"/>
    <row r="14906" s="5" customFormat="1" x14ac:dyDescent="0.4"/>
    <row r="14907" s="5" customFormat="1" x14ac:dyDescent="0.4"/>
    <row r="14908" s="5" customFormat="1" x14ac:dyDescent="0.4"/>
    <row r="14909" s="5" customFormat="1" x14ac:dyDescent="0.4"/>
    <row r="14910" s="5" customFormat="1" x14ac:dyDescent="0.4"/>
    <row r="14911" s="5" customFormat="1" x14ac:dyDescent="0.4"/>
    <row r="14912" s="5" customFormat="1" x14ac:dyDescent="0.4"/>
    <row r="14913" s="5" customFormat="1" x14ac:dyDescent="0.4"/>
    <row r="14914" s="5" customFormat="1" x14ac:dyDescent="0.4"/>
    <row r="14915" s="5" customFormat="1" x14ac:dyDescent="0.4"/>
    <row r="14916" s="5" customFormat="1" x14ac:dyDescent="0.4"/>
    <row r="14917" s="5" customFormat="1" x14ac:dyDescent="0.4"/>
    <row r="14918" s="5" customFormat="1" x14ac:dyDescent="0.4"/>
    <row r="14919" s="5" customFormat="1" x14ac:dyDescent="0.4"/>
    <row r="14920" s="5" customFormat="1" x14ac:dyDescent="0.4"/>
    <row r="14921" s="5" customFormat="1" x14ac:dyDescent="0.4"/>
    <row r="14922" s="5" customFormat="1" x14ac:dyDescent="0.4"/>
    <row r="14923" s="5" customFormat="1" x14ac:dyDescent="0.4"/>
    <row r="14924" s="5" customFormat="1" x14ac:dyDescent="0.4"/>
    <row r="14925" s="5" customFormat="1" x14ac:dyDescent="0.4"/>
    <row r="14926" s="5" customFormat="1" x14ac:dyDescent="0.4"/>
    <row r="14927" s="5" customFormat="1" x14ac:dyDescent="0.4"/>
    <row r="14928" s="5" customFormat="1" x14ac:dyDescent="0.4"/>
    <row r="14929" s="5" customFormat="1" x14ac:dyDescent="0.4"/>
    <row r="14930" s="5" customFormat="1" x14ac:dyDescent="0.4"/>
    <row r="14931" s="5" customFormat="1" x14ac:dyDescent="0.4"/>
    <row r="14932" s="5" customFormat="1" x14ac:dyDescent="0.4"/>
    <row r="14933" s="5" customFormat="1" x14ac:dyDescent="0.4"/>
    <row r="14934" s="5" customFormat="1" x14ac:dyDescent="0.4"/>
    <row r="14935" s="5" customFormat="1" x14ac:dyDescent="0.4"/>
    <row r="14936" s="5" customFormat="1" x14ac:dyDescent="0.4"/>
    <row r="14937" s="5" customFormat="1" x14ac:dyDescent="0.4"/>
    <row r="14938" s="5" customFormat="1" x14ac:dyDescent="0.4"/>
    <row r="14939" s="5" customFormat="1" x14ac:dyDescent="0.4"/>
    <row r="14940" s="5" customFormat="1" x14ac:dyDescent="0.4"/>
    <row r="14941" s="5" customFormat="1" x14ac:dyDescent="0.4"/>
    <row r="14942" s="5" customFormat="1" x14ac:dyDescent="0.4"/>
    <row r="14943" s="5" customFormat="1" x14ac:dyDescent="0.4"/>
    <row r="14944" s="5" customFormat="1" x14ac:dyDescent="0.4"/>
    <row r="14945" s="5" customFormat="1" x14ac:dyDescent="0.4"/>
    <row r="14946" s="5" customFormat="1" x14ac:dyDescent="0.4"/>
    <row r="14947" s="5" customFormat="1" x14ac:dyDescent="0.4"/>
    <row r="14948" s="5" customFormat="1" x14ac:dyDescent="0.4"/>
    <row r="14949" s="5" customFormat="1" x14ac:dyDescent="0.4"/>
    <row r="14950" s="5" customFormat="1" x14ac:dyDescent="0.4"/>
    <row r="14951" s="5" customFormat="1" x14ac:dyDescent="0.4"/>
    <row r="14952" s="5" customFormat="1" x14ac:dyDescent="0.4"/>
    <row r="14953" s="5" customFormat="1" x14ac:dyDescent="0.4"/>
    <row r="14954" s="5" customFormat="1" x14ac:dyDescent="0.4"/>
    <row r="14955" s="5" customFormat="1" x14ac:dyDescent="0.4"/>
    <row r="14956" s="5" customFormat="1" x14ac:dyDescent="0.4"/>
    <row r="14957" s="5" customFormat="1" x14ac:dyDescent="0.4"/>
    <row r="14958" s="5" customFormat="1" x14ac:dyDescent="0.4"/>
    <row r="14959" s="5" customFormat="1" x14ac:dyDescent="0.4"/>
    <row r="14960" s="5" customFormat="1" x14ac:dyDescent="0.4"/>
    <row r="14961" s="5" customFormat="1" x14ac:dyDescent="0.4"/>
    <row r="14962" s="5" customFormat="1" x14ac:dyDescent="0.4"/>
    <row r="14963" s="5" customFormat="1" x14ac:dyDescent="0.4"/>
    <row r="14964" s="5" customFormat="1" x14ac:dyDescent="0.4"/>
    <row r="14965" s="5" customFormat="1" x14ac:dyDescent="0.4"/>
    <row r="14966" s="5" customFormat="1" x14ac:dyDescent="0.4"/>
    <row r="14967" s="5" customFormat="1" x14ac:dyDescent="0.4"/>
    <row r="14968" s="5" customFormat="1" x14ac:dyDescent="0.4"/>
    <row r="14969" s="5" customFormat="1" x14ac:dyDescent="0.4"/>
    <row r="14970" s="5" customFormat="1" x14ac:dyDescent="0.4"/>
    <row r="14971" s="5" customFormat="1" x14ac:dyDescent="0.4"/>
    <row r="14972" s="5" customFormat="1" x14ac:dyDescent="0.4"/>
    <row r="14973" s="5" customFormat="1" x14ac:dyDescent="0.4"/>
    <row r="14974" s="5" customFormat="1" x14ac:dyDescent="0.4"/>
    <row r="14975" s="5" customFormat="1" x14ac:dyDescent="0.4"/>
    <row r="14976" s="5" customFormat="1" x14ac:dyDescent="0.4"/>
    <row r="14977" s="5" customFormat="1" x14ac:dyDescent="0.4"/>
    <row r="14978" s="5" customFormat="1" x14ac:dyDescent="0.4"/>
    <row r="14979" s="5" customFormat="1" x14ac:dyDescent="0.4"/>
    <row r="14980" s="5" customFormat="1" x14ac:dyDescent="0.4"/>
    <row r="14981" s="5" customFormat="1" x14ac:dyDescent="0.4"/>
    <row r="14982" s="5" customFormat="1" x14ac:dyDescent="0.4"/>
    <row r="14983" s="5" customFormat="1" x14ac:dyDescent="0.4"/>
    <row r="14984" s="5" customFormat="1" x14ac:dyDescent="0.4"/>
    <row r="14985" s="5" customFormat="1" x14ac:dyDescent="0.4"/>
    <row r="14986" s="5" customFormat="1" x14ac:dyDescent="0.4"/>
    <row r="14987" s="5" customFormat="1" x14ac:dyDescent="0.4"/>
    <row r="14988" s="5" customFormat="1" x14ac:dyDescent="0.4"/>
    <row r="14989" s="5" customFormat="1" x14ac:dyDescent="0.4"/>
    <row r="14990" s="5" customFormat="1" x14ac:dyDescent="0.4"/>
    <row r="14991" s="5" customFormat="1" x14ac:dyDescent="0.4"/>
    <row r="14992" s="5" customFormat="1" x14ac:dyDescent="0.4"/>
    <row r="14993" s="5" customFormat="1" x14ac:dyDescent="0.4"/>
    <row r="14994" s="5" customFormat="1" x14ac:dyDescent="0.4"/>
    <row r="14995" s="5" customFormat="1" x14ac:dyDescent="0.4"/>
    <row r="14996" s="5" customFormat="1" x14ac:dyDescent="0.4"/>
    <row r="14997" s="5" customFormat="1" x14ac:dyDescent="0.4"/>
    <row r="14998" s="5" customFormat="1" x14ac:dyDescent="0.4"/>
    <row r="14999" s="5" customFormat="1" x14ac:dyDescent="0.4"/>
    <row r="15000" s="5" customFormat="1" x14ac:dyDescent="0.4"/>
    <row r="15001" s="5" customFormat="1" x14ac:dyDescent="0.4"/>
    <row r="15002" s="5" customFormat="1" x14ac:dyDescent="0.4"/>
    <row r="15003" s="5" customFormat="1" x14ac:dyDescent="0.4"/>
    <row r="15004" s="5" customFormat="1" x14ac:dyDescent="0.4"/>
    <row r="15005" s="5" customFormat="1" x14ac:dyDescent="0.4"/>
    <row r="15006" s="5" customFormat="1" x14ac:dyDescent="0.4"/>
    <row r="15007" s="5" customFormat="1" x14ac:dyDescent="0.4"/>
    <row r="15008" s="5" customFormat="1" x14ac:dyDescent="0.4"/>
    <row r="15009" s="5" customFormat="1" x14ac:dyDescent="0.4"/>
    <row r="15010" s="5" customFormat="1" x14ac:dyDescent="0.4"/>
    <row r="15011" s="5" customFormat="1" x14ac:dyDescent="0.4"/>
    <row r="15012" s="5" customFormat="1" x14ac:dyDescent="0.4"/>
    <row r="15013" s="5" customFormat="1" x14ac:dyDescent="0.4"/>
    <row r="15014" s="5" customFormat="1" x14ac:dyDescent="0.4"/>
    <row r="15015" s="5" customFormat="1" x14ac:dyDescent="0.4"/>
    <row r="15016" s="5" customFormat="1" x14ac:dyDescent="0.4"/>
    <row r="15017" s="5" customFormat="1" x14ac:dyDescent="0.4"/>
    <row r="15018" s="5" customFormat="1" x14ac:dyDescent="0.4"/>
    <row r="15019" s="5" customFormat="1" x14ac:dyDescent="0.4"/>
    <row r="15020" s="5" customFormat="1" x14ac:dyDescent="0.4"/>
    <row r="15021" s="5" customFormat="1" x14ac:dyDescent="0.4"/>
    <row r="15022" s="5" customFormat="1" x14ac:dyDescent="0.4"/>
    <row r="15023" s="5" customFormat="1" x14ac:dyDescent="0.4"/>
    <row r="15024" s="5" customFormat="1" x14ac:dyDescent="0.4"/>
    <row r="15025" s="5" customFormat="1" x14ac:dyDescent="0.4"/>
    <row r="15026" s="5" customFormat="1" x14ac:dyDescent="0.4"/>
    <row r="15027" s="5" customFormat="1" x14ac:dyDescent="0.4"/>
    <row r="15028" s="5" customFormat="1" x14ac:dyDescent="0.4"/>
    <row r="15029" s="5" customFormat="1" x14ac:dyDescent="0.4"/>
    <row r="15030" s="5" customFormat="1" x14ac:dyDescent="0.4"/>
    <row r="15031" s="5" customFormat="1" x14ac:dyDescent="0.4"/>
    <row r="15032" s="5" customFormat="1" x14ac:dyDescent="0.4"/>
    <row r="15033" s="5" customFormat="1" x14ac:dyDescent="0.4"/>
    <row r="15034" s="5" customFormat="1" x14ac:dyDescent="0.4"/>
    <row r="15035" s="5" customFormat="1" x14ac:dyDescent="0.4"/>
    <row r="15036" s="5" customFormat="1" x14ac:dyDescent="0.4"/>
    <row r="15037" s="5" customFormat="1" x14ac:dyDescent="0.4"/>
    <row r="15038" s="5" customFormat="1" x14ac:dyDescent="0.4"/>
    <row r="15039" s="5" customFormat="1" x14ac:dyDescent="0.4"/>
    <row r="15040" s="5" customFormat="1" x14ac:dyDescent="0.4"/>
    <row r="15041" s="5" customFormat="1" x14ac:dyDescent="0.4"/>
    <row r="15042" s="5" customFormat="1" x14ac:dyDescent="0.4"/>
    <row r="15043" s="5" customFormat="1" x14ac:dyDescent="0.4"/>
    <row r="15044" s="5" customFormat="1" x14ac:dyDescent="0.4"/>
    <row r="15045" s="5" customFormat="1" x14ac:dyDescent="0.4"/>
    <row r="15046" s="5" customFormat="1" x14ac:dyDescent="0.4"/>
    <row r="15047" s="5" customFormat="1" x14ac:dyDescent="0.4"/>
    <row r="15048" s="5" customFormat="1" x14ac:dyDescent="0.4"/>
    <row r="15049" s="5" customFormat="1" x14ac:dyDescent="0.4"/>
    <row r="15050" s="5" customFormat="1" x14ac:dyDescent="0.4"/>
    <row r="15051" s="5" customFormat="1" x14ac:dyDescent="0.4"/>
    <row r="15052" s="5" customFormat="1" x14ac:dyDescent="0.4"/>
    <row r="15053" s="5" customFormat="1" x14ac:dyDescent="0.4"/>
    <row r="15054" s="5" customFormat="1" x14ac:dyDescent="0.4"/>
    <row r="15055" s="5" customFormat="1" x14ac:dyDescent="0.4"/>
    <row r="15056" s="5" customFormat="1" x14ac:dyDescent="0.4"/>
    <row r="15057" s="5" customFormat="1" x14ac:dyDescent="0.4"/>
    <row r="15058" s="5" customFormat="1" x14ac:dyDescent="0.4"/>
    <row r="15059" s="5" customFormat="1" x14ac:dyDescent="0.4"/>
    <row r="15060" s="5" customFormat="1" x14ac:dyDescent="0.4"/>
    <row r="15061" s="5" customFormat="1" x14ac:dyDescent="0.4"/>
    <row r="15062" s="5" customFormat="1" x14ac:dyDescent="0.4"/>
    <row r="15063" s="5" customFormat="1" x14ac:dyDescent="0.4"/>
    <row r="15064" s="5" customFormat="1" x14ac:dyDescent="0.4"/>
    <row r="15065" s="5" customFormat="1" x14ac:dyDescent="0.4"/>
    <row r="15066" s="5" customFormat="1" x14ac:dyDescent="0.4"/>
    <row r="15067" s="5" customFormat="1" x14ac:dyDescent="0.4"/>
    <row r="15068" s="5" customFormat="1" x14ac:dyDescent="0.4"/>
    <row r="15069" s="5" customFormat="1" x14ac:dyDescent="0.4"/>
    <row r="15070" s="5" customFormat="1" x14ac:dyDescent="0.4"/>
    <row r="15071" s="5" customFormat="1" x14ac:dyDescent="0.4"/>
    <row r="15072" s="5" customFormat="1" x14ac:dyDescent="0.4"/>
    <row r="15073" s="5" customFormat="1" x14ac:dyDescent="0.4"/>
    <row r="15074" s="5" customFormat="1" x14ac:dyDescent="0.4"/>
    <row r="15075" s="5" customFormat="1" x14ac:dyDescent="0.4"/>
    <row r="15076" s="5" customFormat="1" x14ac:dyDescent="0.4"/>
    <row r="15077" s="5" customFormat="1" x14ac:dyDescent="0.4"/>
    <row r="15078" s="5" customFormat="1" x14ac:dyDescent="0.4"/>
    <row r="15079" s="5" customFormat="1" x14ac:dyDescent="0.4"/>
    <row r="15080" s="5" customFormat="1" x14ac:dyDescent="0.4"/>
    <row r="15081" s="5" customFormat="1" x14ac:dyDescent="0.4"/>
    <row r="15082" s="5" customFormat="1" x14ac:dyDescent="0.4"/>
    <row r="15083" s="5" customFormat="1" x14ac:dyDescent="0.4"/>
    <row r="15084" s="5" customFormat="1" x14ac:dyDescent="0.4"/>
    <row r="15085" s="5" customFormat="1" x14ac:dyDescent="0.4"/>
    <row r="15086" s="5" customFormat="1" x14ac:dyDescent="0.4"/>
    <row r="15087" s="5" customFormat="1" x14ac:dyDescent="0.4"/>
    <row r="15088" s="5" customFormat="1" x14ac:dyDescent="0.4"/>
    <row r="15089" s="5" customFormat="1" x14ac:dyDescent="0.4"/>
    <row r="15090" s="5" customFormat="1" x14ac:dyDescent="0.4"/>
    <row r="15091" s="5" customFormat="1" x14ac:dyDescent="0.4"/>
    <row r="15092" s="5" customFormat="1" x14ac:dyDescent="0.4"/>
    <row r="15093" s="5" customFormat="1" x14ac:dyDescent="0.4"/>
    <row r="15094" s="5" customFormat="1" x14ac:dyDescent="0.4"/>
    <row r="15095" s="5" customFormat="1" x14ac:dyDescent="0.4"/>
    <row r="15096" s="5" customFormat="1" x14ac:dyDescent="0.4"/>
    <row r="15097" s="5" customFormat="1" x14ac:dyDescent="0.4"/>
    <row r="15098" s="5" customFormat="1" x14ac:dyDescent="0.4"/>
    <row r="15099" s="5" customFormat="1" x14ac:dyDescent="0.4"/>
    <row r="15100" s="5" customFormat="1" x14ac:dyDescent="0.4"/>
    <row r="15101" s="5" customFormat="1" x14ac:dyDescent="0.4"/>
    <row r="15102" s="5" customFormat="1" x14ac:dyDescent="0.4"/>
    <row r="15103" s="5" customFormat="1" x14ac:dyDescent="0.4"/>
    <row r="15104" s="5" customFormat="1" x14ac:dyDescent="0.4"/>
    <row r="15105" s="5" customFormat="1" x14ac:dyDescent="0.4"/>
    <row r="15106" s="5" customFormat="1" x14ac:dyDescent="0.4"/>
    <row r="15107" s="5" customFormat="1" x14ac:dyDescent="0.4"/>
    <row r="15108" s="5" customFormat="1" x14ac:dyDescent="0.4"/>
    <row r="15109" s="5" customFormat="1" x14ac:dyDescent="0.4"/>
    <row r="15110" s="5" customFormat="1" x14ac:dyDescent="0.4"/>
    <row r="15111" s="5" customFormat="1" x14ac:dyDescent="0.4"/>
    <row r="15112" s="5" customFormat="1" x14ac:dyDescent="0.4"/>
    <row r="15113" s="5" customFormat="1" x14ac:dyDescent="0.4"/>
    <row r="15114" s="5" customFormat="1" x14ac:dyDescent="0.4"/>
    <row r="15115" s="5" customFormat="1" x14ac:dyDescent="0.4"/>
    <row r="15116" s="5" customFormat="1" x14ac:dyDescent="0.4"/>
    <row r="15117" s="5" customFormat="1" x14ac:dyDescent="0.4"/>
    <row r="15118" s="5" customFormat="1" x14ac:dyDescent="0.4"/>
    <row r="15119" s="5" customFormat="1" x14ac:dyDescent="0.4"/>
    <row r="15120" s="5" customFormat="1" x14ac:dyDescent="0.4"/>
    <row r="15121" s="5" customFormat="1" x14ac:dyDescent="0.4"/>
    <row r="15122" s="5" customFormat="1" x14ac:dyDescent="0.4"/>
    <row r="15123" s="5" customFormat="1" x14ac:dyDescent="0.4"/>
    <row r="15124" s="5" customFormat="1" x14ac:dyDescent="0.4"/>
    <row r="15125" s="5" customFormat="1" x14ac:dyDescent="0.4"/>
    <row r="15126" s="5" customFormat="1" x14ac:dyDescent="0.4"/>
    <row r="15127" s="5" customFormat="1" x14ac:dyDescent="0.4"/>
    <row r="15128" s="5" customFormat="1" x14ac:dyDescent="0.4"/>
    <row r="15129" s="5" customFormat="1" x14ac:dyDescent="0.4"/>
    <row r="15130" s="5" customFormat="1" x14ac:dyDescent="0.4"/>
    <row r="15131" s="5" customFormat="1" x14ac:dyDescent="0.4"/>
    <row r="15132" s="5" customFormat="1" x14ac:dyDescent="0.4"/>
    <row r="15133" s="5" customFormat="1" x14ac:dyDescent="0.4"/>
    <row r="15134" s="5" customFormat="1" x14ac:dyDescent="0.4"/>
    <row r="15135" s="5" customFormat="1" x14ac:dyDescent="0.4"/>
    <row r="15136" s="5" customFormat="1" x14ac:dyDescent="0.4"/>
    <row r="15137" s="5" customFormat="1" x14ac:dyDescent="0.4"/>
    <row r="15138" s="5" customFormat="1" x14ac:dyDescent="0.4"/>
    <row r="15139" s="5" customFormat="1" x14ac:dyDescent="0.4"/>
    <row r="15140" s="5" customFormat="1" x14ac:dyDescent="0.4"/>
    <row r="15141" s="5" customFormat="1" x14ac:dyDescent="0.4"/>
    <row r="15142" s="5" customFormat="1" x14ac:dyDescent="0.4"/>
    <row r="15143" s="5" customFormat="1" x14ac:dyDescent="0.4"/>
    <row r="15144" s="5" customFormat="1" x14ac:dyDescent="0.4"/>
    <row r="15145" s="5" customFormat="1" x14ac:dyDescent="0.4"/>
    <row r="15146" s="5" customFormat="1" x14ac:dyDescent="0.4"/>
    <row r="15147" s="5" customFormat="1" x14ac:dyDescent="0.4"/>
    <row r="15148" s="5" customFormat="1" x14ac:dyDescent="0.4"/>
    <row r="15149" s="5" customFormat="1" x14ac:dyDescent="0.4"/>
    <row r="15150" s="5" customFormat="1" x14ac:dyDescent="0.4"/>
    <row r="15151" s="5" customFormat="1" x14ac:dyDescent="0.4"/>
    <row r="15152" s="5" customFormat="1" x14ac:dyDescent="0.4"/>
    <row r="15153" s="5" customFormat="1" x14ac:dyDescent="0.4"/>
    <row r="15154" s="5" customFormat="1" x14ac:dyDescent="0.4"/>
    <row r="15155" s="5" customFormat="1" x14ac:dyDescent="0.4"/>
    <row r="15156" s="5" customFormat="1" x14ac:dyDescent="0.4"/>
    <row r="15157" s="5" customFormat="1" x14ac:dyDescent="0.4"/>
    <row r="15158" s="5" customFormat="1" x14ac:dyDescent="0.4"/>
    <row r="15159" s="5" customFormat="1" x14ac:dyDescent="0.4"/>
    <row r="15160" s="5" customFormat="1" x14ac:dyDescent="0.4"/>
    <row r="15161" s="5" customFormat="1" x14ac:dyDescent="0.4"/>
    <row r="15162" s="5" customFormat="1" x14ac:dyDescent="0.4"/>
    <row r="15163" s="5" customFormat="1" x14ac:dyDescent="0.4"/>
    <row r="15164" s="5" customFormat="1" x14ac:dyDescent="0.4"/>
    <row r="15165" s="5" customFormat="1" x14ac:dyDescent="0.4"/>
    <row r="15166" s="5" customFormat="1" x14ac:dyDescent="0.4"/>
    <row r="15167" s="5" customFormat="1" x14ac:dyDescent="0.4"/>
    <row r="15168" s="5" customFormat="1" x14ac:dyDescent="0.4"/>
    <row r="15169" s="5" customFormat="1" x14ac:dyDescent="0.4"/>
    <row r="15170" s="5" customFormat="1" x14ac:dyDescent="0.4"/>
    <row r="15171" s="5" customFormat="1" x14ac:dyDescent="0.4"/>
    <row r="15172" s="5" customFormat="1" x14ac:dyDescent="0.4"/>
    <row r="15173" s="5" customFormat="1" x14ac:dyDescent="0.4"/>
    <row r="15174" s="5" customFormat="1" x14ac:dyDescent="0.4"/>
    <row r="15175" s="5" customFormat="1" x14ac:dyDescent="0.4"/>
    <row r="15176" s="5" customFormat="1" x14ac:dyDescent="0.4"/>
    <row r="15177" s="5" customFormat="1" x14ac:dyDescent="0.4"/>
    <row r="15178" s="5" customFormat="1" x14ac:dyDescent="0.4"/>
    <row r="15179" s="5" customFormat="1" x14ac:dyDescent="0.4"/>
    <row r="15180" s="5" customFormat="1" x14ac:dyDescent="0.4"/>
    <row r="15181" s="5" customFormat="1" x14ac:dyDescent="0.4"/>
    <row r="15182" s="5" customFormat="1" x14ac:dyDescent="0.4"/>
    <row r="15183" s="5" customFormat="1" x14ac:dyDescent="0.4"/>
    <row r="15184" s="5" customFormat="1" x14ac:dyDescent="0.4"/>
    <row r="15185" s="5" customFormat="1" x14ac:dyDescent="0.4"/>
    <row r="15186" s="5" customFormat="1" x14ac:dyDescent="0.4"/>
    <row r="15187" s="5" customFormat="1" x14ac:dyDescent="0.4"/>
    <row r="15188" s="5" customFormat="1" x14ac:dyDescent="0.4"/>
    <row r="15189" s="5" customFormat="1" x14ac:dyDescent="0.4"/>
    <row r="15190" s="5" customFormat="1" x14ac:dyDescent="0.4"/>
    <row r="15191" s="5" customFormat="1" x14ac:dyDescent="0.4"/>
    <row r="15192" s="5" customFormat="1" x14ac:dyDescent="0.4"/>
    <row r="15193" s="5" customFormat="1" x14ac:dyDescent="0.4"/>
    <row r="15194" s="5" customFormat="1" x14ac:dyDescent="0.4"/>
    <row r="15195" s="5" customFormat="1" x14ac:dyDescent="0.4"/>
    <row r="15196" s="5" customFormat="1" x14ac:dyDescent="0.4"/>
    <row r="15197" s="5" customFormat="1" x14ac:dyDescent="0.4"/>
    <row r="15198" s="5" customFormat="1" x14ac:dyDescent="0.4"/>
    <row r="15199" s="5" customFormat="1" x14ac:dyDescent="0.4"/>
    <row r="15200" s="5" customFormat="1" x14ac:dyDescent="0.4"/>
    <row r="15201" s="5" customFormat="1" x14ac:dyDescent="0.4"/>
    <row r="15202" s="5" customFormat="1" x14ac:dyDescent="0.4"/>
    <row r="15203" s="5" customFormat="1" x14ac:dyDescent="0.4"/>
    <row r="15204" s="5" customFormat="1" x14ac:dyDescent="0.4"/>
    <row r="15205" s="5" customFormat="1" x14ac:dyDescent="0.4"/>
    <row r="15206" s="5" customFormat="1" x14ac:dyDescent="0.4"/>
    <row r="15207" s="5" customFormat="1" x14ac:dyDescent="0.4"/>
    <row r="15208" s="5" customFormat="1" x14ac:dyDescent="0.4"/>
    <row r="15209" s="5" customFormat="1" x14ac:dyDescent="0.4"/>
    <row r="15210" s="5" customFormat="1" x14ac:dyDescent="0.4"/>
    <row r="15211" s="5" customFormat="1" x14ac:dyDescent="0.4"/>
    <row r="15212" s="5" customFormat="1" x14ac:dyDescent="0.4"/>
    <row r="15213" s="5" customFormat="1" x14ac:dyDescent="0.4"/>
    <row r="15214" s="5" customFormat="1" x14ac:dyDescent="0.4"/>
    <row r="15215" s="5" customFormat="1" x14ac:dyDescent="0.4"/>
    <row r="15216" s="5" customFormat="1" x14ac:dyDescent="0.4"/>
    <row r="15217" s="5" customFormat="1" x14ac:dyDescent="0.4"/>
    <row r="15218" s="5" customFormat="1" x14ac:dyDescent="0.4"/>
    <row r="15219" s="5" customFormat="1" x14ac:dyDescent="0.4"/>
    <row r="15220" s="5" customFormat="1" x14ac:dyDescent="0.4"/>
    <row r="15221" s="5" customFormat="1" x14ac:dyDescent="0.4"/>
    <row r="15222" s="5" customFormat="1" x14ac:dyDescent="0.4"/>
    <row r="15223" s="5" customFormat="1" x14ac:dyDescent="0.4"/>
    <row r="15224" s="5" customFormat="1" x14ac:dyDescent="0.4"/>
    <row r="15225" s="5" customFormat="1" x14ac:dyDescent="0.4"/>
    <row r="15226" s="5" customFormat="1" x14ac:dyDescent="0.4"/>
    <row r="15227" s="5" customFormat="1" x14ac:dyDescent="0.4"/>
    <row r="15228" s="5" customFormat="1" x14ac:dyDescent="0.4"/>
    <row r="15229" s="5" customFormat="1" x14ac:dyDescent="0.4"/>
    <row r="15230" s="5" customFormat="1" x14ac:dyDescent="0.4"/>
    <row r="15231" s="5" customFormat="1" x14ac:dyDescent="0.4"/>
    <row r="15232" s="5" customFormat="1" x14ac:dyDescent="0.4"/>
    <row r="15233" s="5" customFormat="1" x14ac:dyDescent="0.4"/>
    <row r="15234" s="5" customFormat="1" x14ac:dyDescent="0.4"/>
    <row r="15235" s="5" customFormat="1" x14ac:dyDescent="0.4"/>
    <row r="15236" s="5" customFormat="1" x14ac:dyDescent="0.4"/>
    <row r="15237" s="5" customFormat="1" x14ac:dyDescent="0.4"/>
    <row r="15238" s="5" customFormat="1" x14ac:dyDescent="0.4"/>
    <row r="15239" s="5" customFormat="1" x14ac:dyDescent="0.4"/>
    <row r="15240" s="5" customFormat="1" x14ac:dyDescent="0.4"/>
    <row r="15241" s="5" customFormat="1" x14ac:dyDescent="0.4"/>
    <row r="15242" s="5" customFormat="1" x14ac:dyDescent="0.4"/>
    <row r="15243" s="5" customFormat="1" x14ac:dyDescent="0.4"/>
    <row r="15244" s="5" customFormat="1" x14ac:dyDescent="0.4"/>
    <row r="15245" s="5" customFormat="1" x14ac:dyDescent="0.4"/>
    <row r="15246" s="5" customFormat="1" x14ac:dyDescent="0.4"/>
    <row r="15247" s="5" customFormat="1" x14ac:dyDescent="0.4"/>
    <row r="15248" s="5" customFormat="1" x14ac:dyDescent="0.4"/>
    <row r="15249" s="5" customFormat="1" x14ac:dyDescent="0.4"/>
    <row r="15250" s="5" customFormat="1" x14ac:dyDescent="0.4"/>
    <row r="15251" s="5" customFormat="1" x14ac:dyDescent="0.4"/>
    <row r="15252" s="5" customFormat="1" x14ac:dyDescent="0.4"/>
    <row r="15253" s="5" customFormat="1" x14ac:dyDescent="0.4"/>
    <row r="15254" s="5" customFormat="1" x14ac:dyDescent="0.4"/>
    <row r="15255" s="5" customFormat="1" x14ac:dyDescent="0.4"/>
    <row r="15256" s="5" customFormat="1" x14ac:dyDescent="0.4"/>
    <row r="15257" s="5" customFormat="1" x14ac:dyDescent="0.4"/>
    <row r="15258" s="5" customFormat="1" x14ac:dyDescent="0.4"/>
    <row r="15259" s="5" customFormat="1" x14ac:dyDescent="0.4"/>
    <row r="15260" s="5" customFormat="1" x14ac:dyDescent="0.4"/>
    <row r="15261" s="5" customFormat="1" x14ac:dyDescent="0.4"/>
    <row r="15262" s="5" customFormat="1" x14ac:dyDescent="0.4"/>
    <row r="15263" s="5" customFormat="1" x14ac:dyDescent="0.4"/>
    <row r="15264" s="5" customFormat="1" x14ac:dyDescent="0.4"/>
    <row r="15265" s="5" customFormat="1" x14ac:dyDescent="0.4"/>
    <row r="15266" s="5" customFormat="1" x14ac:dyDescent="0.4"/>
    <row r="15267" s="5" customFormat="1" x14ac:dyDescent="0.4"/>
    <row r="15268" s="5" customFormat="1" x14ac:dyDescent="0.4"/>
    <row r="15269" s="5" customFormat="1" x14ac:dyDescent="0.4"/>
    <row r="15270" s="5" customFormat="1" x14ac:dyDescent="0.4"/>
    <row r="15271" s="5" customFormat="1" x14ac:dyDescent="0.4"/>
    <row r="15272" s="5" customFormat="1" x14ac:dyDescent="0.4"/>
    <row r="15273" s="5" customFormat="1" x14ac:dyDescent="0.4"/>
    <row r="15274" s="5" customFormat="1" x14ac:dyDescent="0.4"/>
    <row r="15275" s="5" customFormat="1" x14ac:dyDescent="0.4"/>
    <row r="15276" s="5" customFormat="1" x14ac:dyDescent="0.4"/>
    <row r="15277" s="5" customFormat="1" x14ac:dyDescent="0.4"/>
    <row r="15278" s="5" customFormat="1" x14ac:dyDescent="0.4"/>
    <row r="15279" s="5" customFormat="1" x14ac:dyDescent="0.4"/>
    <row r="15280" s="5" customFormat="1" x14ac:dyDescent="0.4"/>
    <row r="15281" s="5" customFormat="1" x14ac:dyDescent="0.4"/>
    <row r="15282" s="5" customFormat="1" x14ac:dyDescent="0.4"/>
    <row r="15283" s="5" customFormat="1" x14ac:dyDescent="0.4"/>
    <row r="15284" s="5" customFormat="1" x14ac:dyDescent="0.4"/>
    <row r="15285" s="5" customFormat="1" x14ac:dyDescent="0.4"/>
    <row r="15286" s="5" customFormat="1" x14ac:dyDescent="0.4"/>
    <row r="15287" s="5" customFormat="1" x14ac:dyDescent="0.4"/>
    <row r="15288" s="5" customFormat="1" x14ac:dyDescent="0.4"/>
    <row r="15289" s="5" customFormat="1" x14ac:dyDescent="0.4"/>
    <row r="15290" s="5" customFormat="1" x14ac:dyDescent="0.4"/>
    <row r="15291" s="5" customFormat="1" x14ac:dyDescent="0.4"/>
    <row r="15292" s="5" customFormat="1" x14ac:dyDescent="0.4"/>
    <row r="15293" s="5" customFormat="1" x14ac:dyDescent="0.4"/>
    <row r="15294" s="5" customFormat="1" x14ac:dyDescent="0.4"/>
    <row r="15295" s="5" customFormat="1" x14ac:dyDescent="0.4"/>
    <row r="15296" s="5" customFormat="1" x14ac:dyDescent="0.4"/>
    <row r="15297" s="5" customFormat="1" x14ac:dyDescent="0.4"/>
    <row r="15298" s="5" customFormat="1" x14ac:dyDescent="0.4"/>
    <row r="15299" s="5" customFormat="1" x14ac:dyDescent="0.4"/>
    <row r="15300" s="5" customFormat="1" x14ac:dyDescent="0.4"/>
    <row r="15301" s="5" customFormat="1" x14ac:dyDescent="0.4"/>
    <row r="15302" s="5" customFormat="1" x14ac:dyDescent="0.4"/>
    <row r="15303" s="5" customFormat="1" x14ac:dyDescent="0.4"/>
    <row r="15304" s="5" customFormat="1" x14ac:dyDescent="0.4"/>
    <row r="15305" s="5" customFormat="1" x14ac:dyDescent="0.4"/>
    <row r="15306" s="5" customFormat="1" x14ac:dyDescent="0.4"/>
    <row r="15307" s="5" customFormat="1" x14ac:dyDescent="0.4"/>
    <row r="15308" s="5" customFormat="1" x14ac:dyDescent="0.4"/>
    <row r="15309" s="5" customFormat="1" x14ac:dyDescent="0.4"/>
    <row r="15310" s="5" customFormat="1" x14ac:dyDescent="0.4"/>
    <row r="15311" s="5" customFormat="1" x14ac:dyDescent="0.4"/>
    <row r="15312" s="5" customFormat="1" x14ac:dyDescent="0.4"/>
    <row r="15313" s="5" customFormat="1" x14ac:dyDescent="0.4"/>
    <row r="15314" s="5" customFormat="1" x14ac:dyDescent="0.4"/>
    <row r="15315" s="5" customFormat="1" x14ac:dyDescent="0.4"/>
    <row r="15316" s="5" customFormat="1" x14ac:dyDescent="0.4"/>
    <row r="15317" s="5" customFormat="1" x14ac:dyDescent="0.4"/>
    <row r="15318" s="5" customFormat="1" x14ac:dyDescent="0.4"/>
    <row r="15319" s="5" customFormat="1" x14ac:dyDescent="0.4"/>
    <row r="15320" s="5" customFormat="1" x14ac:dyDescent="0.4"/>
    <row r="15321" s="5" customFormat="1" x14ac:dyDescent="0.4"/>
    <row r="15322" s="5" customFormat="1" x14ac:dyDescent="0.4"/>
    <row r="15323" s="5" customFormat="1" x14ac:dyDescent="0.4"/>
    <row r="15324" s="5" customFormat="1" x14ac:dyDescent="0.4"/>
    <row r="15325" s="5" customFormat="1" x14ac:dyDescent="0.4"/>
    <row r="15326" s="5" customFormat="1" x14ac:dyDescent="0.4"/>
    <row r="15327" s="5" customFormat="1" x14ac:dyDescent="0.4"/>
    <row r="15328" s="5" customFormat="1" x14ac:dyDescent="0.4"/>
    <row r="15329" s="5" customFormat="1" x14ac:dyDescent="0.4"/>
    <row r="15330" s="5" customFormat="1" x14ac:dyDescent="0.4"/>
    <row r="15331" s="5" customFormat="1" x14ac:dyDescent="0.4"/>
    <row r="15332" s="5" customFormat="1" x14ac:dyDescent="0.4"/>
    <row r="15333" s="5" customFormat="1" x14ac:dyDescent="0.4"/>
    <row r="15334" s="5" customFormat="1" x14ac:dyDescent="0.4"/>
    <row r="15335" s="5" customFormat="1" x14ac:dyDescent="0.4"/>
    <row r="15336" s="5" customFormat="1" x14ac:dyDescent="0.4"/>
    <row r="15337" s="5" customFormat="1" x14ac:dyDescent="0.4"/>
    <row r="15338" s="5" customFormat="1" x14ac:dyDescent="0.4"/>
    <row r="15339" s="5" customFormat="1" x14ac:dyDescent="0.4"/>
    <row r="15340" s="5" customFormat="1" x14ac:dyDescent="0.4"/>
    <row r="15341" s="5" customFormat="1" x14ac:dyDescent="0.4"/>
    <row r="15342" s="5" customFormat="1" x14ac:dyDescent="0.4"/>
    <row r="15343" s="5" customFormat="1" x14ac:dyDescent="0.4"/>
    <row r="15344" s="5" customFormat="1" x14ac:dyDescent="0.4"/>
    <row r="15345" s="5" customFormat="1" x14ac:dyDescent="0.4"/>
    <row r="15346" s="5" customFormat="1" x14ac:dyDescent="0.4"/>
    <row r="15347" s="5" customFormat="1" x14ac:dyDescent="0.4"/>
    <row r="15348" s="5" customFormat="1" x14ac:dyDescent="0.4"/>
    <row r="15349" s="5" customFormat="1" x14ac:dyDescent="0.4"/>
    <row r="15350" s="5" customFormat="1" x14ac:dyDescent="0.4"/>
    <row r="15351" s="5" customFormat="1" x14ac:dyDescent="0.4"/>
    <row r="15352" s="5" customFormat="1" x14ac:dyDescent="0.4"/>
    <row r="15353" s="5" customFormat="1" x14ac:dyDescent="0.4"/>
    <row r="15354" s="5" customFormat="1" x14ac:dyDescent="0.4"/>
    <row r="15355" s="5" customFormat="1" x14ac:dyDescent="0.4"/>
    <row r="15356" s="5" customFormat="1" x14ac:dyDescent="0.4"/>
    <row r="15357" s="5" customFormat="1" x14ac:dyDescent="0.4"/>
    <row r="15358" s="5" customFormat="1" x14ac:dyDescent="0.4"/>
    <row r="15359" s="5" customFormat="1" x14ac:dyDescent="0.4"/>
    <row r="15360" s="5" customFormat="1" x14ac:dyDescent="0.4"/>
    <row r="15361" s="5" customFormat="1" x14ac:dyDescent="0.4"/>
    <row r="15362" s="5" customFormat="1" x14ac:dyDescent="0.4"/>
    <row r="15363" s="5" customFormat="1" x14ac:dyDescent="0.4"/>
    <row r="15364" s="5" customFormat="1" x14ac:dyDescent="0.4"/>
    <row r="15365" s="5" customFormat="1" x14ac:dyDescent="0.4"/>
    <row r="15366" s="5" customFormat="1" x14ac:dyDescent="0.4"/>
    <row r="15367" s="5" customFormat="1" x14ac:dyDescent="0.4"/>
    <row r="15368" s="5" customFormat="1" x14ac:dyDescent="0.4"/>
    <row r="15369" s="5" customFormat="1" x14ac:dyDescent="0.4"/>
    <row r="15370" s="5" customFormat="1" x14ac:dyDescent="0.4"/>
    <row r="15371" s="5" customFormat="1" x14ac:dyDescent="0.4"/>
    <row r="15372" s="5" customFormat="1" x14ac:dyDescent="0.4"/>
    <row r="15373" s="5" customFormat="1" x14ac:dyDescent="0.4"/>
    <row r="15374" s="5" customFormat="1" x14ac:dyDescent="0.4"/>
    <row r="15375" s="5" customFormat="1" x14ac:dyDescent="0.4"/>
    <row r="15376" s="5" customFormat="1" x14ac:dyDescent="0.4"/>
    <row r="15377" s="5" customFormat="1" x14ac:dyDescent="0.4"/>
    <row r="15378" s="5" customFormat="1" x14ac:dyDescent="0.4"/>
    <row r="15379" s="5" customFormat="1" x14ac:dyDescent="0.4"/>
    <row r="15380" s="5" customFormat="1" x14ac:dyDescent="0.4"/>
    <row r="15381" s="5" customFormat="1" x14ac:dyDescent="0.4"/>
    <row r="15382" s="5" customFormat="1" x14ac:dyDescent="0.4"/>
    <row r="15383" s="5" customFormat="1" x14ac:dyDescent="0.4"/>
    <row r="15384" s="5" customFormat="1" x14ac:dyDescent="0.4"/>
    <row r="15385" s="5" customFormat="1" x14ac:dyDescent="0.4"/>
    <row r="15386" s="5" customFormat="1" x14ac:dyDescent="0.4"/>
    <row r="15387" s="5" customFormat="1" x14ac:dyDescent="0.4"/>
    <row r="15388" s="5" customFormat="1" x14ac:dyDescent="0.4"/>
    <row r="15389" s="5" customFormat="1" x14ac:dyDescent="0.4"/>
    <row r="15390" s="5" customFormat="1" x14ac:dyDescent="0.4"/>
    <row r="15391" s="5" customFormat="1" x14ac:dyDescent="0.4"/>
    <row r="15392" s="5" customFormat="1" x14ac:dyDescent="0.4"/>
    <row r="15393" s="5" customFormat="1" x14ac:dyDescent="0.4"/>
    <row r="15394" s="5" customFormat="1" x14ac:dyDescent="0.4"/>
    <row r="15395" s="5" customFormat="1" x14ac:dyDescent="0.4"/>
    <row r="15396" s="5" customFormat="1" x14ac:dyDescent="0.4"/>
    <row r="15397" s="5" customFormat="1" x14ac:dyDescent="0.4"/>
    <row r="15398" s="5" customFormat="1" x14ac:dyDescent="0.4"/>
    <row r="15399" s="5" customFormat="1" x14ac:dyDescent="0.4"/>
    <row r="15400" s="5" customFormat="1" x14ac:dyDescent="0.4"/>
    <row r="15401" s="5" customFormat="1" x14ac:dyDescent="0.4"/>
    <row r="15402" s="5" customFormat="1" x14ac:dyDescent="0.4"/>
    <row r="15403" s="5" customFormat="1" x14ac:dyDescent="0.4"/>
    <row r="15404" s="5" customFormat="1" x14ac:dyDescent="0.4"/>
    <row r="15405" s="5" customFormat="1" x14ac:dyDescent="0.4"/>
    <row r="15406" s="5" customFormat="1" x14ac:dyDescent="0.4"/>
    <row r="15407" s="5" customFormat="1" x14ac:dyDescent="0.4"/>
    <row r="15408" s="5" customFormat="1" x14ac:dyDescent="0.4"/>
    <row r="15409" s="5" customFormat="1" x14ac:dyDescent="0.4"/>
    <row r="15410" s="5" customFormat="1" x14ac:dyDescent="0.4"/>
    <row r="15411" s="5" customFormat="1" x14ac:dyDescent="0.4"/>
    <row r="15412" s="5" customFormat="1" x14ac:dyDescent="0.4"/>
    <row r="15413" s="5" customFormat="1" x14ac:dyDescent="0.4"/>
    <row r="15414" s="5" customFormat="1" x14ac:dyDescent="0.4"/>
    <row r="15415" s="5" customFormat="1" x14ac:dyDescent="0.4"/>
    <row r="15416" s="5" customFormat="1" x14ac:dyDescent="0.4"/>
    <row r="15417" s="5" customFormat="1" x14ac:dyDescent="0.4"/>
    <row r="15418" s="5" customFormat="1" x14ac:dyDescent="0.4"/>
    <row r="15419" s="5" customFormat="1" x14ac:dyDescent="0.4"/>
    <row r="15420" s="5" customFormat="1" x14ac:dyDescent="0.4"/>
    <row r="15421" s="5" customFormat="1" x14ac:dyDescent="0.4"/>
    <row r="15422" s="5" customFormat="1" x14ac:dyDescent="0.4"/>
    <row r="15423" s="5" customFormat="1" x14ac:dyDescent="0.4"/>
    <row r="15424" s="5" customFormat="1" x14ac:dyDescent="0.4"/>
    <row r="15425" s="5" customFormat="1" x14ac:dyDescent="0.4"/>
    <row r="15426" s="5" customFormat="1" x14ac:dyDescent="0.4"/>
    <row r="15427" s="5" customFormat="1" x14ac:dyDescent="0.4"/>
    <row r="15428" s="5" customFormat="1" x14ac:dyDescent="0.4"/>
    <row r="15429" s="5" customFormat="1" x14ac:dyDescent="0.4"/>
    <row r="15430" s="5" customFormat="1" x14ac:dyDescent="0.4"/>
    <row r="15431" s="5" customFormat="1" x14ac:dyDescent="0.4"/>
    <row r="15432" s="5" customFormat="1" x14ac:dyDescent="0.4"/>
    <row r="15433" s="5" customFormat="1" x14ac:dyDescent="0.4"/>
    <row r="15434" s="5" customFormat="1" x14ac:dyDescent="0.4"/>
    <row r="15435" s="5" customFormat="1" x14ac:dyDescent="0.4"/>
    <row r="15436" s="5" customFormat="1" x14ac:dyDescent="0.4"/>
    <row r="15437" s="5" customFormat="1" x14ac:dyDescent="0.4"/>
    <row r="15438" s="5" customFormat="1" x14ac:dyDescent="0.4"/>
    <row r="15439" s="5" customFormat="1" x14ac:dyDescent="0.4"/>
    <row r="15440" s="5" customFormat="1" x14ac:dyDescent="0.4"/>
    <row r="15441" s="5" customFormat="1" x14ac:dyDescent="0.4"/>
    <row r="15442" s="5" customFormat="1" x14ac:dyDescent="0.4"/>
    <row r="15443" s="5" customFormat="1" x14ac:dyDescent="0.4"/>
    <row r="15444" s="5" customFormat="1" x14ac:dyDescent="0.4"/>
    <row r="15445" s="5" customFormat="1" x14ac:dyDescent="0.4"/>
    <row r="15446" s="5" customFormat="1" x14ac:dyDescent="0.4"/>
    <row r="15447" s="5" customFormat="1" x14ac:dyDescent="0.4"/>
    <row r="15448" s="5" customFormat="1" x14ac:dyDescent="0.4"/>
    <row r="15449" s="5" customFormat="1" x14ac:dyDescent="0.4"/>
    <row r="15450" s="5" customFormat="1" x14ac:dyDescent="0.4"/>
    <row r="15451" s="5" customFormat="1" x14ac:dyDescent="0.4"/>
    <row r="15452" s="5" customFormat="1" x14ac:dyDescent="0.4"/>
    <row r="15453" s="5" customFormat="1" x14ac:dyDescent="0.4"/>
    <row r="15454" s="5" customFormat="1" x14ac:dyDescent="0.4"/>
    <row r="15455" s="5" customFormat="1" x14ac:dyDescent="0.4"/>
    <row r="15456" s="5" customFormat="1" x14ac:dyDescent="0.4"/>
    <row r="15457" s="5" customFormat="1" x14ac:dyDescent="0.4"/>
    <row r="15458" s="5" customFormat="1" x14ac:dyDescent="0.4"/>
    <row r="15459" s="5" customFormat="1" x14ac:dyDescent="0.4"/>
    <row r="15460" s="5" customFormat="1" x14ac:dyDescent="0.4"/>
    <row r="15461" s="5" customFormat="1" x14ac:dyDescent="0.4"/>
    <row r="15462" s="5" customFormat="1" x14ac:dyDescent="0.4"/>
    <row r="15463" s="5" customFormat="1" x14ac:dyDescent="0.4"/>
    <row r="15464" s="5" customFormat="1" x14ac:dyDescent="0.4"/>
    <row r="15465" s="5" customFormat="1" x14ac:dyDescent="0.4"/>
    <row r="15466" s="5" customFormat="1" x14ac:dyDescent="0.4"/>
    <row r="15467" s="5" customFormat="1" x14ac:dyDescent="0.4"/>
    <row r="15468" s="5" customFormat="1" x14ac:dyDescent="0.4"/>
    <row r="15469" s="5" customFormat="1" x14ac:dyDescent="0.4"/>
    <row r="15470" s="5" customFormat="1" x14ac:dyDescent="0.4"/>
    <row r="15471" s="5" customFormat="1" x14ac:dyDescent="0.4"/>
    <row r="15472" s="5" customFormat="1" x14ac:dyDescent="0.4"/>
    <row r="15473" s="5" customFormat="1" x14ac:dyDescent="0.4"/>
    <row r="15474" s="5" customFormat="1" x14ac:dyDescent="0.4"/>
    <row r="15475" s="5" customFormat="1" x14ac:dyDescent="0.4"/>
    <row r="15476" s="5" customFormat="1" x14ac:dyDescent="0.4"/>
    <row r="15477" s="5" customFormat="1" x14ac:dyDescent="0.4"/>
    <row r="15478" s="5" customFormat="1" x14ac:dyDescent="0.4"/>
    <row r="15479" s="5" customFormat="1" x14ac:dyDescent="0.4"/>
    <row r="15480" s="5" customFormat="1" x14ac:dyDescent="0.4"/>
    <row r="15481" s="5" customFormat="1" x14ac:dyDescent="0.4"/>
    <row r="15482" s="5" customFormat="1" x14ac:dyDescent="0.4"/>
    <row r="15483" s="5" customFormat="1" x14ac:dyDescent="0.4"/>
    <row r="15484" s="5" customFormat="1" x14ac:dyDescent="0.4"/>
    <row r="15485" s="5" customFormat="1" x14ac:dyDescent="0.4"/>
    <row r="15486" s="5" customFormat="1" x14ac:dyDescent="0.4"/>
    <row r="15487" s="5" customFormat="1" x14ac:dyDescent="0.4"/>
    <row r="15488" s="5" customFormat="1" x14ac:dyDescent="0.4"/>
    <row r="15489" s="5" customFormat="1" x14ac:dyDescent="0.4"/>
    <row r="15490" s="5" customFormat="1" x14ac:dyDescent="0.4"/>
    <row r="15491" s="5" customFormat="1" x14ac:dyDescent="0.4"/>
    <row r="15492" s="5" customFormat="1" x14ac:dyDescent="0.4"/>
    <row r="15493" s="5" customFormat="1" x14ac:dyDescent="0.4"/>
    <row r="15494" s="5" customFormat="1" x14ac:dyDescent="0.4"/>
    <row r="15495" s="5" customFormat="1" x14ac:dyDescent="0.4"/>
    <row r="15496" s="5" customFormat="1" x14ac:dyDescent="0.4"/>
    <row r="15497" s="5" customFormat="1" x14ac:dyDescent="0.4"/>
    <row r="15498" s="5" customFormat="1" x14ac:dyDescent="0.4"/>
    <row r="15499" s="5" customFormat="1" x14ac:dyDescent="0.4"/>
    <row r="15500" s="5" customFormat="1" x14ac:dyDescent="0.4"/>
    <row r="15501" s="5" customFormat="1" x14ac:dyDescent="0.4"/>
    <row r="15502" s="5" customFormat="1" x14ac:dyDescent="0.4"/>
    <row r="15503" s="5" customFormat="1" x14ac:dyDescent="0.4"/>
    <row r="15504" s="5" customFormat="1" x14ac:dyDescent="0.4"/>
    <row r="15505" s="5" customFormat="1" x14ac:dyDescent="0.4"/>
    <row r="15506" s="5" customFormat="1" x14ac:dyDescent="0.4"/>
    <row r="15507" s="5" customFormat="1" x14ac:dyDescent="0.4"/>
    <row r="15508" s="5" customFormat="1" x14ac:dyDescent="0.4"/>
    <row r="15509" s="5" customFormat="1" x14ac:dyDescent="0.4"/>
    <row r="15510" s="5" customFormat="1" x14ac:dyDescent="0.4"/>
    <row r="15511" s="5" customFormat="1" x14ac:dyDescent="0.4"/>
    <row r="15512" s="5" customFormat="1" x14ac:dyDescent="0.4"/>
    <row r="15513" s="5" customFormat="1" x14ac:dyDescent="0.4"/>
    <row r="15514" s="5" customFormat="1" x14ac:dyDescent="0.4"/>
    <row r="15515" s="5" customFormat="1" x14ac:dyDescent="0.4"/>
    <row r="15516" s="5" customFormat="1" x14ac:dyDescent="0.4"/>
    <row r="15517" s="5" customFormat="1" x14ac:dyDescent="0.4"/>
    <row r="15518" s="5" customFormat="1" x14ac:dyDescent="0.4"/>
    <row r="15519" s="5" customFormat="1" x14ac:dyDescent="0.4"/>
    <row r="15520" s="5" customFormat="1" x14ac:dyDescent="0.4"/>
    <row r="15521" s="5" customFormat="1" x14ac:dyDescent="0.4"/>
    <row r="15522" s="5" customFormat="1" x14ac:dyDescent="0.4"/>
    <row r="15523" s="5" customFormat="1" x14ac:dyDescent="0.4"/>
    <row r="15524" s="5" customFormat="1" x14ac:dyDescent="0.4"/>
    <row r="15525" s="5" customFormat="1" x14ac:dyDescent="0.4"/>
    <row r="15526" s="5" customFormat="1" x14ac:dyDescent="0.4"/>
    <row r="15527" s="5" customFormat="1" x14ac:dyDescent="0.4"/>
    <row r="15528" s="5" customFormat="1" x14ac:dyDescent="0.4"/>
    <row r="15529" s="5" customFormat="1" x14ac:dyDescent="0.4"/>
    <row r="15530" s="5" customFormat="1" x14ac:dyDescent="0.4"/>
    <row r="15531" s="5" customFormat="1" x14ac:dyDescent="0.4"/>
    <row r="15532" s="5" customFormat="1" x14ac:dyDescent="0.4"/>
    <row r="15533" s="5" customFormat="1" x14ac:dyDescent="0.4"/>
    <row r="15534" s="5" customFormat="1" x14ac:dyDescent="0.4"/>
    <row r="15535" s="5" customFormat="1" x14ac:dyDescent="0.4"/>
    <row r="15536" s="5" customFormat="1" x14ac:dyDescent="0.4"/>
    <row r="15537" s="5" customFormat="1" x14ac:dyDescent="0.4"/>
    <row r="15538" s="5" customFormat="1" x14ac:dyDescent="0.4"/>
    <row r="15539" s="5" customFormat="1" x14ac:dyDescent="0.4"/>
    <row r="15540" s="5" customFormat="1" x14ac:dyDescent="0.4"/>
    <row r="15541" s="5" customFormat="1" x14ac:dyDescent="0.4"/>
    <row r="15542" s="5" customFormat="1" x14ac:dyDescent="0.4"/>
    <row r="15543" s="5" customFormat="1" x14ac:dyDescent="0.4"/>
    <row r="15544" s="5" customFormat="1" x14ac:dyDescent="0.4"/>
    <row r="15545" s="5" customFormat="1" x14ac:dyDescent="0.4"/>
    <row r="15546" s="5" customFormat="1" x14ac:dyDescent="0.4"/>
    <row r="15547" s="5" customFormat="1" x14ac:dyDescent="0.4"/>
    <row r="15548" s="5" customFormat="1" x14ac:dyDescent="0.4"/>
    <row r="15549" s="5" customFormat="1" x14ac:dyDescent="0.4"/>
    <row r="15550" s="5" customFormat="1" x14ac:dyDescent="0.4"/>
    <row r="15551" s="5" customFormat="1" x14ac:dyDescent="0.4"/>
    <row r="15552" s="5" customFormat="1" x14ac:dyDescent="0.4"/>
    <row r="15553" s="5" customFormat="1" x14ac:dyDescent="0.4"/>
    <row r="15554" s="5" customFormat="1" x14ac:dyDescent="0.4"/>
    <row r="15555" s="5" customFormat="1" x14ac:dyDescent="0.4"/>
    <row r="15556" s="5" customFormat="1" x14ac:dyDescent="0.4"/>
    <row r="15557" s="5" customFormat="1" x14ac:dyDescent="0.4"/>
    <row r="15558" s="5" customFormat="1" x14ac:dyDescent="0.4"/>
    <row r="15559" s="5" customFormat="1" x14ac:dyDescent="0.4"/>
    <row r="15560" s="5" customFormat="1" x14ac:dyDescent="0.4"/>
    <row r="15561" s="5" customFormat="1" x14ac:dyDescent="0.4"/>
    <row r="15562" s="5" customFormat="1" x14ac:dyDescent="0.4"/>
    <row r="15563" s="5" customFormat="1" x14ac:dyDescent="0.4"/>
    <row r="15564" s="5" customFormat="1" x14ac:dyDescent="0.4"/>
    <row r="15565" s="5" customFormat="1" x14ac:dyDescent="0.4"/>
    <row r="15566" s="5" customFormat="1" x14ac:dyDescent="0.4"/>
    <row r="15567" s="5" customFormat="1" x14ac:dyDescent="0.4"/>
    <row r="15568" s="5" customFormat="1" x14ac:dyDescent="0.4"/>
    <row r="15569" s="5" customFormat="1" x14ac:dyDescent="0.4"/>
    <row r="15570" s="5" customFormat="1" x14ac:dyDescent="0.4"/>
    <row r="15571" s="5" customFormat="1" x14ac:dyDescent="0.4"/>
    <row r="15572" s="5" customFormat="1" x14ac:dyDescent="0.4"/>
    <row r="15573" s="5" customFormat="1" x14ac:dyDescent="0.4"/>
    <row r="15574" s="5" customFormat="1" x14ac:dyDescent="0.4"/>
    <row r="15575" s="5" customFormat="1" x14ac:dyDescent="0.4"/>
    <row r="15576" s="5" customFormat="1" x14ac:dyDescent="0.4"/>
    <row r="15577" s="5" customFormat="1" x14ac:dyDescent="0.4"/>
    <row r="15578" s="5" customFormat="1" x14ac:dyDescent="0.4"/>
    <row r="15579" s="5" customFormat="1" x14ac:dyDescent="0.4"/>
    <row r="15580" s="5" customFormat="1" x14ac:dyDescent="0.4"/>
    <row r="15581" s="5" customFormat="1" x14ac:dyDescent="0.4"/>
    <row r="15582" s="5" customFormat="1" x14ac:dyDescent="0.4"/>
    <row r="15583" s="5" customFormat="1" x14ac:dyDescent="0.4"/>
    <row r="15584" s="5" customFormat="1" x14ac:dyDescent="0.4"/>
    <row r="15585" s="5" customFormat="1" x14ac:dyDescent="0.4"/>
    <row r="15586" s="5" customFormat="1" x14ac:dyDescent="0.4"/>
    <row r="15587" s="5" customFormat="1" x14ac:dyDescent="0.4"/>
    <row r="15588" s="5" customFormat="1" x14ac:dyDescent="0.4"/>
    <row r="15589" s="5" customFormat="1" x14ac:dyDescent="0.4"/>
    <row r="15590" s="5" customFormat="1" x14ac:dyDescent="0.4"/>
    <row r="15591" s="5" customFormat="1" x14ac:dyDescent="0.4"/>
    <row r="15592" s="5" customFormat="1" x14ac:dyDescent="0.4"/>
    <row r="15593" s="5" customFormat="1" x14ac:dyDescent="0.4"/>
    <row r="15594" s="5" customFormat="1" x14ac:dyDescent="0.4"/>
    <row r="15595" s="5" customFormat="1" x14ac:dyDescent="0.4"/>
    <row r="15596" s="5" customFormat="1" x14ac:dyDescent="0.4"/>
    <row r="15597" s="5" customFormat="1" x14ac:dyDescent="0.4"/>
    <row r="15598" s="5" customFormat="1" x14ac:dyDescent="0.4"/>
    <row r="15599" s="5" customFormat="1" x14ac:dyDescent="0.4"/>
    <row r="15600" s="5" customFormat="1" x14ac:dyDescent="0.4"/>
    <row r="15601" s="5" customFormat="1" x14ac:dyDescent="0.4"/>
    <row r="15602" s="5" customFormat="1" x14ac:dyDescent="0.4"/>
    <row r="15603" s="5" customFormat="1" x14ac:dyDescent="0.4"/>
    <row r="15604" s="5" customFormat="1" x14ac:dyDescent="0.4"/>
    <row r="15605" s="5" customFormat="1" x14ac:dyDescent="0.4"/>
    <row r="15606" s="5" customFormat="1" x14ac:dyDescent="0.4"/>
    <row r="15607" s="5" customFormat="1" x14ac:dyDescent="0.4"/>
    <row r="15608" s="5" customFormat="1" x14ac:dyDescent="0.4"/>
    <row r="15609" s="5" customFormat="1" x14ac:dyDescent="0.4"/>
    <row r="15610" s="5" customFormat="1" x14ac:dyDescent="0.4"/>
    <row r="15611" s="5" customFormat="1" x14ac:dyDescent="0.4"/>
    <row r="15612" s="5" customFormat="1" x14ac:dyDescent="0.4"/>
    <row r="15613" s="5" customFormat="1" x14ac:dyDescent="0.4"/>
    <row r="15614" s="5" customFormat="1" x14ac:dyDescent="0.4"/>
    <row r="15615" s="5" customFormat="1" x14ac:dyDescent="0.4"/>
    <row r="15616" s="5" customFormat="1" x14ac:dyDescent="0.4"/>
    <row r="15617" s="5" customFormat="1" x14ac:dyDescent="0.4"/>
    <row r="15618" s="5" customFormat="1" x14ac:dyDescent="0.4"/>
    <row r="15619" s="5" customFormat="1" x14ac:dyDescent="0.4"/>
    <row r="15620" s="5" customFormat="1" x14ac:dyDescent="0.4"/>
    <row r="15621" s="5" customFormat="1" x14ac:dyDescent="0.4"/>
    <row r="15622" s="5" customFormat="1" x14ac:dyDescent="0.4"/>
    <row r="15623" s="5" customFormat="1" x14ac:dyDescent="0.4"/>
    <row r="15624" s="5" customFormat="1" x14ac:dyDescent="0.4"/>
    <row r="15625" s="5" customFormat="1" x14ac:dyDescent="0.4"/>
    <row r="15626" s="5" customFormat="1" x14ac:dyDescent="0.4"/>
    <row r="15627" s="5" customFormat="1" x14ac:dyDescent="0.4"/>
    <row r="15628" s="5" customFormat="1" x14ac:dyDescent="0.4"/>
    <row r="15629" s="5" customFormat="1" x14ac:dyDescent="0.4"/>
    <row r="15630" s="5" customFormat="1" x14ac:dyDescent="0.4"/>
    <row r="15631" s="5" customFormat="1" x14ac:dyDescent="0.4"/>
    <row r="15632" s="5" customFormat="1" x14ac:dyDescent="0.4"/>
    <row r="15633" s="5" customFormat="1" x14ac:dyDescent="0.4"/>
    <row r="15634" s="5" customFormat="1" x14ac:dyDescent="0.4"/>
    <row r="15635" s="5" customFormat="1" x14ac:dyDescent="0.4"/>
    <row r="15636" s="5" customFormat="1" x14ac:dyDescent="0.4"/>
    <row r="15637" s="5" customFormat="1" x14ac:dyDescent="0.4"/>
    <row r="15638" s="5" customFormat="1" x14ac:dyDescent="0.4"/>
    <row r="15639" s="5" customFormat="1" x14ac:dyDescent="0.4"/>
    <row r="15640" s="5" customFormat="1" x14ac:dyDescent="0.4"/>
    <row r="15641" s="5" customFormat="1" x14ac:dyDescent="0.4"/>
    <row r="15642" s="5" customFormat="1" x14ac:dyDescent="0.4"/>
    <row r="15643" s="5" customFormat="1" x14ac:dyDescent="0.4"/>
    <row r="15644" s="5" customFormat="1" x14ac:dyDescent="0.4"/>
    <row r="15645" s="5" customFormat="1" x14ac:dyDescent="0.4"/>
    <row r="15646" s="5" customFormat="1" x14ac:dyDescent="0.4"/>
    <row r="15647" s="5" customFormat="1" x14ac:dyDescent="0.4"/>
    <row r="15648" s="5" customFormat="1" x14ac:dyDescent="0.4"/>
    <row r="15649" s="5" customFormat="1" x14ac:dyDescent="0.4"/>
    <row r="15650" s="5" customFormat="1" x14ac:dyDescent="0.4"/>
    <row r="15651" s="5" customFormat="1" x14ac:dyDescent="0.4"/>
    <row r="15652" s="5" customFormat="1" x14ac:dyDescent="0.4"/>
    <row r="15653" s="5" customFormat="1" x14ac:dyDescent="0.4"/>
    <row r="15654" s="5" customFormat="1" x14ac:dyDescent="0.4"/>
    <row r="15655" s="5" customFormat="1" x14ac:dyDescent="0.4"/>
    <row r="15656" s="5" customFormat="1" x14ac:dyDescent="0.4"/>
    <row r="15657" s="5" customFormat="1" x14ac:dyDescent="0.4"/>
    <row r="15658" s="5" customFormat="1" x14ac:dyDescent="0.4"/>
    <row r="15659" s="5" customFormat="1" x14ac:dyDescent="0.4"/>
    <row r="15660" s="5" customFormat="1" x14ac:dyDescent="0.4"/>
    <row r="15661" s="5" customFormat="1" x14ac:dyDescent="0.4"/>
    <row r="15662" s="5" customFormat="1" x14ac:dyDescent="0.4"/>
    <row r="15663" s="5" customFormat="1" x14ac:dyDescent="0.4"/>
    <row r="15664" s="5" customFormat="1" x14ac:dyDescent="0.4"/>
    <row r="15665" s="5" customFormat="1" x14ac:dyDescent="0.4"/>
    <row r="15666" s="5" customFormat="1" x14ac:dyDescent="0.4"/>
    <row r="15667" s="5" customFormat="1" x14ac:dyDescent="0.4"/>
    <row r="15668" s="5" customFormat="1" x14ac:dyDescent="0.4"/>
    <row r="15669" s="5" customFormat="1" x14ac:dyDescent="0.4"/>
    <row r="15670" s="5" customFormat="1" x14ac:dyDescent="0.4"/>
    <row r="15671" s="5" customFormat="1" x14ac:dyDescent="0.4"/>
    <row r="15672" s="5" customFormat="1" x14ac:dyDescent="0.4"/>
    <row r="15673" s="5" customFormat="1" x14ac:dyDescent="0.4"/>
    <row r="15674" s="5" customFormat="1" x14ac:dyDescent="0.4"/>
    <row r="15675" s="5" customFormat="1" x14ac:dyDescent="0.4"/>
    <row r="15676" s="5" customFormat="1" x14ac:dyDescent="0.4"/>
    <row r="15677" s="5" customFormat="1" x14ac:dyDescent="0.4"/>
    <row r="15678" s="5" customFormat="1" x14ac:dyDescent="0.4"/>
    <row r="15679" s="5" customFormat="1" x14ac:dyDescent="0.4"/>
    <row r="15680" s="5" customFormat="1" x14ac:dyDescent="0.4"/>
    <row r="15681" s="5" customFormat="1" x14ac:dyDescent="0.4"/>
    <row r="15682" s="5" customFormat="1" x14ac:dyDescent="0.4"/>
    <row r="15683" s="5" customFormat="1" x14ac:dyDescent="0.4"/>
    <row r="15684" s="5" customFormat="1" x14ac:dyDescent="0.4"/>
    <row r="15685" s="5" customFormat="1" x14ac:dyDescent="0.4"/>
    <row r="15686" s="5" customFormat="1" x14ac:dyDescent="0.4"/>
    <row r="15687" s="5" customFormat="1" x14ac:dyDescent="0.4"/>
    <row r="15688" s="5" customFormat="1" x14ac:dyDescent="0.4"/>
    <row r="15689" s="5" customFormat="1" x14ac:dyDescent="0.4"/>
    <row r="15690" s="5" customFormat="1" x14ac:dyDescent="0.4"/>
    <row r="15691" s="5" customFormat="1" x14ac:dyDescent="0.4"/>
    <row r="15692" s="5" customFormat="1" x14ac:dyDescent="0.4"/>
    <row r="15693" s="5" customFormat="1" x14ac:dyDescent="0.4"/>
    <row r="15694" s="5" customFormat="1" x14ac:dyDescent="0.4"/>
    <row r="15695" s="5" customFormat="1" x14ac:dyDescent="0.4"/>
    <row r="15696" s="5" customFormat="1" x14ac:dyDescent="0.4"/>
    <row r="15697" s="5" customFormat="1" x14ac:dyDescent="0.4"/>
    <row r="15698" s="5" customFormat="1" x14ac:dyDescent="0.4"/>
    <row r="15699" s="5" customFormat="1" x14ac:dyDescent="0.4"/>
    <row r="15700" s="5" customFormat="1" x14ac:dyDescent="0.4"/>
    <row r="15701" s="5" customFormat="1" x14ac:dyDescent="0.4"/>
    <row r="15702" s="5" customFormat="1" x14ac:dyDescent="0.4"/>
    <row r="15703" s="5" customFormat="1" x14ac:dyDescent="0.4"/>
    <row r="15704" s="5" customFormat="1" x14ac:dyDescent="0.4"/>
    <row r="15705" s="5" customFormat="1" x14ac:dyDescent="0.4"/>
    <row r="15706" s="5" customFormat="1" x14ac:dyDescent="0.4"/>
    <row r="15707" s="5" customFormat="1" x14ac:dyDescent="0.4"/>
    <row r="15708" s="5" customFormat="1" x14ac:dyDescent="0.4"/>
    <row r="15709" s="5" customFormat="1" x14ac:dyDescent="0.4"/>
    <row r="15710" s="5" customFormat="1" x14ac:dyDescent="0.4"/>
    <row r="15711" s="5" customFormat="1" x14ac:dyDescent="0.4"/>
    <row r="15712" s="5" customFormat="1" x14ac:dyDescent="0.4"/>
    <row r="15713" s="5" customFormat="1" x14ac:dyDescent="0.4"/>
    <row r="15714" s="5" customFormat="1" x14ac:dyDescent="0.4"/>
    <row r="15715" s="5" customFormat="1" x14ac:dyDescent="0.4"/>
    <row r="15716" s="5" customFormat="1" x14ac:dyDescent="0.4"/>
    <row r="15717" s="5" customFormat="1" x14ac:dyDescent="0.4"/>
    <row r="15718" s="5" customFormat="1" x14ac:dyDescent="0.4"/>
    <row r="15719" s="5" customFormat="1" x14ac:dyDescent="0.4"/>
    <row r="15720" s="5" customFormat="1" x14ac:dyDescent="0.4"/>
    <row r="15721" s="5" customFormat="1" x14ac:dyDescent="0.4"/>
    <row r="15722" s="5" customFormat="1" x14ac:dyDescent="0.4"/>
    <row r="15723" s="5" customFormat="1" x14ac:dyDescent="0.4"/>
    <row r="15724" s="5" customFormat="1" x14ac:dyDescent="0.4"/>
    <row r="15725" s="5" customFormat="1" x14ac:dyDescent="0.4"/>
    <row r="15726" s="5" customFormat="1" x14ac:dyDescent="0.4"/>
    <row r="15727" s="5" customFormat="1" x14ac:dyDescent="0.4"/>
    <row r="15728" s="5" customFormat="1" x14ac:dyDescent="0.4"/>
    <row r="15729" s="5" customFormat="1" x14ac:dyDescent="0.4"/>
    <row r="15730" s="5" customFormat="1" x14ac:dyDescent="0.4"/>
    <row r="15731" s="5" customFormat="1" x14ac:dyDescent="0.4"/>
    <row r="15732" s="5" customFormat="1" x14ac:dyDescent="0.4"/>
    <row r="15733" s="5" customFormat="1" x14ac:dyDescent="0.4"/>
    <row r="15734" s="5" customFormat="1" x14ac:dyDescent="0.4"/>
    <row r="15735" s="5" customFormat="1" x14ac:dyDescent="0.4"/>
    <row r="15736" s="5" customFormat="1" x14ac:dyDescent="0.4"/>
    <row r="15737" s="5" customFormat="1" x14ac:dyDescent="0.4"/>
    <row r="15738" s="5" customFormat="1" x14ac:dyDescent="0.4"/>
    <row r="15739" s="5" customFormat="1" x14ac:dyDescent="0.4"/>
    <row r="15740" s="5" customFormat="1" x14ac:dyDescent="0.4"/>
    <row r="15741" s="5" customFormat="1" x14ac:dyDescent="0.4"/>
    <row r="15742" s="5" customFormat="1" x14ac:dyDescent="0.4"/>
    <row r="15743" s="5" customFormat="1" x14ac:dyDescent="0.4"/>
    <row r="15744" s="5" customFormat="1" x14ac:dyDescent="0.4"/>
    <row r="15745" s="5" customFormat="1" x14ac:dyDescent="0.4"/>
    <row r="15746" s="5" customFormat="1" x14ac:dyDescent="0.4"/>
    <row r="15747" s="5" customFormat="1" x14ac:dyDescent="0.4"/>
    <row r="15748" s="5" customFormat="1" x14ac:dyDescent="0.4"/>
    <row r="15749" s="5" customFormat="1" x14ac:dyDescent="0.4"/>
    <row r="15750" s="5" customFormat="1" x14ac:dyDescent="0.4"/>
    <row r="15751" s="5" customFormat="1" x14ac:dyDescent="0.4"/>
    <row r="15752" s="5" customFormat="1" x14ac:dyDescent="0.4"/>
    <row r="15753" s="5" customFormat="1" x14ac:dyDescent="0.4"/>
    <row r="15754" s="5" customFormat="1" x14ac:dyDescent="0.4"/>
    <row r="15755" s="5" customFormat="1" x14ac:dyDescent="0.4"/>
    <row r="15756" s="5" customFormat="1" x14ac:dyDescent="0.4"/>
    <row r="15757" s="5" customFormat="1" x14ac:dyDescent="0.4"/>
    <row r="15758" s="5" customFormat="1" x14ac:dyDescent="0.4"/>
    <row r="15759" s="5" customFormat="1" x14ac:dyDescent="0.4"/>
    <row r="15760" s="5" customFormat="1" x14ac:dyDescent="0.4"/>
    <row r="15761" s="5" customFormat="1" x14ac:dyDescent="0.4"/>
    <row r="15762" s="5" customFormat="1" x14ac:dyDescent="0.4"/>
    <row r="15763" s="5" customFormat="1" x14ac:dyDescent="0.4"/>
    <row r="15764" s="5" customFormat="1" x14ac:dyDescent="0.4"/>
    <row r="15765" s="5" customFormat="1" x14ac:dyDescent="0.4"/>
    <row r="15766" s="5" customFormat="1" x14ac:dyDescent="0.4"/>
    <row r="15767" s="5" customFormat="1" x14ac:dyDescent="0.4"/>
    <row r="15768" s="5" customFormat="1" x14ac:dyDescent="0.4"/>
    <row r="15769" s="5" customFormat="1" x14ac:dyDescent="0.4"/>
    <row r="15770" s="5" customFormat="1" x14ac:dyDescent="0.4"/>
    <row r="15771" s="5" customFormat="1" x14ac:dyDescent="0.4"/>
    <row r="15772" s="5" customFormat="1" x14ac:dyDescent="0.4"/>
    <row r="15773" s="5" customFormat="1" x14ac:dyDescent="0.4"/>
    <row r="15774" s="5" customFormat="1" x14ac:dyDescent="0.4"/>
    <row r="15775" s="5" customFormat="1" x14ac:dyDescent="0.4"/>
    <row r="15776" s="5" customFormat="1" x14ac:dyDescent="0.4"/>
    <row r="15777" s="5" customFormat="1" x14ac:dyDescent="0.4"/>
    <row r="15778" s="5" customFormat="1" x14ac:dyDescent="0.4"/>
    <row r="15779" s="5" customFormat="1" x14ac:dyDescent="0.4"/>
    <row r="15780" s="5" customFormat="1" x14ac:dyDescent="0.4"/>
    <row r="15781" s="5" customFormat="1" x14ac:dyDescent="0.4"/>
    <row r="15782" s="5" customFormat="1" x14ac:dyDescent="0.4"/>
    <row r="15783" s="5" customFormat="1" x14ac:dyDescent="0.4"/>
    <row r="15784" s="5" customFormat="1" x14ac:dyDescent="0.4"/>
    <row r="15785" s="5" customFormat="1" x14ac:dyDescent="0.4"/>
    <row r="15786" s="5" customFormat="1" x14ac:dyDescent="0.4"/>
    <row r="15787" s="5" customFormat="1" x14ac:dyDescent="0.4"/>
    <row r="15788" s="5" customFormat="1" x14ac:dyDescent="0.4"/>
    <row r="15789" s="5" customFormat="1" x14ac:dyDescent="0.4"/>
    <row r="15790" s="5" customFormat="1" x14ac:dyDescent="0.4"/>
    <row r="15791" s="5" customFormat="1" x14ac:dyDescent="0.4"/>
    <row r="15792" s="5" customFormat="1" x14ac:dyDescent="0.4"/>
    <row r="15793" s="5" customFormat="1" x14ac:dyDescent="0.4"/>
    <row r="15794" s="5" customFormat="1" x14ac:dyDescent="0.4"/>
    <row r="15795" s="5" customFormat="1" x14ac:dyDescent="0.4"/>
    <row r="15796" s="5" customFormat="1" x14ac:dyDescent="0.4"/>
    <row r="15797" s="5" customFormat="1" x14ac:dyDescent="0.4"/>
    <row r="15798" s="5" customFormat="1" x14ac:dyDescent="0.4"/>
    <row r="15799" s="5" customFormat="1" x14ac:dyDescent="0.4"/>
    <row r="15800" s="5" customFormat="1" x14ac:dyDescent="0.4"/>
    <row r="15801" s="5" customFormat="1" x14ac:dyDescent="0.4"/>
    <row r="15802" s="5" customFormat="1" x14ac:dyDescent="0.4"/>
    <row r="15803" s="5" customFormat="1" x14ac:dyDescent="0.4"/>
    <row r="15804" s="5" customFormat="1" x14ac:dyDescent="0.4"/>
    <row r="15805" s="5" customFormat="1" x14ac:dyDescent="0.4"/>
    <row r="15806" s="5" customFormat="1" x14ac:dyDescent="0.4"/>
    <row r="15807" s="5" customFormat="1" x14ac:dyDescent="0.4"/>
    <row r="15808" s="5" customFormat="1" x14ac:dyDescent="0.4"/>
    <row r="15809" s="5" customFormat="1" x14ac:dyDescent="0.4"/>
    <row r="15810" s="5" customFormat="1" x14ac:dyDescent="0.4"/>
    <row r="15811" s="5" customFormat="1" x14ac:dyDescent="0.4"/>
    <row r="15812" s="5" customFormat="1" x14ac:dyDescent="0.4"/>
    <row r="15813" s="5" customFormat="1" x14ac:dyDescent="0.4"/>
    <row r="15814" s="5" customFormat="1" x14ac:dyDescent="0.4"/>
    <row r="15815" s="5" customFormat="1" x14ac:dyDescent="0.4"/>
    <row r="15816" s="5" customFormat="1" x14ac:dyDescent="0.4"/>
    <row r="15817" s="5" customFormat="1" x14ac:dyDescent="0.4"/>
    <row r="15818" s="5" customFormat="1" x14ac:dyDescent="0.4"/>
    <row r="15819" s="5" customFormat="1" x14ac:dyDescent="0.4"/>
    <row r="15820" s="5" customFormat="1" x14ac:dyDescent="0.4"/>
    <row r="15821" s="5" customFormat="1" x14ac:dyDescent="0.4"/>
    <row r="15822" s="5" customFormat="1" x14ac:dyDescent="0.4"/>
    <row r="15823" s="5" customFormat="1" x14ac:dyDescent="0.4"/>
    <row r="15824" s="5" customFormat="1" x14ac:dyDescent="0.4"/>
    <row r="15825" s="5" customFormat="1" x14ac:dyDescent="0.4"/>
    <row r="15826" s="5" customFormat="1" x14ac:dyDescent="0.4"/>
    <row r="15827" s="5" customFormat="1" x14ac:dyDescent="0.4"/>
    <row r="15828" s="5" customFormat="1" x14ac:dyDescent="0.4"/>
    <row r="15829" s="5" customFormat="1" x14ac:dyDescent="0.4"/>
    <row r="15830" s="5" customFormat="1" x14ac:dyDescent="0.4"/>
    <row r="15831" s="5" customFormat="1" x14ac:dyDescent="0.4"/>
    <row r="15832" s="5" customFormat="1" x14ac:dyDescent="0.4"/>
    <row r="15833" s="5" customFormat="1" x14ac:dyDescent="0.4"/>
    <row r="15834" s="5" customFormat="1" x14ac:dyDescent="0.4"/>
    <row r="15835" s="5" customFormat="1" x14ac:dyDescent="0.4"/>
    <row r="15836" s="5" customFormat="1" x14ac:dyDescent="0.4"/>
    <row r="15837" s="5" customFormat="1" x14ac:dyDescent="0.4"/>
    <row r="15838" s="5" customFormat="1" x14ac:dyDescent="0.4"/>
    <row r="15839" s="5" customFormat="1" x14ac:dyDescent="0.4"/>
    <row r="15840" s="5" customFormat="1" x14ac:dyDescent="0.4"/>
    <row r="15841" s="5" customFormat="1" x14ac:dyDescent="0.4"/>
    <row r="15842" s="5" customFormat="1" x14ac:dyDescent="0.4"/>
    <row r="15843" s="5" customFormat="1" x14ac:dyDescent="0.4"/>
    <row r="15844" s="5" customFormat="1" x14ac:dyDescent="0.4"/>
    <row r="15845" s="5" customFormat="1" x14ac:dyDescent="0.4"/>
    <row r="15846" s="5" customFormat="1" x14ac:dyDescent="0.4"/>
    <row r="15847" s="5" customFormat="1" x14ac:dyDescent="0.4"/>
    <row r="15848" s="5" customFormat="1" x14ac:dyDescent="0.4"/>
    <row r="15849" s="5" customFormat="1" x14ac:dyDescent="0.4"/>
    <row r="15850" s="5" customFormat="1" x14ac:dyDescent="0.4"/>
    <row r="15851" s="5" customFormat="1" x14ac:dyDescent="0.4"/>
    <row r="15852" s="5" customFormat="1" x14ac:dyDescent="0.4"/>
    <row r="15853" s="5" customFormat="1" x14ac:dyDescent="0.4"/>
    <row r="15854" s="5" customFormat="1" x14ac:dyDescent="0.4"/>
    <row r="15855" s="5" customFormat="1" x14ac:dyDescent="0.4"/>
    <row r="15856" s="5" customFormat="1" x14ac:dyDescent="0.4"/>
    <row r="15857" s="5" customFormat="1" x14ac:dyDescent="0.4"/>
    <row r="15858" s="5" customFormat="1" x14ac:dyDescent="0.4"/>
    <row r="15859" s="5" customFormat="1" x14ac:dyDescent="0.4"/>
    <row r="15860" s="5" customFormat="1" x14ac:dyDescent="0.4"/>
    <row r="15861" s="5" customFormat="1" x14ac:dyDescent="0.4"/>
    <row r="15862" s="5" customFormat="1" x14ac:dyDescent="0.4"/>
    <row r="15863" s="5" customFormat="1" x14ac:dyDescent="0.4"/>
    <row r="15864" s="5" customFormat="1" x14ac:dyDescent="0.4"/>
    <row r="15865" s="5" customFormat="1" x14ac:dyDescent="0.4"/>
    <row r="15866" s="5" customFormat="1" x14ac:dyDescent="0.4"/>
    <row r="15867" s="5" customFormat="1" x14ac:dyDescent="0.4"/>
    <row r="15868" s="5" customFormat="1" x14ac:dyDescent="0.4"/>
    <row r="15869" s="5" customFormat="1" x14ac:dyDescent="0.4"/>
    <row r="15870" s="5" customFormat="1" x14ac:dyDescent="0.4"/>
    <row r="15871" s="5" customFormat="1" x14ac:dyDescent="0.4"/>
    <row r="15872" s="5" customFormat="1" x14ac:dyDescent="0.4"/>
    <row r="15873" s="5" customFormat="1" x14ac:dyDescent="0.4"/>
    <row r="15874" s="5" customFormat="1" x14ac:dyDescent="0.4"/>
    <row r="15875" s="5" customFormat="1" x14ac:dyDescent="0.4"/>
    <row r="15876" s="5" customFormat="1" x14ac:dyDescent="0.4"/>
    <row r="15877" s="5" customFormat="1" x14ac:dyDescent="0.4"/>
    <row r="15878" s="5" customFormat="1" x14ac:dyDescent="0.4"/>
    <row r="15879" s="5" customFormat="1" x14ac:dyDescent="0.4"/>
    <row r="15880" s="5" customFormat="1" x14ac:dyDescent="0.4"/>
    <row r="15881" s="5" customFormat="1" x14ac:dyDescent="0.4"/>
    <row r="15882" s="5" customFormat="1" x14ac:dyDescent="0.4"/>
    <row r="15883" s="5" customFormat="1" x14ac:dyDescent="0.4"/>
    <row r="15884" s="5" customFormat="1" x14ac:dyDescent="0.4"/>
    <row r="15885" s="5" customFormat="1" x14ac:dyDescent="0.4"/>
    <row r="15886" s="5" customFormat="1" x14ac:dyDescent="0.4"/>
    <row r="15887" s="5" customFormat="1" x14ac:dyDescent="0.4"/>
    <row r="15888" s="5" customFormat="1" x14ac:dyDescent="0.4"/>
    <row r="15889" s="5" customFormat="1" x14ac:dyDescent="0.4"/>
    <row r="15890" s="5" customFormat="1" x14ac:dyDescent="0.4"/>
    <row r="15891" s="5" customFormat="1" x14ac:dyDescent="0.4"/>
    <row r="15892" s="5" customFormat="1" x14ac:dyDescent="0.4"/>
    <row r="15893" s="5" customFormat="1" x14ac:dyDescent="0.4"/>
    <row r="15894" s="5" customFormat="1" x14ac:dyDescent="0.4"/>
    <row r="15895" s="5" customFormat="1" x14ac:dyDescent="0.4"/>
    <row r="15896" s="5" customFormat="1" x14ac:dyDescent="0.4"/>
    <row r="15897" s="5" customFormat="1" x14ac:dyDescent="0.4"/>
    <row r="15898" s="5" customFormat="1" x14ac:dyDescent="0.4"/>
    <row r="15899" s="5" customFormat="1" x14ac:dyDescent="0.4"/>
    <row r="15900" s="5" customFormat="1" x14ac:dyDescent="0.4"/>
    <row r="15901" s="5" customFormat="1" x14ac:dyDescent="0.4"/>
    <row r="15902" s="5" customFormat="1" x14ac:dyDescent="0.4"/>
    <row r="15903" s="5" customFormat="1" x14ac:dyDescent="0.4"/>
    <row r="15904" s="5" customFormat="1" x14ac:dyDescent="0.4"/>
    <row r="15905" s="5" customFormat="1" x14ac:dyDescent="0.4"/>
    <row r="15906" s="5" customFormat="1" x14ac:dyDescent="0.4"/>
    <row r="15907" s="5" customFormat="1" x14ac:dyDescent="0.4"/>
    <row r="15908" s="5" customFormat="1" x14ac:dyDescent="0.4"/>
    <row r="15909" s="5" customFormat="1" x14ac:dyDescent="0.4"/>
    <row r="15910" s="5" customFormat="1" x14ac:dyDescent="0.4"/>
    <row r="15911" s="5" customFormat="1" x14ac:dyDescent="0.4"/>
    <row r="15912" s="5" customFormat="1" x14ac:dyDescent="0.4"/>
    <row r="15913" s="5" customFormat="1" x14ac:dyDescent="0.4"/>
    <row r="15914" s="5" customFormat="1" x14ac:dyDescent="0.4"/>
    <row r="15915" s="5" customFormat="1" x14ac:dyDescent="0.4"/>
    <row r="15916" s="5" customFormat="1" x14ac:dyDescent="0.4"/>
    <row r="15917" s="5" customFormat="1" x14ac:dyDescent="0.4"/>
    <row r="15918" s="5" customFormat="1" x14ac:dyDescent="0.4"/>
    <row r="15919" s="5" customFormat="1" x14ac:dyDescent="0.4"/>
    <row r="15920" s="5" customFormat="1" x14ac:dyDescent="0.4"/>
    <row r="15921" s="5" customFormat="1" x14ac:dyDescent="0.4"/>
    <row r="15922" s="5" customFormat="1" x14ac:dyDescent="0.4"/>
    <row r="15923" s="5" customFormat="1" x14ac:dyDescent="0.4"/>
    <row r="15924" s="5" customFormat="1" x14ac:dyDescent="0.4"/>
    <row r="15925" s="5" customFormat="1" x14ac:dyDescent="0.4"/>
    <row r="15926" s="5" customFormat="1" x14ac:dyDescent="0.4"/>
    <row r="15927" s="5" customFormat="1" x14ac:dyDescent="0.4"/>
    <row r="15928" s="5" customFormat="1" x14ac:dyDescent="0.4"/>
    <row r="15929" s="5" customFormat="1" x14ac:dyDescent="0.4"/>
    <row r="15930" s="5" customFormat="1" x14ac:dyDescent="0.4"/>
    <row r="15931" s="5" customFormat="1" x14ac:dyDescent="0.4"/>
    <row r="15932" s="5" customFormat="1" x14ac:dyDescent="0.4"/>
    <row r="15933" s="5" customFormat="1" x14ac:dyDescent="0.4"/>
    <row r="15934" s="5" customFormat="1" x14ac:dyDescent="0.4"/>
    <row r="15935" s="5" customFormat="1" x14ac:dyDescent="0.4"/>
    <row r="15936" s="5" customFormat="1" x14ac:dyDescent="0.4"/>
    <row r="15937" s="5" customFormat="1" x14ac:dyDescent="0.4"/>
    <row r="15938" s="5" customFormat="1" x14ac:dyDescent="0.4"/>
    <row r="15939" s="5" customFormat="1" x14ac:dyDescent="0.4"/>
    <row r="15940" s="5" customFormat="1" x14ac:dyDescent="0.4"/>
    <row r="15941" s="5" customFormat="1" x14ac:dyDescent="0.4"/>
    <row r="15942" s="5" customFormat="1" x14ac:dyDescent="0.4"/>
    <row r="15943" s="5" customFormat="1" x14ac:dyDescent="0.4"/>
    <row r="15944" s="5" customFormat="1" x14ac:dyDescent="0.4"/>
    <row r="15945" s="5" customFormat="1" x14ac:dyDescent="0.4"/>
    <row r="15946" s="5" customFormat="1" x14ac:dyDescent="0.4"/>
    <row r="15947" s="5" customFormat="1" x14ac:dyDescent="0.4"/>
    <row r="15948" s="5" customFormat="1" x14ac:dyDescent="0.4"/>
    <row r="15949" s="5" customFormat="1" x14ac:dyDescent="0.4"/>
    <row r="15950" s="5" customFormat="1" x14ac:dyDescent="0.4"/>
    <row r="15951" s="5" customFormat="1" x14ac:dyDescent="0.4"/>
    <row r="15952" s="5" customFormat="1" x14ac:dyDescent="0.4"/>
    <row r="15953" s="5" customFormat="1" x14ac:dyDescent="0.4"/>
    <row r="15954" s="5" customFormat="1" x14ac:dyDescent="0.4"/>
    <row r="15955" s="5" customFormat="1" x14ac:dyDescent="0.4"/>
    <row r="15956" s="5" customFormat="1" x14ac:dyDescent="0.4"/>
    <row r="15957" s="5" customFormat="1" x14ac:dyDescent="0.4"/>
    <row r="15958" s="5" customFormat="1" x14ac:dyDescent="0.4"/>
    <row r="15959" s="5" customFormat="1" x14ac:dyDescent="0.4"/>
    <row r="15960" s="5" customFormat="1" x14ac:dyDescent="0.4"/>
    <row r="15961" s="5" customFormat="1" x14ac:dyDescent="0.4"/>
    <row r="15962" s="5" customFormat="1" x14ac:dyDescent="0.4"/>
    <row r="15963" s="5" customFormat="1" x14ac:dyDescent="0.4"/>
    <row r="15964" s="5" customFormat="1" x14ac:dyDescent="0.4"/>
    <row r="15965" s="5" customFormat="1" x14ac:dyDescent="0.4"/>
    <row r="15966" s="5" customFormat="1" x14ac:dyDescent="0.4"/>
    <row r="15967" s="5" customFormat="1" x14ac:dyDescent="0.4"/>
    <row r="15968" s="5" customFormat="1" x14ac:dyDescent="0.4"/>
    <row r="15969" s="5" customFormat="1" x14ac:dyDescent="0.4"/>
    <row r="15970" s="5" customFormat="1" x14ac:dyDescent="0.4"/>
    <row r="15971" s="5" customFormat="1" x14ac:dyDescent="0.4"/>
    <row r="15972" s="5" customFormat="1" x14ac:dyDescent="0.4"/>
    <row r="15973" s="5" customFormat="1" x14ac:dyDescent="0.4"/>
    <row r="15974" s="5" customFormat="1" x14ac:dyDescent="0.4"/>
    <row r="15975" s="5" customFormat="1" x14ac:dyDescent="0.4"/>
    <row r="15976" s="5" customFormat="1" x14ac:dyDescent="0.4"/>
    <row r="15977" s="5" customFormat="1" x14ac:dyDescent="0.4"/>
    <row r="15978" s="5" customFormat="1" x14ac:dyDescent="0.4"/>
    <row r="15979" s="5" customFormat="1" x14ac:dyDescent="0.4"/>
    <row r="15980" s="5" customFormat="1" x14ac:dyDescent="0.4"/>
    <row r="15981" s="5" customFormat="1" x14ac:dyDescent="0.4"/>
    <row r="15982" s="5" customFormat="1" x14ac:dyDescent="0.4"/>
    <row r="15983" s="5" customFormat="1" x14ac:dyDescent="0.4"/>
    <row r="15984" s="5" customFormat="1" x14ac:dyDescent="0.4"/>
    <row r="15985" s="5" customFormat="1" x14ac:dyDescent="0.4"/>
    <row r="15986" s="5" customFormat="1" x14ac:dyDescent="0.4"/>
    <row r="15987" s="5" customFormat="1" x14ac:dyDescent="0.4"/>
    <row r="15988" s="5" customFormat="1" x14ac:dyDescent="0.4"/>
    <row r="15989" s="5" customFormat="1" x14ac:dyDescent="0.4"/>
    <row r="15990" s="5" customFormat="1" x14ac:dyDescent="0.4"/>
    <row r="15991" s="5" customFormat="1" x14ac:dyDescent="0.4"/>
    <row r="15992" s="5" customFormat="1" x14ac:dyDescent="0.4"/>
    <row r="15993" s="5" customFormat="1" x14ac:dyDescent="0.4"/>
    <row r="15994" s="5" customFormat="1" x14ac:dyDescent="0.4"/>
    <row r="15995" s="5" customFormat="1" x14ac:dyDescent="0.4"/>
    <row r="15996" s="5" customFormat="1" x14ac:dyDescent="0.4"/>
    <row r="15997" s="5" customFormat="1" x14ac:dyDescent="0.4"/>
    <row r="15998" s="5" customFormat="1" x14ac:dyDescent="0.4"/>
    <row r="15999" s="5" customFormat="1" x14ac:dyDescent="0.4"/>
    <row r="16000" s="5" customFormat="1" x14ac:dyDescent="0.4"/>
    <row r="16001" s="5" customFormat="1" x14ac:dyDescent="0.4"/>
    <row r="16002" s="5" customFormat="1" x14ac:dyDescent="0.4"/>
    <row r="16003" s="5" customFormat="1" x14ac:dyDescent="0.4"/>
    <row r="16004" s="5" customFormat="1" x14ac:dyDescent="0.4"/>
    <row r="16005" s="5" customFormat="1" x14ac:dyDescent="0.4"/>
    <row r="16006" s="5" customFormat="1" x14ac:dyDescent="0.4"/>
    <row r="16007" s="5" customFormat="1" x14ac:dyDescent="0.4"/>
    <row r="16008" s="5" customFormat="1" x14ac:dyDescent="0.4"/>
    <row r="16009" s="5" customFormat="1" x14ac:dyDescent="0.4"/>
    <row r="16010" s="5" customFormat="1" x14ac:dyDescent="0.4"/>
    <row r="16011" s="5" customFormat="1" x14ac:dyDescent="0.4"/>
    <row r="16012" s="5" customFormat="1" x14ac:dyDescent="0.4"/>
    <row r="16013" s="5" customFormat="1" x14ac:dyDescent="0.4"/>
    <row r="16014" s="5" customFormat="1" x14ac:dyDescent="0.4"/>
    <row r="16015" s="5" customFormat="1" x14ac:dyDescent="0.4"/>
    <row r="16016" s="5" customFormat="1" x14ac:dyDescent="0.4"/>
    <row r="16017" s="5" customFormat="1" x14ac:dyDescent="0.4"/>
    <row r="16018" s="5" customFormat="1" x14ac:dyDescent="0.4"/>
    <row r="16019" s="5" customFormat="1" x14ac:dyDescent="0.4"/>
    <row r="16020" s="5" customFormat="1" x14ac:dyDescent="0.4"/>
    <row r="16021" s="5" customFormat="1" x14ac:dyDescent="0.4"/>
    <row r="16022" s="5" customFormat="1" x14ac:dyDescent="0.4"/>
    <row r="16023" s="5" customFormat="1" x14ac:dyDescent="0.4"/>
    <row r="16024" s="5" customFormat="1" x14ac:dyDescent="0.4"/>
    <row r="16025" s="5" customFormat="1" x14ac:dyDescent="0.4"/>
    <row r="16026" s="5" customFormat="1" x14ac:dyDescent="0.4"/>
    <row r="16027" s="5" customFormat="1" x14ac:dyDescent="0.4"/>
    <row r="16028" s="5" customFormat="1" x14ac:dyDescent="0.4"/>
    <row r="16029" s="5" customFormat="1" x14ac:dyDescent="0.4"/>
    <row r="16030" s="5" customFormat="1" x14ac:dyDescent="0.4"/>
    <row r="16031" s="5" customFormat="1" x14ac:dyDescent="0.4"/>
    <row r="16032" s="5" customFormat="1" x14ac:dyDescent="0.4"/>
    <row r="16033" s="5" customFormat="1" x14ac:dyDescent="0.4"/>
    <row r="16034" s="5" customFormat="1" x14ac:dyDescent="0.4"/>
    <row r="16035" s="5" customFormat="1" x14ac:dyDescent="0.4"/>
    <row r="16036" s="5" customFormat="1" x14ac:dyDescent="0.4"/>
    <row r="16037" s="5" customFormat="1" x14ac:dyDescent="0.4"/>
    <row r="16038" s="5" customFormat="1" x14ac:dyDescent="0.4"/>
    <row r="16039" s="5" customFormat="1" x14ac:dyDescent="0.4"/>
    <row r="16040" s="5" customFormat="1" x14ac:dyDescent="0.4"/>
    <row r="16041" s="5" customFormat="1" x14ac:dyDescent="0.4"/>
    <row r="16042" s="5" customFormat="1" x14ac:dyDescent="0.4"/>
    <row r="16043" s="5" customFormat="1" x14ac:dyDescent="0.4"/>
    <row r="16044" s="5" customFormat="1" x14ac:dyDescent="0.4"/>
    <row r="16045" s="5" customFormat="1" x14ac:dyDescent="0.4"/>
    <row r="16046" s="5" customFormat="1" x14ac:dyDescent="0.4"/>
    <row r="16047" s="5" customFormat="1" x14ac:dyDescent="0.4"/>
    <row r="16048" s="5" customFormat="1" x14ac:dyDescent="0.4"/>
    <row r="16049" s="5" customFormat="1" x14ac:dyDescent="0.4"/>
    <row r="16050" s="5" customFormat="1" x14ac:dyDescent="0.4"/>
    <row r="16051" s="5" customFormat="1" x14ac:dyDescent="0.4"/>
    <row r="16052" s="5" customFormat="1" x14ac:dyDescent="0.4"/>
    <row r="16053" s="5" customFormat="1" x14ac:dyDescent="0.4"/>
    <row r="16054" s="5" customFormat="1" x14ac:dyDescent="0.4"/>
    <row r="16055" s="5" customFormat="1" x14ac:dyDescent="0.4"/>
    <row r="16056" s="5" customFormat="1" x14ac:dyDescent="0.4"/>
    <row r="16057" s="5" customFormat="1" x14ac:dyDescent="0.4"/>
    <row r="16058" s="5" customFormat="1" x14ac:dyDescent="0.4"/>
    <row r="16059" s="5" customFormat="1" x14ac:dyDescent="0.4"/>
    <row r="16060" s="5" customFormat="1" x14ac:dyDescent="0.4"/>
    <row r="16061" s="5" customFormat="1" x14ac:dyDescent="0.4"/>
    <row r="16062" s="5" customFormat="1" x14ac:dyDescent="0.4"/>
    <row r="16063" s="5" customFormat="1" x14ac:dyDescent="0.4"/>
    <row r="16064" s="5" customFormat="1" x14ac:dyDescent="0.4"/>
    <row r="16065" s="5" customFormat="1" x14ac:dyDescent="0.4"/>
    <row r="16066" s="5" customFormat="1" x14ac:dyDescent="0.4"/>
    <row r="16067" s="5" customFormat="1" x14ac:dyDescent="0.4"/>
    <row r="16068" s="5" customFormat="1" x14ac:dyDescent="0.4"/>
    <row r="16069" s="5" customFormat="1" x14ac:dyDescent="0.4"/>
    <row r="16070" s="5" customFormat="1" x14ac:dyDescent="0.4"/>
    <row r="16071" s="5" customFormat="1" x14ac:dyDescent="0.4"/>
    <row r="16072" s="5" customFormat="1" x14ac:dyDescent="0.4"/>
    <row r="16073" s="5" customFormat="1" x14ac:dyDescent="0.4"/>
    <row r="16074" s="5" customFormat="1" x14ac:dyDescent="0.4"/>
    <row r="16075" s="5" customFormat="1" x14ac:dyDescent="0.4"/>
    <row r="16076" s="5" customFormat="1" x14ac:dyDescent="0.4"/>
    <row r="16077" s="5" customFormat="1" x14ac:dyDescent="0.4"/>
    <row r="16078" s="5" customFormat="1" x14ac:dyDescent="0.4"/>
    <row r="16079" s="5" customFormat="1" x14ac:dyDescent="0.4"/>
    <row r="16080" s="5" customFormat="1" x14ac:dyDescent="0.4"/>
    <row r="16081" s="5" customFormat="1" x14ac:dyDescent="0.4"/>
    <row r="16082" s="5" customFormat="1" x14ac:dyDescent="0.4"/>
    <row r="16083" s="5" customFormat="1" x14ac:dyDescent="0.4"/>
    <row r="16084" s="5" customFormat="1" x14ac:dyDescent="0.4"/>
    <row r="16085" s="5" customFormat="1" x14ac:dyDescent="0.4"/>
    <row r="16086" s="5" customFormat="1" x14ac:dyDescent="0.4"/>
    <row r="16087" s="5" customFormat="1" x14ac:dyDescent="0.4"/>
    <row r="16088" s="5" customFormat="1" x14ac:dyDescent="0.4"/>
    <row r="16089" s="5" customFormat="1" x14ac:dyDescent="0.4"/>
    <row r="16090" s="5" customFormat="1" x14ac:dyDescent="0.4"/>
    <row r="16091" s="5" customFormat="1" x14ac:dyDescent="0.4"/>
    <row r="16092" s="5" customFormat="1" x14ac:dyDescent="0.4"/>
    <row r="16093" s="5" customFormat="1" x14ac:dyDescent="0.4"/>
    <row r="16094" s="5" customFormat="1" x14ac:dyDescent="0.4"/>
    <row r="16095" s="5" customFormat="1" x14ac:dyDescent="0.4"/>
    <row r="16096" s="5" customFormat="1" x14ac:dyDescent="0.4"/>
    <row r="16097" s="5" customFormat="1" x14ac:dyDescent="0.4"/>
    <row r="16098" s="5" customFormat="1" x14ac:dyDescent="0.4"/>
    <row r="16099" s="5" customFormat="1" x14ac:dyDescent="0.4"/>
    <row r="16100" s="5" customFormat="1" x14ac:dyDescent="0.4"/>
    <row r="16101" s="5" customFormat="1" x14ac:dyDescent="0.4"/>
    <row r="16102" s="5" customFormat="1" x14ac:dyDescent="0.4"/>
    <row r="16103" s="5" customFormat="1" x14ac:dyDescent="0.4"/>
    <row r="16104" s="5" customFormat="1" x14ac:dyDescent="0.4"/>
    <row r="16105" s="5" customFormat="1" x14ac:dyDescent="0.4"/>
    <row r="16106" s="5" customFormat="1" x14ac:dyDescent="0.4"/>
    <row r="16107" s="5" customFormat="1" x14ac:dyDescent="0.4"/>
    <row r="16108" s="5" customFormat="1" x14ac:dyDescent="0.4"/>
    <row r="16109" s="5" customFormat="1" x14ac:dyDescent="0.4"/>
    <row r="16110" s="5" customFormat="1" x14ac:dyDescent="0.4"/>
    <row r="16111" s="5" customFormat="1" x14ac:dyDescent="0.4"/>
    <row r="16112" s="5" customFormat="1" x14ac:dyDescent="0.4"/>
    <row r="16113" s="5" customFormat="1" x14ac:dyDescent="0.4"/>
    <row r="16114" s="5" customFormat="1" x14ac:dyDescent="0.4"/>
    <row r="16115" s="5" customFormat="1" x14ac:dyDescent="0.4"/>
    <row r="16116" s="5" customFormat="1" x14ac:dyDescent="0.4"/>
    <row r="16117" s="5" customFormat="1" x14ac:dyDescent="0.4"/>
    <row r="16118" s="5" customFormat="1" x14ac:dyDescent="0.4"/>
    <row r="16119" s="5" customFormat="1" x14ac:dyDescent="0.4"/>
    <row r="16120" s="5" customFormat="1" x14ac:dyDescent="0.4"/>
    <row r="16121" s="5" customFormat="1" x14ac:dyDescent="0.4"/>
    <row r="16122" s="5" customFormat="1" x14ac:dyDescent="0.4"/>
    <row r="16123" s="5" customFormat="1" x14ac:dyDescent="0.4"/>
    <row r="16124" s="5" customFormat="1" x14ac:dyDescent="0.4"/>
    <row r="16125" s="5" customFormat="1" x14ac:dyDescent="0.4"/>
    <row r="16126" s="5" customFormat="1" x14ac:dyDescent="0.4"/>
    <row r="16127" s="5" customFormat="1" x14ac:dyDescent="0.4"/>
    <row r="16128" s="5" customFormat="1" x14ac:dyDescent="0.4"/>
    <row r="16129" s="5" customFormat="1" x14ac:dyDescent="0.4"/>
    <row r="16130" s="5" customFormat="1" x14ac:dyDescent="0.4"/>
    <row r="16131" s="5" customFormat="1" x14ac:dyDescent="0.4"/>
    <row r="16132" s="5" customFormat="1" x14ac:dyDescent="0.4"/>
    <row r="16133" s="5" customFormat="1" x14ac:dyDescent="0.4"/>
    <row r="16134" s="5" customFormat="1" x14ac:dyDescent="0.4"/>
    <row r="16135" s="5" customFormat="1" x14ac:dyDescent="0.4"/>
    <row r="16136" s="5" customFormat="1" x14ac:dyDescent="0.4"/>
    <row r="16137" s="5" customFormat="1" x14ac:dyDescent="0.4"/>
    <row r="16138" s="5" customFormat="1" x14ac:dyDescent="0.4"/>
    <row r="16139" s="5" customFormat="1" x14ac:dyDescent="0.4"/>
    <row r="16140" s="5" customFormat="1" x14ac:dyDescent="0.4"/>
    <row r="16141" s="5" customFormat="1" x14ac:dyDescent="0.4"/>
    <row r="16142" s="5" customFormat="1" x14ac:dyDescent="0.4"/>
    <row r="16143" s="5" customFormat="1" x14ac:dyDescent="0.4"/>
    <row r="16144" s="5" customFormat="1" x14ac:dyDescent="0.4"/>
    <row r="16145" s="5" customFormat="1" x14ac:dyDescent="0.4"/>
    <row r="16146" s="5" customFormat="1" x14ac:dyDescent="0.4"/>
    <row r="16147" s="5" customFormat="1" x14ac:dyDescent="0.4"/>
    <row r="16148" s="5" customFormat="1" x14ac:dyDescent="0.4"/>
    <row r="16149" s="5" customFormat="1" x14ac:dyDescent="0.4"/>
    <row r="16150" s="5" customFormat="1" x14ac:dyDescent="0.4"/>
    <row r="16151" s="5" customFormat="1" x14ac:dyDescent="0.4"/>
    <row r="16152" s="5" customFormat="1" x14ac:dyDescent="0.4"/>
    <row r="16153" s="5" customFormat="1" x14ac:dyDescent="0.4"/>
    <row r="16154" s="5" customFormat="1" x14ac:dyDescent="0.4"/>
    <row r="16155" s="5" customFormat="1" x14ac:dyDescent="0.4"/>
    <row r="16156" s="5" customFormat="1" x14ac:dyDescent="0.4"/>
    <row r="16157" s="5" customFormat="1" x14ac:dyDescent="0.4"/>
    <row r="16158" s="5" customFormat="1" x14ac:dyDescent="0.4"/>
    <row r="16159" s="5" customFormat="1" x14ac:dyDescent="0.4"/>
    <row r="16160" s="5" customFormat="1" x14ac:dyDescent="0.4"/>
    <row r="16161" s="5" customFormat="1" x14ac:dyDescent="0.4"/>
    <row r="16162" s="5" customFormat="1" x14ac:dyDescent="0.4"/>
    <row r="16163" s="5" customFormat="1" x14ac:dyDescent="0.4"/>
    <row r="16164" s="5" customFormat="1" x14ac:dyDescent="0.4"/>
    <row r="16165" s="5" customFormat="1" x14ac:dyDescent="0.4"/>
    <row r="16166" s="5" customFormat="1" x14ac:dyDescent="0.4"/>
    <row r="16167" s="5" customFormat="1" x14ac:dyDescent="0.4"/>
    <row r="16168" s="5" customFormat="1" x14ac:dyDescent="0.4"/>
    <row r="16169" s="5" customFormat="1" x14ac:dyDescent="0.4"/>
    <row r="16170" s="5" customFormat="1" x14ac:dyDescent="0.4"/>
    <row r="16171" s="5" customFormat="1" x14ac:dyDescent="0.4"/>
    <row r="16172" s="5" customFormat="1" x14ac:dyDescent="0.4"/>
    <row r="16173" s="5" customFormat="1" x14ac:dyDescent="0.4"/>
    <row r="16174" s="5" customFormat="1" x14ac:dyDescent="0.4"/>
    <row r="16175" s="5" customFormat="1" x14ac:dyDescent="0.4"/>
    <row r="16176" s="5" customFormat="1" x14ac:dyDescent="0.4"/>
    <row r="16177" s="5" customFormat="1" x14ac:dyDescent="0.4"/>
    <row r="16178" s="5" customFormat="1" x14ac:dyDescent="0.4"/>
    <row r="16179" s="5" customFormat="1" x14ac:dyDescent="0.4"/>
    <row r="16180" s="5" customFormat="1" x14ac:dyDescent="0.4"/>
    <row r="16181" s="5" customFormat="1" x14ac:dyDescent="0.4"/>
    <row r="16182" s="5" customFormat="1" x14ac:dyDescent="0.4"/>
    <row r="16183" s="5" customFormat="1" x14ac:dyDescent="0.4"/>
    <row r="16184" s="5" customFormat="1" x14ac:dyDescent="0.4"/>
    <row r="16185" s="5" customFormat="1" x14ac:dyDescent="0.4"/>
    <row r="16186" s="5" customFormat="1" x14ac:dyDescent="0.4"/>
    <row r="16187" s="5" customFormat="1" x14ac:dyDescent="0.4"/>
    <row r="16188" s="5" customFormat="1" x14ac:dyDescent="0.4"/>
    <row r="16189" s="5" customFormat="1" x14ac:dyDescent="0.4"/>
    <row r="16190" s="5" customFormat="1" x14ac:dyDescent="0.4"/>
    <row r="16191" s="5" customFormat="1" x14ac:dyDescent="0.4"/>
    <row r="16192" s="5" customFormat="1" x14ac:dyDescent="0.4"/>
    <row r="16193" s="5" customFormat="1" x14ac:dyDescent="0.4"/>
    <row r="16194" s="5" customFormat="1" x14ac:dyDescent="0.4"/>
    <row r="16195" s="5" customFormat="1" x14ac:dyDescent="0.4"/>
    <row r="16196" s="5" customFormat="1" x14ac:dyDescent="0.4"/>
    <row r="16197" s="5" customFormat="1" x14ac:dyDescent="0.4"/>
    <row r="16198" s="5" customFormat="1" x14ac:dyDescent="0.4"/>
    <row r="16199" s="5" customFormat="1" x14ac:dyDescent="0.4"/>
    <row r="16200" s="5" customFormat="1" x14ac:dyDescent="0.4"/>
    <row r="16201" s="5" customFormat="1" x14ac:dyDescent="0.4"/>
    <row r="16202" s="5" customFormat="1" x14ac:dyDescent="0.4"/>
    <row r="16203" s="5" customFormat="1" x14ac:dyDescent="0.4"/>
    <row r="16204" s="5" customFormat="1" x14ac:dyDescent="0.4"/>
    <row r="16205" s="5" customFormat="1" x14ac:dyDescent="0.4"/>
    <row r="16206" s="5" customFormat="1" x14ac:dyDescent="0.4"/>
    <row r="16207" s="5" customFormat="1" x14ac:dyDescent="0.4"/>
    <row r="16208" s="5" customFormat="1" x14ac:dyDescent="0.4"/>
    <row r="16209" s="5" customFormat="1" x14ac:dyDescent="0.4"/>
    <row r="16210" s="5" customFormat="1" x14ac:dyDescent="0.4"/>
    <row r="16211" s="5" customFormat="1" x14ac:dyDescent="0.4"/>
    <row r="16212" s="5" customFormat="1" x14ac:dyDescent="0.4"/>
    <row r="16213" s="5" customFormat="1" x14ac:dyDescent="0.4"/>
    <row r="16214" s="5" customFormat="1" x14ac:dyDescent="0.4"/>
    <row r="16215" s="5" customFormat="1" x14ac:dyDescent="0.4"/>
    <row r="16216" s="5" customFormat="1" x14ac:dyDescent="0.4"/>
    <row r="16217" s="5" customFormat="1" x14ac:dyDescent="0.4"/>
    <row r="16218" s="5" customFormat="1" x14ac:dyDescent="0.4"/>
    <row r="16219" s="5" customFormat="1" x14ac:dyDescent="0.4"/>
    <row r="16220" s="5" customFormat="1" x14ac:dyDescent="0.4"/>
    <row r="16221" s="5" customFormat="1" x14ac:dyDescent="0.4"/>
    <row r="16222" s="5" customFormat="1" x14ac:dyDescent="0.4"/>
    <row r="16223" s="5" customFormat="1" x14ac:dyDescent="0.4"/>
    <row r="16224" s="5" customFormat="1" x14ac:dyDescent="0.4"/>
    <row r="16225" s="5" customFormat="1" x14ac:dyDescent="0.4"/>
    <row r="16226" s="5" customFormat="1" x14ac:dyDescent="0.4"/>
    <row r="16227" s="5" customFormat="1" x14ac:dyDescent="0.4"/>
    <row r="16228" s="5" customFormat="1" x14ac:dyDescent="0.4"/>
    <row r="16229" s="5" customFormat="1" x14ac:dyDescent="0.4"/>
    <row r="16230" s="5" customFormat="1" x14ac:dyDescent="0.4"/>
    <row r="16231" s="5" customFormat="1" x14ac:dyDescent="0.4"/>
    <row r="16232" s="5" customFormat="1" x14ac:dyDescent="0.4"/>
    <row r="16233" s="5" customFormat="1" x14ac:dyDescent="0.4"/>
    <row r="16234" s="5" customFormat="1" x14ac:dyDescent="0.4"/>
    <row r="16235" s="5" customFormat="1" x14ac:dyDescent="0.4"/>
    <row r="16236" s="5" customFormat="1" x14ac:dyDescent="0.4"/>
    <row r="16237" s="5" customFormat="1" x14ac:dyDescent="0.4"/>
    <row r="16238" s="5" customFormat="1" x14ac:dyDescent="0.4"/>
    <row r="16239" s="5" customFormat="1" x14ac:dyDescent="0.4"/>
    <row r="16240" s="5" customFormat="1" x14ac:dyDescent="0.4"/>
    <row r="16241" s="5" customFormat="1" x14ac:dyDescent="0.4"/>
    <row r="16242" s="5" customFormat="1" x14ac:dyDescent="0.4"/>
    <row r="16243" s="5" customFormat="1" x14ac:dyDescent="0.4"/>
    <row r="16244" s="5" customFormat="1" x14ac:dyDescent="0.4"/>
    <row r="16245" s="5" customFormat="1" x14ac:dyDescent="0.4"/>
    <row r="16246" s="5" customFormat="1" x14ac:dyDescent="0.4"/>
    <row r="16247" s="5" customFormat="1" x14ac:dyDescent="0.4"/>
    <row r="16248" s="5" customFormat="1" x14ac:dyDescent="0.4"/>
    <row r="16249" s="5" customFormat="1" x14ac:dyDescent="0.4"/>
    <row r="16250" s="5" customFormat="1" x14ac:dyDescent="0.4"/>
    <row r="16251" s="5" customFormat="1" x14ac:dyDescent="0.4"/>
    <row r="16252" s="5" customFormat="1" x14ac:dyDescent="0.4"/>
    <row r="16253" s="5" customFormat="1" x14ac:dyDescent="0.4"/>
    <row r="16254" s="5" customFormat="1" x14ac:dyDescent="0.4"/>
    <row r="16255" s="5" customFormat="1" x14ac:dyDescent="0.4"/>
    <row r="16256" s="5" customFormat="1" x14ac:dyDescent="0.4"/>
    <row r="16257" s="5" customFormat="1" x14ac:dyDescent="0.4"/>
    <row r="16258" s="5" customFormat="1" x14ac:dyDescent="0.4"/>
    <row r="16259" s="5" customFormat="1" x14ac:dyDescent="0.4"/>
    <row r="16260" s="5" customFormat="1" x14ac:dyDescent="0.4"/>
    <row r="16261" s="5" customFormat="1" x14ac:dyDescent="0.4"/>
    <row r="16262" s="5" customFormat="1" x14ac:dyDescent="0.4"/>
    <row r="16263" s="5" customFormat="1" x14ac:dyDescent="0.4"/>
    <row r="16264" s="5" customFormat="1" x14ac:dyDescent="0.4"/>
    <row r="16265" s="5" customFormat="1" x14ac:dyDescent="0.4"/>
    <row r="16266" s="5" customFormat="1" x14ac:dyDescent="0.4"/>
    <row r="16267" s="5" customFormat="1" x14ac:dyDescent="0.4"/>
    <row r="16268" s="5" customFormat="1" x14ac:dyDescent="0.4"/>
    <row r="16269" s="5" customFormat="1" x14ac:dyDescent="0.4"/>
    <row r="16270" s="5" customFormat="1" x14ac:dyDescent="0.4"/>
    <row r="16271" s="5" customFormat="1" x14ac:dyDescent="0.4"/>
    <row r="16272" s="5" customFormat="1" x14ac:dyDescent="0.4"/>
    <row r="16273" s="5" customFormat="1" x14ac:dyDescent="0.4"/>
    <row r="16274" s="5" customFormat="1" x14ac:dyDescent="0.4"/>
    <row r="16275" s="5" customFormat="1" x14ac:dyDescent="0.4"/>
    <row r="16276" s="5" customFormat="1" x14ac:dyDescent="0.4"/>
    <row r="16277" s="5" customFormat="1" x14ac:dyDescent="0.4"/>
    <row r="16278" s="5" customFormat="1" x14ac:dyDescent="0.4"/>
    <row r="16279" s="5" customFormat="1" x14ac:dyDescent="0.4"/>
    <row r="16280" s="5" customFormat="1" x14ac:dyDescent="0.4"/>
    <row r="16281" s="5" customFormat="1" x14ac:dyDescent="0.4"/>
    <row r="16282" s="5" customFormat="1" x14ac:dyDescent="0.4"/>
    <row r="16283" s="5" customFormat="1" x14ac:dyDescent="0.4"/>
    <row r="16284" s="5" customFormat="1" x14ac:dyDescent="0.4"/>
    <row r="16285" s="5" customFormat="1" x14ac:dyDescent="0.4"/>
    <row r="16286" s="5" customFormat="1" x14ac:dyDescent="0.4"/>
    <row r="16287" s="5" customFormat="1" x14ac:dyDescent="0.4"/>
    <row r="16288" s="5" customFormat="1" x14ac:dyDescent="0.4"/>
    <row r="16289" s="5" customFormat="1" x14ac:dyDescent="0.4"/>
    <row r="16290" s="5" customFormat="1" x14ac:dyDescent="0.4"/>
    <row r="16291" s="5" customFormat="1" x14ac:dyDescent="0.4"/>
    <row r="16292" s="5" customFormat="1" x14ac:dyDescent="0.4"/>
    <row r="16293" s="5" customFormat="1" x14ac:dyDescent="0.4"/>
    <row r="16294" s="5" customFormat="1" x14ac:dyDescent="0.4"/>
    <row r="16295" s="5" customFormat="1" x14ac:dyDescent="0.4"/>
    <row r="16296" s="5" customFormat="1" x14ac:dyDescent="0.4"/>
    <row r="16297" s="5" customFormat="1" x14ac:dyDescent="0.4"/>
    <row r="16298" s="5" customFormat="1" x14ac:dyDescent="0.4"/>
    <row r="16299" s="5" customFormat="1" x14ac:dyDescent="0.4"/>
    <row r="16300" s="5" customFormat="1" x14ac:dyDescent="0.4"/>
    <row r="16301" s="5" customFormat="1" x14ac:dyDescent="0.4"/>
    <row r="16302" s="5" customFormat="1" x14ac:dyDescent="0.4"/>
    <row r="16303" s="5" customFormat="1" x14ac:dyDescent="0.4"/>
    <row r="16304" s="5" customFormat="1" x14ac:dyDescent="0.4"/>
    <row r="16305" s="5" customFormat="1" x14ac:dyDescent="0.4"/>
    <row r="16306" s="5" customFormat="1" x14ac:dyDescent="0.4"/>
    <row r="16307" s="5" customFormat="1" x14ac:dyDescent="0.4"/>
    <row r="16308" s="5" customFormat="1" x14ac:dyDescent="0.4"/>
    <row r="16309" s="5" customFormat="1" x14ac:dyDescent="0.4"/>
    <row r="16310" s="5" customFormat="1" x14ac:dyDescent="0.4"/>
    <row r="16311" s="5" customFormat="1" x14ac:dyDescent="0.4"/>
    <row r="16312" s="5" customFormat="1" x14ac:dyDescent="0.4"/>
    <row r="16313" s="5" customFormat="1" x14ac:dyDescent="0.4"/>
    <row r="16314" s="5" customFormat="1" x14ac:dyDescent="0.4"/>
    <row r="16315" s="5" customFormat="1" x14ac:dyDescent="0.4"/>
    <row r="16316" s="5" customFormat="1" x14ac:dyDescent="0.4"/>
    <row r="16317" s="5" customFormat="1" x14ac:dyDescent="0.4"/>
    <row r="16318" s="5" customFormat="1" x14ac:dyDescent="0.4"/>
    <row r="16319" s="5" customFormat="1" x14ac:dyDescent="0.4"/>
    <row r="16320" s="5" customFormat="1" x14ac:dyDescent="0.4"/>
    <row r="16321" s="5" customFormat="1" x14ac:dyDescent="0.4"/>
    <row r="16322" s="5" customFormat="1" x14ac:dyDescent="0.4"/>
    <row r="16323" s="5" customFormat="1" x14ac:dyDescent="0.4"/>
    <row r="16324" s="5" customFormat="1" x14ac:dyDescent="0.4"/>
    <row r="16325" s="5" customFormat="1" x14ac:dyDescent="0.4"/>
    <row r="16326" s="5" customFormat="1" x14ac:dyDescent="0.4"/>
    <row r="16327" s="5" customFormat="1" x14ac:dyDescent="0.4"/>
    <row r="16328" s="5" customFormat="1" x14ac:dyDescent="0.4"/>
    <row r="16329" s="5" customFormat="1" x14ac:dyDescent="0.4"/>
    <row r="16330" s="5" customFormat="1" x14ac:dyDescent="0.4"/>
    <row r="16331" s="5" customFormat="1" x14ac:dyDescent="0.4"/>
    <row r="16332" s="5" customFormat="1" x14ac:dyDescent="0.4"/>
    <row r="16333" s="5" customFormat="1" x14ac:dyDescent="0.4"/>
    <row r="16334" s="5" customFormat="1" x14ac:dyDescent="0.4"/>
    <row r="16335" s="5" customFormat="1" x14ac:dyDescent="0.4"/>
    <row r="16336" s="5" customFormat="1" x14ac:dyDescent="0.4"/>
    <row r="16337" s="5" customFormat="1" x14ac:dyDescent="0.4"/>
    <row r="16338" s="5" customFormat="1" x14ac:dyDescent="0.4"/>
    <row r="16339" s="5" customFormat="1" x14ac:dyDescent="0.4"/>
    <row r="16340" s="5" customFormat="1" x14ac:dyDescent="0.4"/>
    <row r="16341" s="5" customFormat="1" x14ac:dyDescent="0.4"/>
    <row r="16342" s="5" customFormat="1" x14ac:dyDescent="0.4"/>
    <row r="16343" s="5" customFormat="1" x14ac:dyDescent="0.4"/>
    <row r="16344" s="5" customFormat="1" x14ac:dyDescent="0.4"/>
    <row r="16345" s="5" customFormat="1" x14ac:dyDescent="0.4"/>
    <row r="16346" s="5" customFormat="1" x14ac:dyDescent="0.4"/>
    <row r="16347" s="5" customFormat="1" x14ac:dyDescent="0.4"/>
    <row r="16348" s="5" customFormat="1" x14ac:dyDescent="0.4"/>
    <row r="16349" s="5" customFormat="1" x14ac:dyDescent="0.4"/>
    <row r="16350" s="5" customFormat="1" x14ac:dyDescent="0.4"/>
    <row r="16351" s="5" customFormat="1" x14ac:dyDescent="0.4"/>
    <row r="16352" s="5" customFormat="1" x14ac:dyDescent="0.4"/>
    <row r="16353" s="5" customFormat="1" x14ac:dyDescent="0.4"/>
    <row r="16354" s="5" customFormat="1" x14ac:dyDescent="0.4"/>
    <row r="16355" s="5" customFormat="1" x14ac:dyDescent="0.4"/>
    <row r="16356" s="5" customFormat="1" x14ac:dyDescent="0.4"/>
    <row r="16357" s="5" customFormat="1" x14ac:dyDescent="0.4"/>
    <row r="16358" s="5" customFormat="1" x14ac:dyDescent="0.4"/>
    <row r="16359" s="5" customFormat="1" x14ac:dyDescent="0.4"/>
    <row r="16360" s="5" customFormat="1" x14ac:dyDescent="0.4"/>
    <row r="16361" s="5" customFormat="1" x14ac:dyDescent="0.4"/>
    <row r="16362" s="5" customFormat="1" x14ac:dyDescent="0.4"/>
    <row r="16363" s="5" customFormat="1" x14ac:dyDescent="0.4"/>
    <row r="16364" s="5" customFormat="1" x14ac:dyDescent="0.4"/>
    <row r="16365" s="5" customFormat="1" x14ac:dyDescent="0.4"/>
    <row r="16366" s="5" customFormat="1" x14ac:dyDescent="0.4"/>
    <row r="16367" s="5" customFormat="1" x14ac:dyDescent="0.4"/>
    <row r="16368" s="5" customFormat="1" x14ac:dyDescent="0.4"/>
    <row r="16369" s="5" customFormat="1" x14ac:dyDescent="0.4"/>
    <row r="16370" s="5" customFormat="1" x14ac:dyDescent="0.4"/>
    <row r="16371" s="5" customFormat="1" x14ac:dyDescent="0.4"/>
    <row r="16372" s="5" customFormat="1" x14ac:dyDescent="0.4"/>
    <row r="16373" s="5" customFormat="1" x14ac:dyDescent="0.4"/>
    <row r="16374" s="5" customFormat="1" x14ac:dyDescent="0.4"/>
    <row r="16375" s="5" customFormat="1" x14ac:dyDescent="0.4"/>
    <row r="16376" s="5" customFormat="1" x14ac:dyDescent="0.4"/>
    <row r="16377" s="5" customFormat="1" x14ac:dyDescent="0.4"/>
    <row r="16378" s="5" customFormat="1" x14ac:dyDescent="0.4"/>
    <row r="16379" s="5" customFormat="1" x14ac:dyDescent="0.4"/>
    <row r="16380" s="5" customFormat="1" x14ac:dyDescent="0.4"/>
    <row r="16381" s="5" customFormat="1" x14ac:dyDescent="0.4"/>
    <row r="16382" s="5" customFormat="1" x14ac:dyDescent="0.4"/>
    <row r="16383" s="5" customFormat="1" x14ac:dyDescent="0.4"/>
    <row r="16384" s="5" customFormat="1" x14ac:dyDescent="0.4"/>
    <row r="16385" s="5" customFormat="1" x14ac:dyDescent="0.4"/>
    <row r="16386" s="5" customFormat="1" x14ac:dyDescent="0.4"/>
    <row r="16387" s="5" customFormat="1" x14ac:dyDescent="0.4"/>
    <row r="16388" s="5" customFormat="1" x14ac:dyDescent="0.4"/>
    <row r="16389" s="5" customFormat="1" x14ac:dyDescent="0.4"/>
    <row r="16390" s="5" customFormat="1" x14ac:dyDescent="0.4"/>
    <row r="16391" s="5" customFormat="1" x14ac:dyDescent="0.4"/>
    <row r="16392" s="5" customFormat="1" x14ac:dyDescent="0.4"/>
    <row r="16393" s="5" customFormat="1" x14ac:dyDescent="0.4"/>
    <row r="16394" s="5" customFormat="1" x14ac:dyDescent="0.4"/>
    <row r="16395" s="5" customFormat="1" x14ac:dyDescent="0.4"/>
    <row r="16396" s="5" customFormat="1" x14ac:dyDescent="0.4"/>
    <row r="16397" s="5" customFormat="1" x14ac:dyDescent="0.4"/>
    <row r="16398" s="5" customFormat="1" x14ac:dyDescent="0.4"/>
    <row r="16399" s="5" customFormat="1" x14ac:dyDescent="0.4"/>
    <row r="16400" s="5" customFormat="1" x14ac:dyDescent="0.4"/>
    <row r="16401" s="5" customFormat="1" x14ac:dyDescent="0.4"/>
    <row r="16402" s="5" customFormat="1" x14ac:dyDescent="0.4"/>
    <row r="16403" s="5" customFormat="1" x14ac:dyDescent="0.4"/>
    <row r="16404" s="5" customFormat="1" x14ac:dyDescent="0.4"/>
    <row r="16405" s="5" customFormat="1" x14ac:dyDescent="0.4"/>
    <row r="16406" s="5" customFormat="1" x14ac:dyDescent="0.4"/>
    <row r="16407" s="5" customFormat="1" x14ac:dyDescent="0.4"/>
    <row r="16408" s="5" customFormat="1" x14ac:dyDescent="0.4"/>
    <row r="16409" s="5" customFormat="1" x14ac:dyDescent="0.4"/>
    <row r="16410" s="5" customFormat="1" x14ac:dyDescent="0.4"/>
    <row r="16411" s="5" customFormat="1" x14ac:dyDescent="0.4"/>
    <row r="16412" s="5" customFormat="1" x14ac:dyDescent="0.4"/>
    <row r="16413" s="5" customFormat="1" x14ac:dyDescent="0.4"/>
    <row r="16414" s="5" customFormat="1" x14ac:dyDescent="0.4"/>
    <row r="16415" s="5" customFormat="1" x14ac:dyDescent="0.4"/>
    <row r="16416" s="5" customFormat="1" x14ac:dyDescent="0.4"/>
    <row r="16417" s="5" customFormat="1" x14ac:dyDescent="0.4"/>
    <row r="16418" s="5" customFormat="1" x14ac:dyDescent="0.4"/>
    <row r="16419" s="5" customFormat="1" x14ac:dyDescent="0.4"/>
    <row r="16420" s="5" customFormat="1" x14ac:dyDescent="0.4"/>
    <row r="16421" s="5" customFormat="1" x14ac:dyDescent="0.4"/>
    <row r="16422" s="5" customFormat="1" x14ac:dyDescent="0.4"/>
    <row r="16423" s="5" customFormat="1" x14ac:dyDescent="0.4"/>
    <row r="16424" s="5" customFormat="1" x14ac:dyDescent="0.4"/>
    <row r="16425" s="5" customFormat="1" x14ac:dyDescent="0.4"/>
    <row r="16426" s="5" customFormat="1" x14ac:dyDescent="0.4"/>
    <row r="16427" s="5" customFormat="1" x14ac:dyDescent="0.4"/>
    <row r="16428" s="5" customFormat="1" x14ac:dyDescent="0.4"/>
    <row r="16429" s="5" customFormat="1" x14ac:dyDescent="0.4"/>
    <row r="16430" s="5" customFormat="1" x14ac:dyDescent="0.4"/>
    <row r="16431" s="5" customFormat="1" x14ac:dyDescent="0.4"/>
    <row r="16432" s="5" customFormat="1" x14ac:dyDescent="0.4"/>
    <row r="16433" s="5" customFormat="1" x14ac:dyDescent="0.4"/>
    <row r="16434" s="5" customFormat="1" x14ac:dyDescent="0.4"/>
    <row r="16435" s="5" customFormat="1" x14ac:dyDescent="0.4"/>
    <row r="16436" s="5" customFormat="1" x14ac:dyDescent="0.4"/>
    <row r="16437" s="5" customFormat="1" x14ac:dyDescent="0.4"/>
    <row r="16438" s="5" customFormat="1" x14ac:dyDescent="0.4"/>
    <row r="16439" s="5" customFormat="1" x14ac:dyDescent="0.4"/>
    <row r="16440" s="5" customFormat="1" x14ac:dyDescent="0.4"/>
    <row r="16441" s="5" customFormat="1" x14ac:dyDescent="0.4"/>
    <row r="16442" s="5" customFormat="1" x14ac:dyDescent="0.4"/>
    <row r="16443" s="5" customFormat="1" x14ac:dyDescent="0.4"/>
    <row r="16444" s="5" customFormat="1" x14ac:dyDescent="0.4"/>
    <row r="16445" s="5" customFormat="1" x14ac:dyDescent="0.4"/>
    <row r="16446" s="5" customFormat="1" x14ac:dyDescent="0.4"/>
    <row r="16447" s="5" customFormat="1" x14ac:dyDescent="0.4"/>
    <row r="16448" s="5" customFormat="1" x14ac:dyDescent="0.4"/>
    <row r="16449" s="5" customFormat="1" x14ac:dyDescent="0.4"/>
    <row r="16450" s="5" customFormat="1" x14ac:dyDescent="0.4"/>
    <row r="16451" s="5" customFormat="1" x14ac:dyDescent="0.4"/>
    <row r="16452" s="5" customFormat="1" x14ac:dyDescent="0.4"/>
    <row r="16453" s="5" customFormat="1" x14ac:dyDescent="0.4"/>
    <row r="16454" s="5" customFormat="1" x14ac:dyDescent="0.4"/>
    <row r="16455" s="5" customFormat="1" x14ac:dyDescent="0.4"/>
    <row r="16456" s="5" customFormat="1" x14ac:dyDescent="0.4"/>
    <row r="16457" s="5" customFormat="1" x14ac:dyDescent="0.4"/>
    <row r="16458" s="5" customFormat="1" x14ac:dyDescent="0.4"/>
    <row r="16459" s="5" customFormat="1" x14ac:dyDescent="0.4"/>
    <row r="16460" s="5" customFormat="1" x14ac:dyDescent="0.4"/>
    <row r="16461" s="5" customFormat="1" x14ac:dyDescent="0.4"/>
    <row r="16462" s="5" customFormat="1" x14ac:dyDescent="0.4"/>
    <row r="16463" s="5" customFormat="1" x14ac:dyDescent="0.4"/>
    <row r="16464" s="5" customFormat="1" x14ac:dyDescent="0.4"/>
    <row r="16465" s="5" customFormat="1" x14ac:dyDescent="0.4"/>
    <row r="16466" s="5" customFormat="1" x14ac:dyDescent="0.4"/>
    <row r="16467" s="5" customFormat="1" x14ac:dyDescent="0.4"/>
    <row r="16468" s="5" customFormat="1" x14ac:dyDescent="0.4"/>
    <row r="16469" s="5" customFormat="1" x14ac:dyDescent="0.4"/>
    <row r="16470" s="5" customFormat="1" x14ac:dyDescent="0.4"/>
    <row r="16471" s="5" customFormat="1" x14ac:dyDescent="0.4"/>
    <row r="16472" s="5" customFormat="1" x14ac:dyDescent="0.4"/>
    <row r="16473" s="5" customFormat="1" x14ac:dyDescent="0.4"/>
    <row r="16474" s="5" customFormat="1" x14ac:dyDescent="0.4"/>
    <row r="16475" s="5" customFormat="1" x14ac:dyDescent="0.4"/>
    <row r="16476" s="5" customFormat="1" x14ac:dyDescent="0.4"/>
    <row r="16477" s="5" customFormat="1" x14ac:dyDescent="0.4"/>
    <row r="16478" s="5" customFormat="1" x14ac:dyDescent="0.4"/>
    <row r="16479" s="5" customFormat="1" x14ac:dyDescent="0.4"/>
    <row r="16480" s="5" customFormat="1" x14ac:dyDescent="0.4"/>
    <row r="16481" s="5" customFormat="1" x14ac:dyDescent="0.4"/>
    <row r="16482" s="5" customFormat="1" x14ac:dyDescent="0.4"/>
    <row r="16483" s="5" customFormat="1" x14ac:dyDescent="0.4"/>
    <row r="16484" s="5" customFormat="1" x14ac:dyDescent="0.4"/>
    <row r="16485" s="5" customFormat="1" x14ac:dyDescent="0.4"/>
    <row r="16486" s="5" customFormat="1" x14ac:dyDescent="0.4"/>
    <row r="16487" s="5" customFormat="1" x14ac:dyDescent="0.4"/>
    <row r="16488" s="5" customFormat="1" x14ac:dyDescent="0.4"/>
    <row r="16489" s="5" customFormat="1" x14ac:dyDescent="0.4"/>
    <row r="16490" s="5" customFormat="1" x14ac:dyDescent="0.4"/>
    <row r="16491" s="5" customFormat="1" x14ac:dyDescent="0.4"/>
    <row r="16492" s="5" customFormat="1" x14ac:dyDescent="0.4"/>
    <row r="16493" s="5" customFormat="1" x14ac:dyDescent="0.4"/>
    <row r="16494" s="5" customFormat="1" x14ac:dyDescent="0.4"/>
    <row r="16495" s="5" customFormat="1" x14ac:dyDescent="0.4"/>
    <row r="16496" s="5" customFormat="1" x14ac:dyDescent="0.4"/>
    <row r="16497" s="5" customFormat="1" x14ac:dyDescent="0.4"/>
    <row r="16498" s="5" customFormat="1" x14ac:dyDescent="0.4"/>
    <row r="16499" s="5" customFormat="1" x14ac:dyDescent="0.4"/>
    <row r="16500" s="5" customFormat="1" x14ac:dyDescent="0.4"/>
    <row r="16501" s="5" customFormat="1" x14ac:dyDescent="0.4"/>
    <row r="16502" s="5" customFormat="1" x14ac:dyDescent="0.4"/>
    <row r="16503" s="5" customFormat="1" x14ac:dyDescent="0.4"/>
    <row r="16504" s="5" customFormat="1" x14ac:dyDescent="0.4"/>
    <row r="16505" s="5" customFormat="1" x14ac:dyDescent="0.4"/>
    <row r="16506" s="5" customFormat="1" x14ac:dyDescent="0.4"/>
    <row r="16507" s="5" customFormat="1" x14ac:dyDescent="0.4"/>
    <row r="16508" s="5" customFormat="1" x14ac:dyDescent="0.4"/>
    <row r="16509" s="5" customFormat="1" x14ac:dyDescent="0.4"/>
    <row r="16510" s="5" customFormat="1" x14ac:dyDescent="0.4"/>
    <row r="16511" s="5" customFormat="1" x14ac:dyDescent="0.4"/>
    <row r="16512" s="5" customFormat="1" x14ac:dyDescent="0.4"/>
    <row r="16513" s="5" customFormat="1" x14ac:dyDescent="0.4"/>
    <row r="16514" s="5" customFormat="1" x14ac:dyDescent="0.4"/>
    <row r="16515" s="5" customFormat="1" x14ac:dyDescent="0.4"/>
    <row r="16516" s="5" customFormat="1" x14ac:dyDescent="0.4"/>
    <row r="16517" s="5" customFormat="1" x14ac:dyDescent="0.4"/>
    <row r="16518" s="5" customFormat="1" x14ac:dyDescent="0.4"/>
    <row r="16519" s="5" customFormat="1" x14ac:dyDescent="0.4"/>
    <row r="16520" s="5" customFormat="1" x14ac:dyDescent="0.4"/>
    <row r="16521" s="5" customFormat="1" x14ac:dyDescent="0.4"/>
    <row r="16522" s="5" customFormat="1" x14ac:dyDescent="0.4"/>
    <row r="16523" s="5" customFormat="1" x14ac:dyDescent="0.4"/>
    <row r="16524" s="5" customFormat="1" x14ac:dyDescent="0.4"/>
    <row r="16525" s="5" customFormat="1" x14ac:dyDescent="0.4"/>
    <row r="16526" s="5" customFormat="1" x14ac:dyDescent="0.4"/>
    <row r="16527" s="5" customFormat="1" x14ac:dyDescent="0.4"/>
    <row r="16528" s="5" customFormat="1" x14ac:dyDescent="0.4"/>
    <row r="16529" s="5" customFormat="1" x14ac:dyDescent="0.4"/>
    <row r="16530" s="5" customFormat="1" x14ac:dyDescent="0.4"/>
    <row r="16531" s="5" customFormat="1" x14ac:dyDescent="0.4"/>
    <row r="16532" s="5" customFormat="1" x14ac:dyDescent="0.4"/>
    <row r="16533" s="5" customFormat="1" x14ac:dyDescent="0.4"/>
    <row r="16534" s="5" customFormat="1" x14ac:dyDescent="0.4"/>
    <row r="16535" s="5" customFormat="1" x14ac:dyDescent="0.4"/>
    <row r="16536" s="5" customFormat="1" x14ac:dyDescent="0.4"/>
    <row r="16537" s="5" customFormat="1" x14ac:dyDescent="0.4"/>
    <row r="16538" s="5" customFormat="1" x14ac:dyDescent="0.4"/>
    <row r="16539" s="5" customFormat="1" x14ac:dyDescent="0.4"/>
    <row r="16540" s="5" customFormat="1" x14ac:dyDescent="0.4"/>
    <row r="16541" s="5" customFormat="1" x14ac:dyDescent="0.4"/>
    <row r="16542" s="5" customFormat="1" x14ac:dyDescent="0.4"/>
    <row r="16543" s="5" customFormat="1" x14ac:dyDescent="0.4"/>
    <row r="16544" s="5" customFormat="1" x14ac:dyDescent="0.4"/>
    <row r="16545" s="5" customFormat="1" x14ac:dyDescent="0.4"/>
    <row r="16546" s="5" customFormat="1" x14ac:dyDescent="0.4"/>
    <row r="16547" s="5" customFormat="1" x14ac:dyDescent="0.4"/>
    <row r="16548" s="5" customFormat="1" x14ac:dyDescent="0.4"/>
    <row r="16549" s="5" customFormat="1" x14ac:dyDescent="0.4"/>
    <row r="16550" s="5" customFormat="1" x14ac:dyDescent="0.4"/>
    <row r="16551" s="5" customFormat="1" x14ac:dyDescent="0.4"/>
    <row r="16552" s="5" customFormat="1" x14ac:dyDescent="0.4"/>
    <row r="16553" s="5" customFormat="1" x14ac:dyDescent="0.4"/>
    <row r="16554" s="5" customFormat="1" x14ac:dyDescent="0.4"/>
    <row r="16555" s="5" customFormat="1" x14ac:dyDescent="0.4"/>
    <row r="16556" s="5" customFormat="1" x14ac:dyDescent="0.4"/>
    <row r="16557" s="5" customFormat="1" x14ac:dyDescent="0.4"/>
    <row r="16558" s="5" customFormat="1" x14ac:dyDescent="0.4"/>
    <row r="16559" s="5" customFormat="1" x14ac:dyDescent="0.4"/>
    <row r="16560" s="5" customFormat="1" x14ac:dyDescent="0.4"/>
    <row r="16561" s="5" customFormat="1" x14ac:dyDescent="0.4"/>
    <row r="16562" s="5" customFormat="1" x14ac:dyDescent="0.4"/>
    <row r="16563" s="5" customFormat="1" x14ac:dyDescent="0.4"/>
    <row r="16564" s="5" customFormat="1" x14ac:dyDescent="0.4"/>
    <row r="16565" s="5" customFormat="1" x14ac:dyDescent="0.4"/>
    <row r="16566" s="5" customFormat="1" x14ac:dyDescent="0.4"/>
    <row r="16567" s="5" customFormat="1" x14ac:dyDescent="0.4"/>
    <row r="16568" s="5" customFormat="1" x14ac:dyDescent="0.4"/>
    <row r="16569" s="5" customFormat="1" x14ac:dyDescent="0.4"/>
    <row r="16570" s="5" customFormat="1" x14ac:dyDescent="0.4"/>
    <row r="16571" s="5" customFormat="1" x14ac:dyDescent="0.4"/>
    <row r="16572" s="5" customFormat="1" x14ac:dyDescent="0.4"/>
    <row r="16573" s="5" customFormat="1" x14ac:dyDescent="0.4"/>
    <row r="16574" s="5" customFormat="1" x14ac:dyDescent="0.4"/>
    <row r="16575" s="5" customFormat="1" x14ac:dyDescent="0.4"/>
    <row r="16576" s="5" customFormat="1" x14ac:dyDescent="0.4"/>
    <row r="16577" s="5" customFormat="1" x14ac:dyDescent="0.4"/>
    <row r="16578" s="5" customFormat="1" x14ac:dyDescent="0.4"/>
    <row r="16579" s="5" customFormat="1" x14ac:dyDescent="0.4"/>
    <row r="16580" s="5" customFormat="1" x14ac:dyDescent="0.4"/>
    <row r="16581" s="5" customFormat="1" x14ac:dyDescent="0.4"/>
    <row r="16582" s="5" customFormat="1" x14ac:dyDescent="0.4"/>
    <row r="16583" s="5" customFormat="1" x14ac:dyDescent="0.4"/>
    <row r="16584" s="5" customFormat="1" x14ac:dyDescent="0.4"/>
    <row r="16585" s="5" customFormat="1" x14ac:dyDescent="0.4"/>
    <row r="16586" s="5" customFormat="1" x14ac:dyDescent="0.4"/>
    <row r="16587" s="5" customFormat="1" x14ac:dyDescent="0.4"/>
    <row r="16588" s="5" customFormat="1" x14ac:dyDescent="0.4"/>
    <row r="16589" s="5" customFormat="1" x14ac:dyDescent="0.4"/>
    <row r="16590" s="5" customFormat="1" x14ac:dyDescent="0.4"/>
    <row r="16591" s="5" customFormat="1" x14ac:dyDescent="0.4"/>
    <row r="16592" s="5" customFormat="1" x14ac:dyDescent="0.4"/>
    <row r="16593" s="5" customFormat="1" x14ac:dyDescent="0.4"/>
    <row r="16594" s="5" customFormat="1" x14ac:dyDescent="0.4"/>
    <row r="16595" s="5" customFormat="1" x14ac:dyDescent="0.4"/>
    <row r="16596" s="5" customFormat="1" x14ac:dyDescent="0.4"/>
    <row r="16597" s="5" customFormat="1" x14ac:dyDescent="0.4"/>
    <row r="16598" s="5" customFormat="1" x14ac:dyDescent="0.4"/>
    <row r="16599" s="5" customFormat="1" x14ac:dyDescent="0.4"/>
    <row r="16600" s="5" customFormat="1" x14ac:dyDescent="0.4"/>
    <row r="16601" s="5" customFormat="1" x14ac:dyDescent="0.4"/>
    <row r="16602" s="5" customFormat="1" x14ac:dyDescent="0.4"/>
    <row r="16603" s="5" customFormat="1" x14ac:dyDescent="0.4"/>
    <row r="16604" s="5" customFormat="1" x14ac:dyDescent="0.4"/>
    <row r="16605" s="5" customFormat="1" x14ac:dyDescent="0.4"/>
    <row r="16606" s="5" customFormat="1" x14ac:dyDescent="0.4"/>
    <row r="16607" s="5" customFormat="1" x14ac:dyDescent="0.4"/>
    <row r="16608" s="5" customFormat="1" x14ac:dyDescent="0.4"/>
    <row r="16609" s="5" customFormat="1" x14ac:dyDescent="0.4"/>
    <row r="16610" s="5" customFormat="1" x14ac:dyDescent="0.4"/>
    <row r="16611" s="5" customFormat="1" x14ac:dyDescent="0.4"/>
    <row r="16612" s="5" customFormat="1" x14ac:dyDescent="0.4"/>
    <row r="16613" s="5" customFormat="1" x14ac:dyDescent="0.4"/>
    <row r="16614" s="5" customFormat="1" x14ac:dyDescent="0.4"/>
    <row r="16615" s="5" customFormat="1" x14ac:dyDescent="0.4"/>
    <row r="16616" s="5" customFormat="1" x14ac:dyDescent="0.4"/>
    <row r="16617" s="5" customFormat="1" x14ac:dyDescent="0.4"/>
    <row r="16618" s="5" customFormat="1" x14ac:dyDescent="0.4"/>
    <row r="16619" s="5" customFormat="1" x14ac:dyDescent="0.4"/>
    <row r="16620" s="5" customFormat="1" x14ac:dyDescent="0.4"/>
    <row r="16621" s="5" customFormat="1" x14ac:dyDescent="0.4"/>
    <row r="16622" s="5" customFormat="1" x14ac:dyDescent="0.4"/>
    <row r="16623" s="5" customFormat="1" x14ac:dyDescent="0.4"/>
    <row r="16624" s="5" customFormat="1" x14ac:dyDescent="0.4"/>
    <row r="16625" s="5" customFormat="1" x14ac:dyDescent="0.4"/>
    <row r="16626" s="5" customFormat="1" x14ac:dyDescent="0.4"/>
    <row r="16627" s="5" customFormat="1" x14ac:dyDescent="0.4"/>
    <row r="16628" s="5" customFormat="1" x14ac:dyDescent="0.4"/>
    <row r="16629" s="5" customFormat="1" x14ac:dyDescent="0.4"/>
    <row r="16630" s="5" customFormat="1" x14ac:dyDescent="0.4"/>
    <row r="16631" s="5" customFormat="1" x14ac:dyDescent="0.4"/>
    <row r="16632" s="5" customFormat="1" x14ac:dyDescent="0.4"/>
    <row r="16633" s="5" customFormat="1" x14ac:dyDescent="0.4"/>
    <row r="16634" s="5" customFormat="1" x14ac:dyDescent="0.4"/>
    <row r="16635" s="5" customFormat="1" x14ac:dyDescent="0.4"/>
    <row r="16636" s="5" customFormat="1" x14ac:dyDescent="0.4"/>
    <row r="16637" s="5" customFormat="1" x14ac:dyDescent="0.4"/>
    <row r="16638" s="5" customFormat="1" x14ac:dyDescent="0.4"/>
    <row r="16639" s="5" customFormat="1" x14ac:dyDescent="0.4"/>
    <row r="16640" s="5" customFormat="1" x14ac:dyDescent="0.4"/>
    <row r="16641" s="5" customFormat="1" x14ac:dyDescent="0.4"/>
    <row r="16642" s="5" customFormat="1" x14ac:dyDescent="0.4"/>
    <row r="16643" s="5" customFormat="1" x14ac:dyDescent="0.4"/>
    <row r="16644" s="5" customFormat="1" x14ac:dyDescent="0.4"/>
    <row r="16645" s="5" customFormat="1" x14ac:dyDescent="0.4"/>
    <row r="16646" s="5" customFormat="1" x14ac:dyDescent="0.4"/>
    <row r="16647" s="5" customFormat="1" x14ac:dyDescent="0.4"/>
    <row r="16648" s="5" customFormat="1" x14ac:dyDescent="0.4"/>
    <row r="16649" s="5" customFormat="1" x14ac:dyDescent="0.4"/>
    <row r="16650" s="5" customFormat="1" x14ac:dyDescent="0.4"/>
    <row r="16651" s="5" customFormat="1" x14ac:dyDescent="0.4"/>
    <row r="16652" s="5" customFormat="1" x14ac:dyDescent="0.4"/>
    <row r="16653" s="5" customFormat="1" x14ac:dyDescent="0.4"/>
    <row r="16654" s="5" customFormat="1" x14ac:dyDescent="0.4"/>
    <row r="16655" s="5" customFormat="1" x14ac:dyDescent="0.4"/>
    <row r="16656" s="5" customFormat="1" x14ac:dyDescent="0.4"/>
    <row r="16657" s="5" customFormat="1" x14ac:dyDescent="0.4"/>
    <row r="16658" s="5" customFormat="1" x14ac:dyDescent="0.4"/>
    <row r="16659" s="5" customFormat="1" x14ac:dyDescent="0.4"/>
    <row r="16660" s="5" customFormat="1" x14ac:dyDescent="0.4"/>
    <row r="16661" s="5" customFormat="1" x14ac:dyDescent="0.4"/>
    <row r="16662" s="5" customFormat="1" x14ac:dyDescent="0.4"/>
    <row r="16663" s="5" customFormat="1" x14ac:dyDescent="0.4"/>
    <row r="16664" s="5" customFormat="1" x14ac:dyDescent="0.4"/>
    <row r="16665" s="5" customFormat="1" x14ac:dyDescent="0.4"/>
    <row r="16666" s="5" customFormat="1" x14ac:dyDescent="0.4"/>
    <row r="16667" s="5" customFormat="1" x14ac:dyDescent="0.4"/>
    <row r="16668" s="5" customFormat="1" x14ac:dyDescent="0.4"/>
    <row r="16669" s="5" customFormat="1" x14ac:dyDescent="0.4"/>
    <row r="16670" s="5" customFormat="1" x14ac:dyDescent="0.4"/>
    <row r="16671" s="5" customFormat="1" x14ac:dyDescent="0.4"/>
    <row r="16672" s="5" customFormat="1" x14ac:dyDescent="0.4"/>
    <row r="16673" s="5" customFormat="1" x14ac:dyDescent="0.4"/>
    <row r="16674" s="5" customFormat="1" x14ac:dyDescent="0.4"/>
    <row r="16675" s="5" customFormat="1" x14ac:dyDescent="0.4"/>
    <row r="16676" s="5" customFormat="1" x14ac:dyDescent="0.4"/>
    <row r="16677" s="5" customFormat="1" x14ac:dyDescent="0.4"/>
    <row r="16678" s="5" customFormat="1" x14ac:dyDescent="0.4"/>
    <row r="16679" s="5" customFormat="1" x14ac:dyDescent="0.4"/>
    <row r="16680" s="5" customFormat="1" x14ac:dyDescent="0.4"/>
    <row r="16681" s="5" customFormat="1" x14ac:dyDescent="0.4"/>
    <row r="16682" s="5" customFormat="1" x14ac:dyDescent="0.4"/>
    <row r="16683" s="5" customFormat="1" x14ac:dyDescent="0.4"/>
    <row r="16684" s="5" customFormat="1" x14ac:dyDescent="0.4"/>
    <row r="16685" s="5" customFormat="1" x14ac:dyDescent="0.4"/>
    <row r="16686" s="5" customFormat="1" x14ac:dyDescent="0.4"/>
    <row r="16687" s="5" customFormat="1" x14ac:dyDescent="0.4"/>
    <row r="16688" s="5" customFormat="1" x14ac:dyDescent="0.4"/>
    <row r="16689" s="5" customFormat="1" x14ac:dyDescent="0.4"/>
    <row r="16690" s="5" customFormat="1" x14ac:dyDescent="0.4"/>
    <row r="16691" s="5" customFormat="1" x14ac:dyDescent="0.4"/>
    <row r="16692" s="5" customFormat="1" x14ac:dyDescent="0.4"/>
    <row r="16693" s="5" customFormat="1" x14ac:dyDescent="0.4"/>
    <row r="16694" s="5" customFormat="1" x14ac:dyDescent="0.4"/>
    <row r="16695" s="5" customFormat="1" x14ac:dyDescent="0.4"/>
    <row r="16696" s="5" customFormat="1" x14ac:dyDescent="0.4"/>
    <row r="16697" s="5" customFormat="1" x14ac:dyDescent="0.4"/>
    <row r="16698" s="5" customFormat="1" x14ac:dyDescent="0.4"/>
    <row r="16699" s="5" customFormat="1" x14ac:dyDescent="0.4"/>
    <row r="16700" s="5" customFormat="1" x14ac:dyDescent="0.4"/>
    <row r="16701" s="5" customFormat="1" x14ac:dyDescent="0.4"/>
    <row r="16702" s="5" customFormat="1" x14ac:dyDescent="0.4"/>
    <row r="16703" s="5" customFormat="1" x14ac:dyDescent="0.4"/>
    <row r="16704" s="5" customFormat="1" x14ac:dyDescent="0.4"/>
    <row r="16705" s="5" customFormat="1" x14ac:dyDescent="0.4"/>
    <row r="16706" s="5" customFormat="1" x14ac:dyDescent="0.4"/>
    <row r="16707" s="5" customFormat="1" x14ac:dyDescent="0.4"/>
    <row r="16708" s="5" customFormat="1" x14ac:dyDescent="0.4"/>
    <row r="16709" s="5" customFormat="1" x14ac:dyDescent="0.4"/>
    <row r="16710" s="5" customFormat="1" x14ac:dyDescent="0.4"/>
    <row r="16711" s="5" customFormat="1" x14ac:dyDescent="0.4"/>
    <row r="16712" s="5" customFormat="1" x14ac:dyDescent="0.4"/>
    <row r="16713" s="5" customFormat="1" x14ac:dyDescent="0.4"/>
    <row r="16714" s="5" customFormat="1" x14ac:dyDescent="0.4"/>
    <row r="16715" s="5" customFormat="1" x14ac:dyDescent="0.4"/>
    <row r="16716" s="5" customFormat="1" x14ac:dyDescent="0.4"/>
    <row r="16717" s="5" customFormat="1" x14ac:dyDescent="0.4"/>
    <row r="16718" s="5" customFormat="1" x14ac:dyDescent="0.4"/>
    <row r="16719" s="5" customFormat="1" x14ac:dyDescent="0.4"/>
    <row r="16720" s="5" customFormat="1" x14ac:dyDescent="0.4"/>
    <row r="16721" s="5" customFormat="1" x14ac:dyDescent="0.4"/>
    <row r="16722" s="5" customFormat="1" x14ac:dyDescent="0.4"/>
    <row r="16723" s="5" customFormat="1" x14ac:dyDescent="0.4"/>
    <row r="16724" s="5" customFormat="1" x14ac:dyDescent="0.4"/>
    <row r="16725" s="5" customFormat="1" x14ac:dyDescent="0.4"/>
    <row r="16726" s="5" customFormat="1" x14ac:dyDescent="0.4"/>
    <row r="16727" s="5" customFormat="1" x14ac:dyDescent="0.4"/>
    <row r="16728" s="5" customFormat="1" x14ac:dyDescent="0.4"/>
    <row r="16729" s="5" customFormat="1" x14ac:dyDescent="0.4"/>
    <row r="16730" s="5" customFormat="1" x14ac:dyDescent="0.4"/>
    <row r="16731" s="5" customFormat="1" x14ac:dyDescent="0.4"/>
    <row r="16732" s="5" customFormat="1" x14ac:dyDescent="0.4"/>
    <row r="16733" s="5" customFormat="1" x14ac:dyDescent="0.4"/>
    <row r="16734" s="5" customFormat="1" x14ac:dyDescent="0.4"/>
    <row r="16735" s="5" customFormat="1" x14ac:dyDescent="0.4"/>
    <row r="16736" s="5" customFormat="1" x14ac:dyDescent="0.4"/>
    <row r="16737" s="5" customFormat="1" x14ac:dyDescent="0.4"/>
    <row r="16738" s="5" customFormat="1" x14ac:dyDescent="0.4"/>
    <row r="16739" s="5" customFormat="1" x14ac:dyDescent="0.4"/>
    <row r="16740" s="5" customFormat="1" x14ac:dyDescent="0.4"/>
    <row r="16741" s="5" customFormat="1" x14ac:dyDescent="0.4"/>
    <row r="16742" s="5" customFormat="1" x14ac:dyDescent="0.4"/>
    <row r="16743" s="5" customFormat="1" x14ac:dyDescent="0.4"/>
    <row r="16744" s="5" customFormat="1" x14ac:dyDescent="0.4"/>
    <row r="16745" s="5" customFormat="1" x14ac:dyDescent="0.4"/>
    <row r="16746" s="5" customFormat="1" x14ac:dyDescent="0.4"/>
    <row r="16747" s="5" customFormat="1" x14ac:dyDescent="0.4"/>
    <row r="16748" s="5" customFormat="1" x14ac:dyDescent="0.4"/>
    <row r="16749" s="5" customFormat="1" x14ac:dyDescent="0.4"/>
    <row r="16750" s="5" customFormat="1" x14ac:dyDescent="0.4"/>
    <row r="16751" s="5" customFormat="1" x14ac:dyDescent="0.4"/>
    <row r="16752" s="5" customFormat="1" x14ac:dyDescent="0.4"/>
    <row r="16753" s="5" customFormat="1" x14ac:dyDescent="0.4"/>
    <row r="16754" s="5" customFormat="1" x14ac:dyDescent="0.4"/>
    <row r="16755" s="5" customFormat="1" x14ac:dyDescent="0.4"/>
    <row r="16756" s="5" customFormat="1" x14ac:dyDescent="0.4"/>
    <row r="16757" s="5" customFormat="1" x14ac:dyDescent="0.4"/>
    <row r="16758" s="5" customFormat="1" x14ac:dyDescent="0.4"/>
    <row r="16759" s="5" customFormat="1" x14ac:dyDescent="0.4"/>
    <row r="16760" s="5" customFormat="1" x14ac:dyDescent="0.4"/>
    <row r="16761" s="5" customFormat="1" x14ac:dyDescent="0.4"/>
    <row r="16762" s="5" customFormat="1" x14ac:dyDescent="0.4"/>
    <row r="16763" s="5" customFormat="1" x14ac:dyDescent="0.4"/>
    <row r="16764" s="5" customFormat="1" x14ac:dyDescent="0.4"/>
    <row r="16765" s="5" customFormat="1" x14ac:dyDescent="0.4"/>
    <row r="16766" s="5" customFormat="1" x14ac:dyDescent="0.4"/>
    <row r="16767" s="5" customFormat="1" x14ac:dyDescent="0.4"/>
    <row r="16768" s="5" customFormat="1" x14ac:dyDescent="0.4"/>
    <row r="16769" s="5" customFormat="1" x14ac:dyDescent="0.4"/>
    <row r="16770" s="5" customFormat="1" x14ac:dyDescent="0.4"/>
    <row r="16771" s="5" customFormat="1" x14ac:dyDescent="0.4"/>
    <row r="16772" s="5" customFormat="1" x14ac:dyDescent="0.4"/>
    <row r="16773" s="5" customFormat="1" x14ac:dyDescent="0.4"/>
    <row r="16774" s="5" customFormat="1" x14ac:dyDescent="0.4"/>
    <row r="16775" s="5" customFormat="1" x14ac:dyDescent="0.4"/>
    <row r="16776" s="5" customFormat="1" x14ac:dyDescent="0.4"/>
    <row r="16777" s="5" customFormat="1" x14ac:dyDescent="0.4"/>
    <row r="16778" s="5" customFormat="1" x14ac:dyDescent="0.4"/>
    <row r="16779" s="5" customFormat="1" x14ac:dyDescent="0.4"/>
    <row r="16780" s="5" customFormat="1" x14ac:dyDescent="0.4"/>
    <row r="16781" s="5" customFormat="1" x14ac:dyDescent="0.4"/>
    <row r="16782" s="5" customFormat="1" x14ac:dyDescent="0.4"/>
    <row r="16783" s="5" customFormat="1" x14ac:dyDescent="0.4"/>
    <row r="16784" s="5" customFormat="1" x14ac:dyDescent="0.4"/>
    <row r="16785" s="5" customFormat="1" x14ac:dyDescent="0.4"/>
    <row r="16786" s="5" customFormat="1" x14ac:dyDescent="0.4"/>
    <row r="16787" s="5" customFormat="1" x14ac:dyDescent="0.4"/>
    <row r="16788" s="5" customFormat="1" x14ac:dyDescent="0.4"/>
    <row r="16789" s="5" customFormat="1" x14ac:dyDescent="0.4"/>
    <row r="16790" s="5" customFormat="1" x14ac:dyDescent="0.4"/>
    <row r="16791" s="5" customFormat="1" x14ac:dyDescent="0.4"/>
    <row r="16792" s="5" customFormat="1" x14ac:dyDescent="0.4"/>
    <row r="16793" s="5" customFormat="1" x14ac:dyDescent="0.4"/>
    <row r="16794" s="5" customFormat="1" x14ac:dyDescent="0.4"/>
    <row r="16795" s="5" customFormat="1" x14ac:dyDescent="0.4"/>
    <row r="16796" s="5" customFormat="1" x14ac:dyDescent="0.4"/>
    <row r="16797" s="5" customFormat="1" x14ac:dyDescent="0.4"/>
    <row r="16798" s="5" customFormat="1" x14ac:dyDescent="0.4"/>
    <row r="16799" s="5" customFormat="1" x14ac:dyDescent="0.4"/>
    <row r="16800" s="5" customFormat="1" x14ac:dyDescent="0.4"/>
    <row r="16801" s="5" customFormat="1" x14ac:dyDescent="0.4"/>
    <row r="16802" s="5" customFormat="1" x14ac:dyDescent="0.4"/>
    <row r="16803" s="5" customFormat="1" x14ac:dyDescent="0.4"/>
    <row r="16804" s="5" customFormat="1" x14ac:dyDescent="0.4"/>
    <row r="16805" s="5" customFormat="1" x14ac:dyDescent="0.4"/>
    <row r="16806" s="5" customFormat="1" x14ac:dyDescent="0.4"/>
    <row r="16807" s="5" customFormat="1" x14ac:dyDescent="0.4"/>
    <row r="16808" s="5" customFormat="1" x14ac:dyDescent="0.4"/>
    <row r="16809" s="5" customFormat="1" x14ac:dyDescent="0.4"/>
    <row r="16810" s="5" customFormat="1" x14ac:dyDescent="0.4"/>
    <row r="16811" s="5" customFormat="1" x14ac:dyDescent="0.4"/>
    <row r="16812" s="5" customFormat="1" x14ac:dyDescent="0.4"/>
    <row r="16813" s="5" customFormat="1" x14ac:dyDescent="0.4"/>
    <row r="16814" s="5" customFormat="1" x14ac:dyDescent="0.4"/>
    <row r="16815" s="5" customFormat="1" x14ac:dyDescent="0.4"/>
    <row r="16816" s="5" customFormat="1" x14ac:dyDescent="0.4"/>
    <row r="16817" s="5" customFormat="1" x14ac:dyDescent="0.4"/>
    <row r="16818" s="5" customFormat="1" x14ac:dyDescent="0.4"/>
    <row r="16819" s="5" customFormat="1" x14ac:dyDescent="0.4"/>
    <row r="16820" s="5" customFormat="1" x14ac:dyDescent="0.4"/>
    <row r="16821" s="5" customFormat="1" x14ac:dyDescent="0.4"/>
    <row r="16822" s="5" customFormat="1" x14ac:dyDescent="0.4"/>
    <row r="16823" s="5" customFormat="1" x14ac:dyDescent="0.4"/>
    <row r="16824" s="5" customFormat="1" x14ac:dyDescent="0.4"/>
    <row r="16825" s="5" customFormat="1" x14ac:dyDescent="0.4"/>
    <row r="16826" s="5" customFormat="1" x14ac:dyDescent="0.4"/>
    <row r="16827" s="5" customFormat="1" x14ac:dyDescent="0.4"/>
    <row r="16828" s="5" customFormat="1" x14ac:dyDescent="0.4"/>
    <row r="16829" s="5" customFormat="1" x14ac:dyDescent="0.4"/>
    <row r="16830" s="5" customFormat="1" x14ac:dyDescent="0.4"/>
    <row r="16831" s="5" customFormat="1" x14ac:dyDescent="0.4"/>
    <row r="16832" s="5" customFormat="1" x14ac:dyDescent="0.4"/>
    <row r="16833" s="5" customFormat="1" x14ac:dyDescent="0.4"/>
    <row r="16834" s="5" customFormat="1" x14ac:dyDescent="0.4"/>
    <row r="16835" s="5" customFormat="1" x14ac:dyDescent="0.4"/>
    <row r="16836" s="5" customFormat="1" x14ac:dyDescent="0.4"/>
    <row r="16837" s="5" customFormat="1" x14ac:dyDescent="0.4"/>
    <row r="16838" s="5" customFormat="1" x14ac:dyDescent="0.4"/>
    <row r="16839" s="5" customFormat="1" x14ac:dyDescent="0.4"/>
    <row r="16840" s="5" customFormat="1" x14ac:dyDescent="0.4"/>
    <row r="16841" s="5" customFormat="1" x14ac:dyDescent="0.4"/>
    <row r="16842" s="5" customFormat="1" x14ac:dyDescent="0.4"/>
    <row r="16843" s="5" customFormat="1" x14ac:dyDescent="0.4"/>
    <row r="16844" s="5" customFormat="1" x14ac:dyDescent="0.4"/>
    <row r="16845" s="5" customFormat="1" x14ac:dyDescent="0.4"/>
    <row r="16846" s="5" customFormat="1" x14ac:dyDescent="0.4"/>
    <row r="16847" s="5" customFormat="1" x14ac:dyDescent="0.4"/>
    <row r="16848" s="5" customFormat="1" x14ac:dyDescent="0.4"/>
    <row r="16849" s="5" customFormat="1" x14ac:dyDescent="0.4"/>
    <row r="16850" s="5" customFormat="1" x14ac:dyDescent="0.4"/>
    <row r="16851" s="5" customFormat="1" x14ac:dyDescent="0.4"/>
    <row r="16852" s="5" customFormat="1" x14ac:dyDescent="0.4"/>
    <row r="16853" s="5" customFormat="1" x14ac:dyDescent="0.4"/>
    <row r="16854" s="5" customFormat="1" x14ac:dyDescent="0.4"/>
    <row r="16855" s="5" customFormat="1" x14ac:dyDescent="0.4"/>
    <row r="16856" s="5" customFormat="1" x14ac:dyDescent="0.4"/>
    <row r="16857" s="5" customFormat="1" x14ac:dyDescent="0.4"/>
    <row r="16858" s="5" customFormat="1" x14ac:dyDescent="0.4"/>
    <row r="16859" s="5" customFormat="1" x14ac:dyDescent="0.4"/>
    <row r="16860" s="5" customFormat="1" x14ac:dyDescent="0.4"/>
    <row r="16861" s="5" customFormat="1" x14ac:dyDescent="0.4"/>
    <row r="16862" s="5" customFormat="1" x14ac:dyDescent="0.4"/>
    <row r="16863" s="5" customFormat="1" x14ac:dyDescent="0.4"/>
    <row r="16864" s="5" customFormat="1" x14ac:dyDescent="0.4"/>
    <row r="16865" s="5" customFormat="1" x14ac:dyDescent="0.4"/>
    <row r="16866" s="5" customFormat="1" x14ac:dyDescent="0.4"/>
    <row r="16867" s="5" customFormat="1" x14ac:dyDescent="0.4"/>
    <row r="16868" s="5" customFormat="1" x14ac:dyDescent="0.4"/>
    <row r="16869" s="5" customFormat="1" x14ac:dyDescent="0.4"/>
    <row r="16870" s="5" customFormat="1" x14ac:dyDescent="0.4"/>
    <row r="16871" s="5" customFormat="1" x14ac:dyDescent="0.4"/>
    <row r="16872" s="5" customFormat="1" x14ac:dyDescent="0.4"/>
    <row r="16873" s="5" customFormat="1" x14ac:dyDescent="0.4"/>
    <row r="16874" s="5" customFormat="1" x14ac:dyDescent="0.4"/>
    <row r="16875" s="5" customFormat="1" x14ac:dyDescent="0.4"/>
    <row r="16876" s="5" customFormat="1" x14ac:dyDescent="0.4"/>
    <row r="16877" s="5" customFormat="1" x14ac:dyDescent="0.4"/>
    <row r="16878" s="5" customFormat="1" x14ac:dyDescent="0.4"/>
    <row r="16879" s="5" customFormat="1" x14ac:dyDescent="0.4"/>
    <row r="16880" s="5" customFormat="1" x14ac:dyDescent="0.4"/>
    <row r="16881" s="5" customFormat="1" x14ac:dyDescent="0.4"/>
    <row r="16882" s="5" customFormat="1" x14ac:dyDescent="0.4"/>
    <row r="16883" s="5" customFormat="1" x14ac:dyDescent="0.4"/>
    <row r="16884" s="5" customFormat="1" x14ac:dyDescent="0.4"/>
    <row r="16885" s="5" customFormat="1" x14ac:dyDescent="0.4"/>
    <row r="16886" s="5" customFormat="1" x14ac:dyDescent="0.4"/>
    <row r="16887" s="5" customFormat="1" x14ac:dyDescent="0.4"/>
    <row r="16888" s="5" customFormat="1" x14ac:dyDescent="0.4"/>
    <row r="16889" s="5" customFormat="1" x14ac:dyDescent="0.4"/>
    <row r="16890" s="5" customFormat="1" x14ac:dyDescent="0.4"/>
    <row r="16891" s="5" customFormat="1" x14ac:dyDescent="0.4"/>
    <row r="16892" s="5" customFormat="1" x14ac:dyDescent="0.4"/>
    <row r="16893" s="5" customFormat="1" x14ac:dyDescent="0.4"/>
    <row r="16894" s="5" customFormat="1" x14ac:dyDescent="0.4"/>
    <row r="16895" s="5" customFormat="1" x14ac:dyDescent="0.4"/>
    <row r="16896" s="5" customFormat="1" x14ac:dyDescent="0.4"/>
    <row r="16897" s="5" customFormat="1" x14ac:dyDescent="0.4"/>
    <row r="16898" s="5" customFormat="1" x14ac:dyDescent="0.4"/>
    <row r="16899" s="5" customFormat="1" x14ac:dyDescent="0.4"/>
    <row r="16900" s="5" customFormat="1" x14ac:dyDescent="0.4"/>
    <row r="16901" s="5" customFormat="1" x14ac:dyDescent="0.4"/>
    <row r="16902" s="5" customFormat="1" x14ac:dyDescent="0.4"/>
    <row r="16903" s="5" customFormat="1" x14ac:dyDescent="0.4"/>
    <row r="16904" s="5" customFormat="1" x14ac:dyDescent="0.4"/>
    <row r="16905" s="5" customFormat="1" x14ac:dyDescent="0.4"/>
    <row r="16906" s="5" customFormat="1" x14ac:dyDescent="0.4"/>
    <row r="16907" s="5" customFormat="1" x14ac:dyDescent="0.4"/>
    <row r="16908" s="5" customFormat="1" x14ac:dyDescent="0.4"/>
    <row r="16909" s="5" customFormat="1" x14ac:dyDescent="0.4"/>
    <row r="16910" s="5" customFormat="1" x14ac:dyDescent="0.4"/>
    <row r="16911" s="5" customFormat="1" x14ac:dyDescent="0.4"/>
    <row r="16912" s="5" customFormat="1" x14ac:dyDescent="0.4"/>
    <row r="16913" s="5" customFormat="1" x14ac:dyDescent="0.4"/>
    <row r="16914" s="5" customFormat="1" x14ac:dyDescent="0.4"/>
    <row r="16915" s="5" customFormat="1" x14ac:dyDescent="0.4"/>
    <row r="16916" s="5" customFormat="1" x14ac:dyDescent="0.4"/>
    <row r="16917" s="5" customFormat="1" x14ac:dyDescent="0.4"/>
    <row r="16918" s="5" customFormat="1" x14ac:dyDescent="0.4"/>
    <row r="16919" s="5" customFormat="1" x14ac:dyDescent="0.4"/>
    <row r="16920" s="5" customFormat="1" x14ac:dyDescent="0.4"/>
    <row r="16921" s="5" customFormat="1" x14ac:dyDescent="0.4"/>
    <row r="16922" s="5" customFormat="1" x14ac:dyDescent="0.4"/>
    <row r="16923" s="5" customFormat="1" x14ac:dyDescent="0.4"/>
    <row r="16924" s="5" customFormat="1" x14ac:dyDescent="0.4"/>
    <row r="16925" s="5" customFormat="1" x14ac:dyDescent="0.4"/>
    <row r="16926" s="5" customFormat="1" x14ac:dyDescent="0.4"/>
    <row r="16927" s="5" customFormat="1" x14ac:dyDescent="0.4"/>
    <row r="16928" s="5" customFormat="1" x14ac:dyDescent="0.4"/>
    <row r="16929" s="5" customFormat="1" x14ac:dyDescent="0.4"/>
    <row r="16930" s="5" customFormat="1" x14ac:dyDescent="0.4"/>
    <row r="16931" s="5" customFormat="1" x14ac:dyDescent="0.4"/>
    <row r="16932" s="5" customFormat="1" x14ac:dyDescent="0.4"/>
    <row r="16933" s="5" customFormat="1" x14ac:dyDescent="0.4"/>
    <row r="16934" s="5" customFormat="1" x14ac:dyDescent="0.4"/>
    <row r="16935" s="5" customFormat="1" x14ac:dyDescent="0.4"/>
    <row r="16936" s="5" customFormat="1" x14ac:dyDescent="0.4"/>
    <row r="16937" s="5" customFormat="1" x14ac:dyDescent="0.4"/>
    <row r="16938" s="5" customFormat="1" x14ac:dyDescent="0.4"/>
    <row r="16939" s="5" customFormat="1" x14ac:dyDescent="0.4"/>
    <row r="16940" s="5" customFormat="1" x14ac:dyDescent="0.4"/>
    <row r="16941" s="5" customFormat="1" x14ac:dyDescent="0.4"/>
    <row r="16942" s="5" customFormat="1" x14ac:dyDescent="0.4"/>
    <row r="16943" s="5" customFormat="1" x14ac:dyDescent="0.4"/>
    <row r="16944" s="5" customFormat="1" x14ac:dyDescent="0.4"/>
    <row r="16945" s="5" customFormat="1" x14ac:dyDescent="0.4"/>
    <row r="16946" s="5" customFormat="1" x14ac:dyDescent="0.4"/>
    <row r="16947" s="5" customFormat="1" x14ac:dyDescent="0.4"/>
    <row r="16948" s="5" customFormat="1" x14ac:dyDescent="0.4"/>
    <row r="16949" s="5" customFormat="1" x14ac:dyDescent="0.4"/>
    <row r="16950" s="5" customFormat="1" x14ac:dyDescent="0.4"/>
    <row r="16951" s="5" customFormat="1" x14ac:dyDescent="0.4"/>
    <row r="16952" s="5" customFormat="1" x14ac:dyDescent="0.4"/>
    <row r="16953" s="5" customFormat="1" x14ac:dyDescent="0.4"/>
    <row r="16954" s="5" customFormat="1" x14ac:dyDescent="0.4"/>
    <row r="16955" s="5" customFormat="1" x14ac:dyDescent="0.4"/>
    <row r="16956" s="5" customFormat="1" x14ac:dyDescent="0.4"/>
    <row r="16957" s="5" customFormat="1" x14ac:dyDescent="0.4"/>
    <row r="16958" s="5" customFormat="1" x14ac:dyDescent="0.4"/>
    <row r="16959" s="5" customFormat="1" x14ac:dyDescent="0.4"/>
    <row r="16960" s="5" customFormat="1" x14ac:dyDescent="0.4"/>
    <row r="16961" s="5" customFormat="1" x14ac:dyDescent="0.4"/>
    <row r="16962" s="5" customFormat="1" x14ac:dyDescent="0.4"/>
    <row r="16963" s="5" customFormat="1" x14ac:dyDescent="0.4"/>
    <row r="16964" s="5" customFormat="1" x14ac:dyDescent="0.4"/>
    <row r="16965" s="5" customFormat="1" x14ac:dyDescent="0.4"/>
    <row r="16966" s="5" customFormat="1" x14ac:dyDescent="0.4"/>
    <row r="16967" s="5" customFormat="1" x14ac:dyDescent="0.4"/>
    <row r="16968" s="5" customFormat="1" x14ac:dyDescent="0.4"/>
    <row r="16969" s="5" customFormat="1" x14ac:dyDescent="0.4"/>
    <row r="16970" s="5" customFormat="1" x14ac:dyDescent="0.4"/>
    <row r="16971" s="5" customFormat="1" x14ac:dyDescent="0.4"/>
    <row r="16972" s="5" customFormat="1" x14ac:dyDescent="0.4"/>
    <row r="16973" s="5" customFormat="1" x14ac:dyDescent="0.4"/>
    <row r="16974" s="5" customFormat="1" x14ac:dyDescent="0.4"/>
    <row r="16975" s="5" customFormat="1" x14ac:dyDescent="0.4"/>
    <row r="16976" s="5" customFormat="1" x14ac:dyDescent="0.4"/>
    <row r="16977" s="5" customFormat="1" x14ac:dyDescent="0.4"/>
    <row r="16978" s="5" customFormat="1" x14ac:dyDescent="0.4"/>
    <row r="16979" s="5" customFormat="1" x14ac:dyDescent="0.4"/>
    <row r="16980" s="5" customFormat="1" x14ac:dyDescent="0.4"/>
    <row r="16981" s="5" customFormat="1" x14ac:dyDescent="0.4"/>
    <row r="16982" s="5" customFormat="1" x14ac:dyDescent="0.4"/>
    <row r="16983" s="5" customFormat="1" x14ac:dyDescent="0.4"/>
    <row r="16984" s="5" customFormat="1" x14ac:dyDescent="0.4"/>
    <row r="16985" s="5" customFormat="1" x14ac:dyDescent="0.4"/>
    <row r="16986" s="5" customFormat="1" x14ac:dyDescent="0.4"/>
    <row r="16987" s="5" customFormat="1" x14ac:dyDescent="0.4"/>
    <row r="16988" s="5" customFormat="1" x14ac:dyDescent="0.4"/>
    <row r="16989" s="5" customFormat="1" x14ac:dyDescent="0.4"/>
    <row r="16990" s="5" customFormat="1" x14ac:dyDescent="0.4"/>
    <row r="16991" s="5" customFormat="1" x14ac:dyDescent="0.4"/>
    <row r="16992" s="5" customFormat="1" x14ac:dyDescent="0.4"/>
    <row r="16993" s="5" customFormat="1" x14ac:dyDescent="0.4"/>
    <row r="16994" s="5" customFormat="1" x14ac:dyDescent="0.4"/>
    <row r="16995" s="5" customFormat="1" x14ac:dyDescent="0.4"/>
    <row r="16996" s="5" customFormat="1" x14ac:dyDescent="0.4"/>
    <row r="16997" s="5" customFormat="1" x14ac:dyDescent="0.4"/>
    <row r="16998" s="5" customFormat="1" x14ac:dyDescent="0.4"/>
    <row r="16999" s="5" customFormat="1" x14ac:dyDescent="0.4"/>
    <row r="17000" s="5" customFormat="1" x14ac:dyDescent="0.4"/>
    <row r="17001" s="5" customFormat="1" x14ac:dyDescent="0.4"/>
    <row r="17002" s="5" customFormat="1" x14ac:dyDescent="0.4"/>
    <row r="17003" s="5" customFormat="1" x14ac:dyDescent="0.4"/>
    <row r="17004" s="5" customFormat="1" x14ac:dyDescent="0.4"/>
    <row r="17005" s="5" customFormat="1" x14ac:dyDescent="0.4"/>
    <row r="17006" s="5" customFormat="1" x14ac:dyDescent="0.4"/>
    <row r="17007" s="5" customFormat="1" x14ac:dyDescent="0.4"/>
    <row r="17008" s="5" customFormat="1" x14ac:dyDescent="0.4"/>
    <row r="17009" s="5" customFormat="1" x14ac:dyDescent="0.4"/>
    <row r="17010" s="5" customFormat="1" x14ac:dyDescent="0.4"/>
    <row r="17011" s="5" customFormat="1" x14ac:dyDescent="0.4"/>
    <row r="17012" s="5" customFormat="1" x14ac:dyDescent="0.4"/>
    <row r="17013" s="5" customFormat="1" x14ac:dyDescent="0.4"/>
    <row r="17014" s="5" customFormat="1" x14ac:dyDescent="0.4"/>
    <row r="17015" s="5" customFormat="1" x14ac:dyDescent="0.4"/>
    <row r="17016" s="5" customFormat="1" x14ac:dyDescent="0.4"/>
    <row r="17017" s="5" customFormat="1" x14ac:dyDescent="0.4"/>
    <row r="17018" s="5" customFormat="1" x14ac:dyDescent="0.4"/>
    <row r="17019" s="5" customFormat="1" x14ac:dyDescent="0.4"/>
    <row r="17020" s="5" customFormat="1" x14ac:dyDescent="0.4"/>
    <row r="17021" s="5" customFormat="1" x14ac:dyDescent="0.4"/>
    <row r="17022" s="5" customFormat="1" x14ac:dyDescent="0.4"/>
    <row r="17023" s="5" customFormat="1" x14ac:dyDescent="0.4"/>
    <row r="17024" s="5" customFormat="1" x14ac:dyDescent="0.4"/>
    <row r="17025" s="5" customFormat="1" x14ac:dyDescent="0.4"/>
    <row r="17026" s="5" customFormat="1" x14ac:dyDescent="0.4"/>
    <row r="17027" s="5" customFormat="1" x14ac:dyDescent="0.4"/>
    <row r="17028" s="5" customFormat="1" x14ac:dyDescent="0.4"/>
    <row r="17029" s="5" customFormat="1" x14ac:dyDescent="0.4"/>
    <row r="17030" s="5" customFormat="1" x14ac:dyDescent="0.4"/>
    <row r="17031" s="5" customFormat="1" x14ac:dyDescent="0.4"/>
    <row r="17032" s="5" customFormat="1" x14ac:dyDescent="0.4"/>
    <row r="17033" s="5" customFormat="1" x14ac:dyDescent="0.4"/>
    <row r="17034" s="5" customFormat="1" x14ac:dyDescent="0.4"/>
    <row r="17035" s="5" customFormat="1" x14ac:dyDescent="0.4"/>
    <row r="17036" s="5" customFormat="1" x14ac:dyDescent="0.4"/>
    <row r="17037" s="5" customFormat="1" x14ac:dyDescent="0.4"/>
    <row r="17038" s="5" customFormat="1" x14ac:dyDescent="0.4"/>
    <row r="17039" s="5" customFormat="1" x14ac:dyDescent="0.4"/>
    <row r="17040" s="5" customFormat="1" x14ac:dyDescent="0.4"/>
    <row r="17041" s="5" customFormat="1" x14ac:dyDescent="0.4"/>
    <row r="17042" s="5" customFormat="1" x14ac:dyDescent="0.4"/>
    <row r="17043" s="5" customFormat="1" x14ac:dyDescent="0.4"/>
    <row r="17044" s="5" customFormat="1" x14ac:dyDescent="0.4"/>
    <row r="17045" s="5" customFormat="1" x14ac:dyDescent="0.4"/>
    <row r="17046" s="5" customFormat="1" x14ac:dyDescent="0.4"/>
    <row r="17047" s="5" customFormat="1" x14ac:dyDescent="0.4"/>
    <row r="17048" s="5" customFormat="1" x14ac:dyDescent="0.4"/>
    <row r="17049" s="5" customFormat="1" x14ac:dyDescent="0.4"/>
    <row r="17050" s="5" customFormat="1" x14ac:dyDescent="0.4"/>
    <row r="17051" s="5" customFormat="1" x14ac:dyDescent="0.4"/>
    <row r="17052" s="5" customFormat="1" x14ac:dyDescent="0.4"/>
    <row r="17053" s="5" customFormat="1" x14ac:dyDescent="0.4"/>
    <row r="17054" s="5" customFormat="1" x14ac:dyDescent="0.4"/>
    <row r="17055" s="5" customFormat="1" x14ac:dyDescent="0.4"/>
    <row r="17056" s="5" customFormat="1" x14ac:dyDescent="0.4"/>
    <row r="17057" s="5" customFormat="1" x14ac:dyDescent="0.4"/>
    <row r="17058" s="5" customFormat="1" x14ac:dyDescent="0.4"/>
    <row r="17059" s="5" customFormat="1" x14ac:dyDescent="0.4"/>
    <row r="17060" s="5" customFormat="1" x14ac:dyDescent="0.4"/>
    <row r="17061" s="5" customFormat="1" x14ac:dyDescent="0.4"/>
    <row r="17062" s="5" customFormat="1" x14ac:dyDescent="0.4"/>
    <row r="17063" s="5" customFormat="1" x14ac:dyDescent="0.4"/>
    <row r="17064" s="5" customFormat="1" x14ac:dyDescent="0.4"/>
    <row r="17065" s="5" customFormat="1" x14ac:dyDescent="0.4"/>
    <row r="17066" s="5" customFormat="1" x14ac:dyDescent="0.4"/>
    <row r="17067" s="5" customFormat="1" x14ac:dyDescent="0.4"/>
    <row r="17068" s="5" customFormat="1" x14ac:dyDescent="0.4"/>
    <row r="17069" s="5" customFormat="1" x14ac:dyDescent="0.4"/>
    <row r="17070" s="5" customFormat="1" x14ac:dyDescent="0.4"/>
    <row r="17071" s="5" customFormat="1" x14ac:dyDescent="0.4"/>
    <row r="17072" s="5" customFormat="1" x14ac:dyDescent="0.4"/>
    <row r="17073" s="5" customFormat="1" x14ac:dyDescent="0.4"/>
    <row r="17074" s="5" customFormat="1" x14ac:dyDescent="0.4"/>
    <row r="17075" s="5" customFormat="1" x14ac:dyDescent="0.4"/>
    <row r="17076" s="5" customFormat="1" x14ac:dyDescent="0.4"/>
    <row r="17077" s="5" customFormat="1" x14ac:dyDescent="0.4"/>
    <row r="17078" s="5" customFormat="1" x14ac:dyDescent="0.4"/>
    <row r="17079" s="5" customFormat="1" x14ac:dyDescent="0.4"/>
    <row r="17080" s="5" customFormat="1" x14ac:dyDescent="0.4"/>
    <row r="17081" s="5" customFormat="1" x14ac:dyDescent="0.4"/>
    <row r="17082" s="5" customFormat="1" x14ac:dyDescent="0.4"/>
    <row r="17083" s="5" customFormat="1" x14ac:dyDescent="0.4"/>
    <row r="17084" s="5" customFormat="1" x14ac:dyDescent="0.4"/>
    <row r="17085" s="5" customFormat="1" x14ac:dyDescent="0.4"/>
    <row r="17086" s="5" customFormat="1" x14ac:dyDescent="0.4"/>
    <row r="17087" s="5" customFormat="1" x14ac:dyDescent="0.4"/>
    <row r="17088" s="5" customFormat="1" x14ac:dyDescent="0.4"/>
    <row r="17089" s="5" customFormat="1" x14ac:dyDescent="0.4"/>
    <row r="17090" s="5" customFormat="1" x14ac:dyDescent="0.4"/>
    <row r="17091" s="5" customFormat="1" x14ac:dyDescent="0.4"/>
    <row r="17092" s="5" customFormat="1" x14ac:dyDescent="0.4"/>
    <row r="17093" s="5" customFormat="1" x14ac:dyDescent="0.4"/>
    <row r="17094" s="5" customFormat="1" x14ac:dyDescent="0.4"/>
    <row r="17095" s="5" customFormat="1" x14ac:dyDescent="0.4"/>
    <row r="17096" s="5" customFormat="1" x14ac:dyDescent="0.4"/>
    <row r="17097" s="5" customFormat="1" x14ac:dyDescent="0.4"/>
    <row r="17098" s="5" customFormat="1" x14ac:dyDescent="0.4"/>
    <row r="17099" s="5" customFormat="1" x14ac:dyDescent="0.4"/>
    <row r="17100" s="5" customFormat="1" x14ac:dyDescent="0.4"/>
    <row r="17101" s="5" customFormat="1" x14ac:dyDescent="0.4"/>
    <row r="17102" s="5" customFormat="1" x14ac:dyDescent="0.4"/>
    <row r="17103" s="5" customFormat="1" x14ac:dyDescent="0.4"/>
    <row r="17104" s="5" customFormat="1" x14ac:dyDescent="0.4"/>
    <row r="17105" s="5" customFormat="1" x14ac:dyDescent="0.4"/>
    <row r="17106" s="5" customFormat="1" x14ac:dyDescent="0.4"/>
    <row r="17107" s="5" customFormat="1" x14ac:dyDescent="0.4"/>
    <row r="17108" s="5" customFormat="1" x14ac:dyDescent="0.4"/>
    <row r="17109" s="5" customFormat="1" x14ac:dyDescent="0.4"/>
    <row r="17110" s="5" customFormat="1" x14ac:dyDescent="0.4"/>
    <row r="17111" s="5" customFormat="1" x14ac:dyDescent="0.4"/>
    <row r="17112" s="5" customFormat="1" x14ac:dyDescent="0.4"/>
    <row r="17113" s="5" customFormat="1" x14ac:dyDescent="0.4"/>
    <row r="17114" s="5" customFormat="1" x14ac:dyDescent="0.4"/>
    <row r="17115" s="5" customFormat="1" x14ac:dyDescent="0.4"/>
    <row r="17116" s="5" customFormat="1" x14ac:dyDescent="0.4"/>
    <row r="17117" s="5" customFormat="1" x14ac:dyDescent="0.4"/>
    <row r="17118" s="5" customFormat="1" x14ac:dyDescent="0.4"/>
    <row r="17119" s="5" customFormat="1" x14ac:dyDescent="0.4"/>
    <row r="17120" s="5" customFormat="1" x14ac:dyDescent="0.4"/>
    <row r="17121" s="5" customFormat="1" x14ac:dyDescent="0.4"/>
    <row r="17122" s="5" customFormat="1" x14ac:dyDescent="0.4"/>
    <row r="17123" s="5" customFormat="1" x14ac:dyDescent="0.4"/>
    <row r="17124" s="5" customFormat="1" x14ac:dyDescent="0.4"/>
    <row r="17125" s="5" customFormat="1" x14ac:dyDescent="0.4"/>
    <row r="17126" s="5" customFormat="1" x14ac:dyDescent="0.4"/>
    <row r="17127" s="5" customFormat="1" x14ac:dyDescent="0.4"/>
    <row r="17128" s="5" customFormat="1" x14ac:dyDescent="0.4"/>
    <row r="17129" s="5" customFormat="1" x14ac:dyDescent="0.4"/>
    <row r="17130" s="5" customFormat="1" x14ac:dyDescent="0.4"/>
    <row r="17131" s="5" customFormat="1" x14ac:dyDescent="0.4"/>
    <row r="17132" s="5" customFormat="1" x14ac:dyDescent="0.4"/>
    <row r="17133" s="5" customFormat="1" x14ac:dyDescent="0.4"/>
    <row r="17134" s="5" customFormat="1" x14ac:dyDescent="0.4"/>
    <row r="17135" s="5" customFormat="1" x14ac:dyDescent="0.4"/>
    <row r="17136" s="5" customFormat="1" x14ac:dyDescent="0.4"/>
    <row r="17137" s="5" customFormat="1" x14ac:dyDescent="0.4"/>
    <row r="17138" s="5" customFormat="1" x14ac:dyDescent="0.4"/>
    <row r="17139" s="5" customFormat="1" x14ac:dyDescent="0.4"/>
    <row r="17140" s="5" customFormat="1" x14ac:dyDescent="0.4"/>
    <row r="17141" s="5" customFormat="1" x14ac:dyDescent="0.4"/>
    <row r="17142" s="5" customFormat="1" x14ac:dyDescent="0.4"/>
    <row r="17143" s="5" customFormat="1" x14ac:dyDescent="0.4"/>
    <row r="17144" s="5" customFormat="1" x14ac:dyDescent="0.4"/>
    <row r="17145" s="5" customFormat="1" x14ac:dyDescent="0.4"/>
    <row r="17146" s="5" customFormat="1" x14ac:dyDescent="0.4"/>
    <row r="17147" s="5" customFormat="1" x14ac:dyDescent="0.4"/>
    <row r="17148" s="5" customFormat="1" x14ac:dyDescent="0.4"/>
    <row r="17149" s="5" customFormat="1" x14ac:dyDescent="0.4"/>
    <row r="17150" s="5" customFormat="1" x14ac:dyDescent="0.4"/>
    <row r="17151" s="5" customFormat="1" x14ac:dyDescent="0.4"/>
    <row r="17152" s="5" customFormat="1" x14ac:dyDescent="0.4"/>
    <row r="17153" s="5" customFormat="1" x14ac:dyDescent="0.4"/>
    <row r="17154" s="5" customFormat="1" x14ac:dyDescent="0.4"/>
    <row r="17155" s="5" customFormat="1" x14ac:dyDescent="0.4"/>
    <row r="17156" s="5" customFormat="1" x14ac:dyDescent="0.4"/>
    <row r="17157" s="5" customFormat="1" x14ac:dyDescent="0.4"/>
    <row r="17158" s="5" customFormat="1" x14ac:dyDescent="0.4"/>
    <row r="17159" s="5" customFormat="1" x14ac:dyDescent="0.4"/>
    <row r="17160" s="5" customFormat="1" x14ac:dyDescent="0.4"/>
    <row r="17161" s="5" customFormat="1" x14ac:dyDescent="0.4"/>
    <row r="17162" s="5" customFormat="1" x14ac:dyDescent="0.4"/>
    <row r="17163" s="5" customFormat="1" x14ac:dyDescent="0.4"/>
    <row r="17164" s="5" customFormat="1" x14ac:dyDescent="0.4"/>
    <row r="17165" s="5" customFormat="1" x14ac:dyDescent="0.4"/>
    <row r="17166" s="5" customFormat="1" x14ac:dyDescent="0.4"/>
    <row r="17167" s="5" customFormat="1" x14ac:dyDescent="0.4"/>
    <row r="17168" s="5" customFormat="1" x14ac:dyDescent="0.4"/>
    <row r="17169" s="5" customFormat="1" x14ac:dyDescent="0.4"/>
    <row r="17170" s="5" customFormat="1" x14ac:dyDescent="0.4"/>
    <row r="17171" s="5" customFormat="1" x14ac:dyDescent="0.4"/>
    <row r="17172" s="5" customFormat="1" x14ac:dyDescent="0.4"/>
    <row r="17173" s="5" customFormat="1" x14ac:dyDescent="0.4"/>
    <row r="17174" s="5" customFormat="1" x14ac:dyDescent="0.4"/>
    <row r="17175" s="5" customFormat="1" x14ac:dyDescent="0.4"/>
    <row r="17176" s="5" customFormat="1" x14ac:dyDescent="0.4"/>
    <row r="17177" s="5" customFormat="1" x14ac:dyDescent="0.4"/>
    <row r="17178" s="5" customFormat="1" x14ac:dyDescent="0.4"/>
    <row r="17179" s="5" customFormat="1" x14ac:dyDescent="0.4"/>
    <row r="17180" s="5" customFormat="1" x14ac:dyDescent="0.4"/>
    <row r="17181" s="5" customFormat="1" x14ac:dyDescent="0.4"/>
    <row r="17182" s="5" customFormat="1" x14ac:dyDescent="0.4"/>
    <row r="17183" s="5" customFormat="1" x14ac:dyDescent="0.4"/>
    <row r="17184" s="5" customFormat="1" x14ac:dyDescent="0.4"/>
    <row r="17185" s="5" customFormat="1" x14ac:dyDescent="0.4"/>
    <row r="17186" s="5" customFormat="1" x14ac:dyDescent="0.4"/>
    <row r="17187" s="5" customFormat="1" x14ac:dyDescent="0.4"/>
    <row r="17188" s="5" customFormat="1" x14ac:dyDescent="0.4"/>
    <row r="17189" s="5" customFormat="1" x14ac:dyDescent="0.4"/>
    <row r="17190" s="5" customFormat="1" x14ac:dyDescent="0.4"/>
    <row r="17191" s="5" customFormat="1" x14ac:dyDescent="0.4"/>
    <row r="17192" s="5" customFormat="1" x14ac:dyDescent="0.4"/>
    <row r="17193" s="5" customFormat="1" x14ac:dyDescent="0.4"/>
    <row r="17194" s="5" customFormat="1" x14ac:dyDescent="0.4"/>
    <row r="17195" s="5" customFormat="1" x14ac:dyDescent="0.4"/>
    <row r="17196" s="5" customFormat="1" x14ac:dyDescent="0.4"/>
    <row r="17197" s="5" customFormat="1" x14ac:dyDescent="0.4"/>
    <row r="17198" s="5" customFormat="1" x14ac:dyDescent="0.4"/>
    <row r="17199" s="5" customFormat="1" x14ac:dyDescent="0.4"/>
    <row r="17200" s="5" customFormat="1" x14ac:dyDescent="0.4"/>
    <row r="17201" s="5" customFormat="1" x14ac:dyDescent="0.4"/>
    <row r="17202" s="5" customFormat="1" x14ac:dyDescent="0.4"/>
    <row r="17203" s="5" customFormat="1" x14ac:dyDescent="0.4"/>
    <row r="17204" s="5" customFormat="1" x14ac:dyDescent="0.4"/>
    <row r="17205" s="5" customFormat="1" x14ac:dyDescent="0.4"/>
    <row r="17206" s="5" customFormat="1" x14ac:dyDescent="0.4"/>
    <row r="17207" s="5" customFormat="1" x14ac:dyDescent="0.4"/>
    <row r="17208" s="5" customFormat="1" x14ac:dyDescent="0.4"/>
    <row r="17209" s="5" customFormat="1" x14ac:dyDescent="0.4"/>
    <row r="17210" s="5" customFormat="1" x14ac:dyDescent="0.4"/>
    <row r="17211" s="5" customFormat="1" x14ac:dyDescent="0.4"/>
    <row r="17212" s="5" customFormat="1" x14ac:dyDescent="0.4"/>
    <row r="17213" s="5" customFormat="1" x14ac:dyDescent="0.4"/>
    <row r="17214" s="5" customFormat="1" x14ac:dyDescent="0.4"/>
    <row r="17215" s="5" customFormat="1" x14ac:dyDescent="0.4"/>
    <row r="17216" s="5" customFormat="1" x14ac:dyDescent="0.4"/>
    <row r="17217" s="5" customFormat="1" x14ac:dyDescent="0.4"/>
    <row r="17218" s="5" customFormat="1" x14ac:dyDescent="0.4"/>
    <row r="17219" s="5" customFormat="1" x14ac:dyDescent="0.4"/>
    <row r="17220" s="5" customFormat="1" x14ac:dyDescent="0.4"/>
    <row r="17221" s="5" customFormat="1" x14ac:dyDescent="0.4"/>
    <row r="17222" s="5" customFormat="1" x14ac:dyDescent="0.4"/>
    <row r="17223" s="5" customFormat="1" x14ac:dyDescent="0.4"/>
    <row r="17224" s="5" customFormat="1" x14ac:dyDescent="0.4"/>
    <row r="17225" s="5" customFormat="1" x14ac:dyDescent="0.4"/>
    <row r="17226" s="5" customFormat="1" x14ac:dyDescent="0.4"/>
    <row r="17227" s="5" customFormat="1" x14ac:dyDescent="0.4"/>
    <row r="17228" s="5" customFormat="1" x14ac:dyDescent="0.4"/>
    <row r="17229" s="5" customFormat="1" x14ac:dyDescent="0.4"/>
    <row r="17230" s="5" customFormat="1" x14ac:dyDescent="0.4"/>
    <row r="17231" s="5" customFormat="1" x14ac:dyDescent="0.4"/>
    <row r="17232" s="5" customFormat="1" x14ac:dyDescent="0.4"/>
    <row r="17233" s="5" customFormat="1" x14ac:dyDescent="0.4"/>
    <row r="17234" s="5" customFormat="1" x14ac:dyDescent="0.4"/>
    <row r="17235" s="5" customFormat="1" x14ac:dyDescent="0.4"/>
    <row r="17236" s="5" customFormat="1" x14ac:dyDescent="0.4"/>
    <row r="17237" s="5" customFormat="1" x14ac:dyDescent="0.4"/>
    <row r="17238" s="5" customFormat="1" x14ac:dyDescent="0.4"/>
    <row r="17239" s="5" customFormat="1" x14ac:dyDescent="0.4"/>
    <row r="17240" s="5" customFormat="1" x14ac:dyDescent="0.4"/>
    <row r="17241" s="5" customFormat="1" x14ac:dyDescent="0.4"/>
    <row r="17242" s="5" customFormat="1" x14ac:dyDescent="0.4"/>
    <row r="17243" s="5" customFormat="1" x14ac:dyDescent="0.4"/>
    <row r="17244" s="5" customFormat="1" x14ac:dyDescent="0.4"/>
    <row r="17245" s="5" customFormat="1" x14ac:dyDescent="0.4"/>
    <row r="17246" s="5" customFormat="1" x14ac:dyDescent="0.4"/>
    <row r="17247" s="5" customFormat="1" x14ac:dyDescent="0.4"/>
    <row r="17248" s="5" customFormat="1" x14ac:dyDescent="0.4"/>
    <row r="17249" s="5" customFormat="1" x14ac:dyDescent="0.4"/>
    <row r="17250" s="5" customFormat="1" x14ac:dyDescent="0.4"/>
    <row r="17251" s="5" customFormat="1" x14ac:dyDescent="0.4"/>
    <row r="17252" s="5" customFormat="1" x14ac:dyDescent="0.4"/>
    <row r="17253" s="5" customFormat="1" x14ac:dyDescent="0.4"/>
    <row r="17254" s="5" customFormat="1" x14ac:dyDescent="0.4"/>
    <row r="17255" s="5" customFormat="1" x14ac:dyDescent="0.4"/>
    <row r="17256" s="5" customFormat="1" x14ac:dyDescent="0.4"/>
    <row r="17257" s="5" customFormat="1" x14ac:dyDescent="0.4"/>
    <row r="17258" s="5" customFormat="1" x14ac:dyDescent="0.4"/>
    <row r="17259" s="5" customFormat="1" x14ac:dyDescent="0.4"/>
    <row r="17260" s="5" customFormat="1" x14ac:dyDescent="0.4"/>
    <row r="17261" s="5" customFormat="1" x14ac:dyDescent="0.4"/>
    <row r="17262" s="5" customFormat="1" x14ac:dyDescent="0.4"/>
    <row r="17263" s="5" customFormat="1" x14ac:dyDescent="0.4"/>
    <row r="17264" s="5" customFormat="1" x14ac:dyDescent="0.4"/>
    <row r="17265" s="5" customFormat="1" x14ac:dyDescent="0.4"/>
    <row r="17266" s="5" customFormat="1" x14ac:dyDescent="0.4"/>
    <row r="17267" s="5" customFormat="1" x14ac:dyDescent="0.4"/>
    <row r="17268" s="5" customFormat="1" x14ac:dyDescent="0.4"/>
    <row r="17269" s="5" customFormat="1" x14ac:dyDescent="0.4"/>
    <row r="17270" s="5" customFormat="1" x14ac:dyDescent="0.4"/>
    <row r="17271" s="5" customFormat="1" x14ac:dyDescent="0.4"/>
    <row r="17272" s="5" customFormat="1" x14ac:dyDescent="0.4"/>
    <row r="17273" s="5" customFormat="1" x14ac:dyDescent="0.4"/>
    <row r="17274" s="5" customFormat="1" x14ac:dyDescent="0.4"/>
    <row r="17275" s="5" customFormat="1" x14ac:dyDescent="0.4"/>
    <row r="17276" s="5" customFormat="1" x14ac:dyDescent="0.4"/>
    <row r="17277" s="5" customFormat="1" x14ac:dyDescent="0.4"/>
    <row r="17278" s="5" customFormat="1" x14ac:dyDescent="0.4"/>
    <row r="17279" s="5" customFormat="1" x14ac:dyDescent="0.4"/>
    <row r="17280" s="5" customFormat="1" x14ac:dyDescent="0.4"/>
    <row r="17281" s="5" customFormat="1" x14ac:dyDescent="0.4"/>
    <row r="17282" s="5" customFormat="1" x14ac:dyDescent="0.4"/>
    <row r="17283" s="5" customFormat="1" x14ac:dyDescent="0.4"/>
    <row r="17284" s="5" customFormat="1" x14ac:dyDescent="0.4"/>
    <row r="17285" s="5" customFormat="1" x14ac:dyDescent="0.4"/>
    <row r="17286" s="5" customFormat="1" x14ac:dyDescent="0.4"/>
    <row r="17287" s="5" customFormat="1" x14ac:dyDescent="0.4"/>
    <row r="17288" s="5" customFormat="1" x14ac:dyDescent="0.4"/>
    <row r="17289" s="5" customFormat="1" x14ac:dyDescent="0.4"/>
    <row r="17290" s="5" customFormat="1" x14ac:dyDescent="0.4"/>
    <row r="17291" s="5" customFormat="1" x14ac:dyDescent="0.4"/>
    <row r="17292" s="5" customFormat="1" x14ac:dyDescent="0.4"/>
    <row r="17293" s="5" customFormat="1" x14ac:dyDescent="0.4"/>
    <row r="17294" s="5" customFormat="1" x14ac:dyDescent="0.4"/>
    <row r="17295" s="5" customFormat="1" x14ac:dyDescent="0.4"/>
    <row r="17296" s="5" customFormat="1" x14ac:dyDescent="0.4"/>
    <row r="17297" s="5" customFormat="1" x14ac:dyDescent="0.4"/>
    <row r="17298" s="5" customFormat="1" x14ac:dyDescent="0.4"/>
    <row r="17299" s="5" customFormat="1" x14ac:dyDescent="0.4"/>
    <row r="17300" s="5" customFormat="1" x14ac:dyDescent="0.4"/>
    <row r="17301" s="5" customFormat="1" x14ac:dyDescent="0.4"/>
    <row r="17302" s="5" customFormat="1" x14ac:dyDescent="0.4"/>
    <row r="17303" s="5" customFormat="1" x14ac:dyDescent="0.4"/>
    <row r="17304" s="5" customFormat="1" x14ac:dyDescent="0.4"/>
    <row r="17305" s="5" customFormat="1" x14ac:dyDescent="0.4"/>
    <row r="17306" s="5" customFormat="1" x14ac:dyDescent="0.4"/>
    <row r="17307" s="5" customFormat="1" x14ac:dyDescent="0.4"/>
    <row r="17308" s="5" customFormat="1" x14ac:dyDescent="0.4"/>
    <row r="17309" s="5" customFormat="1" x14ac:dyDescent="0.4"/>
    <row r="17310" s="5" customFormat="1" x14ac:dyDescent="0.4"/>
    <row r="17311" s="5" customFormat="1" x14ac:dyDescent="0.4"/>
    <row r="17312" s="5" customFormat="1" x14ac:dyDescent="0.4"/>
    <row r="17313" s="5" customFormat="1" x14ac:dyDescent="0.4"/>
    <row r="17314" s="5" customFormat="1" x14ac:dyDescent="0.4"/>
    <row r="17315" s="5" customFormat="1" x14ac:dyDescent="0.4"/>
    <row r="17316" s="5" customFormat="1" x14ac:dyDescent="0.4"/>
    <row r="17317" s="5" customFormat="1" x14ac:dyDescent="0.4"/>
    <row r="17318" s="5" customFormat="1" x14ac:dyDescent="0.4"/>
    <row r="17319" s="5" customFormat="1" x14ac:dyDescent="0.4"/>
    <row r="17320" s="5" customFormat="1" x14ac:dyDescent="0.4"/>
    <row r="17321" s="5" customFormat="1" x14ac:dyDescent="0.4"/>
    <row r="17322" s="5" customFormat="1" x14ac:dyDescent="0.4"/>
    <row r="17323" s="5" customFormat="1" x14ac:dyDescent="0.4"/>
    <row r="17324" s="5" customFormat="1" x14ac:dyDescent="0.4"/>
    <row r="17325" s="5" customFormat="1" x14ac:dyDescent="0.4"/>
    <row r="17326" s="5" customFormat="1" x14ac:dyDescent="0.4"/>
    <row r="17327" s="5" customFormat="1" x14ac:dyDescent="0.4"/>
    <row r="17328" s="5" customFormat="1" x14ac:dyDescent="0.4"/>
    <row r="17329" s="5" customFormat="1" x14ac:dyDescent="0.4"/>
    <row r="17330" s="5" customFormat="1" x14ac:dyDescent="0.4"/>
    <row r="17331" s="5" customFormat="1" x14ac:dyDescent="0.4"/>
    <row r="17332" s="5" customFormat="1" x14ac:dyDescent="0.4"/>
    <row r="17333" s="5" customFormat="1" x14ac:dyDescent="0.4"/>
    <row r="17334" s="5" customFormat="1" x14ac:dyDescent="0.4"/>
    <row r="17335" s="5" customFormat="1" x14ac:dyDescent="0.4"/>
    <row r="17336" s="5" customFormat="1" x14ac:dyDescent="0.4"/>
    <row r="17337" s="5" customFormat="1" x14ac:dyDescent="0.4"/>
    <row r="17338" s="5" customFormat="1" x14ac:dyDescent="0.4"/>
    <row r="17339" s="5" customFormat="1" x14ac:dyDescent="0.4"/>
    <row r="17340" s="5" customFormat="1" x14ac:dyDescent="0.4"/>
    <row r="17341" s="5" customFormat="1" x14ac:dyDescent="0.4"/>
    <row r="17342" s="5" customFormat="1" x14ac:dyDescent="0.4"/>
    <row r="17343" s="5" customFormat="1" x14ac:dyDescent="0.4"/>
    <row r="17344" s="5" customFormat="1" x14ac:dyDescent="0.4"/>
    <row r="17345" s="5" customFormat="1" x14ac:dyDescent="0.4"/>
    <row r="17346" s="5" customFormat="1" x14ac:dyDescent="0.4"/>
    <row r="17347" s="5" customFormat="1" x14ac:dyDescent="0.4"/>
    <row r="17348" s="5" customFormat="1" x14ac:dyDescent="0.4"/>
    <row r="17349" s="5" customFormat="1" x14ac:dyDescent="0.4"/>
    <row r="17350" s="5" customFormat="1" x14ac:dyDescent="0.4"/>
    <row r="17351" s="5" customFormat="1" x14ac:dyDescent="0.4"/>
    <row r="17352" s="5" customFormat="1" x14ac:dyDescent="0.4"/>
    <row r="17353" s="5" customFormat="1" x14ac:dyDescent="0.4"/>
    <row r="17354" s="5" customFormat="1" x14ac:dyDescent="0.4"/>
    <row r="17355" s="5" customFormat="1" x14ac:dyDescent="0.4"/>
    <row r="17356" s="5" customFormat="1" x14ac:dyDescent="0.4"/>
    <row r="17357" s="5" customFormat="1" x14ac:dyDescent="0.4"/>
    <row r="17358" s="5" customFormat="1" x14ac:dyDescent="0.4"/>
    <row r="17359" s="5" customFormat="1" x14ac:dyDescent="0.4"/>
    <row r="17360" s="5" customFormat="1" x14ac:dyDescent="0.4"/>
    <row r="17361" s="5" customFormat="1" x14ac:dyDescent="0.4"/>
    <row r="17362" s="5" customFormat="1" x14ac:dyDescent="0.4"/>
    <row r="17363" s="5" customFormat="1" x14ac:dyDescent="0.4"/>
    <row r="17364" s="5" customFormat="1" x14ac:dyDescent="0.4"/>
    <row r="17365" s="5" customFormat="1" x14ac:dyDescent="0.4"/>
    <row r="17366" s="5" customFormat="1" x14ac:dyDescent="0.4"/>
    <row r="17367" s="5" customFormat="1" x14ac:dyDescent="0.4"/>
    <row r="17368" s="5" customFormat="1" x14ac:dyDescent="0.4"/>
    <row r="17369" s="5" customFormat="1" x14ac:dyDescent="0.4"/>
    <row r="17370" s="5" customFormat="1" x14ac:dyDescent="0.4"/>
    <row r="17371" s="5" customFormat="1" x14ac:dyDescent="0.4"/>
    <row r="17372" s="5" customFormat="1" x14ac:dyDescent="0.4"/>
    <row r="17373" s="5" customFormat="1" x14ac:dyDescent="0.4"/>
    <row r="17374" s="5" customFormat="1" x14ac:dyDescent="0.4"/>
    <row r="17375" s="5" customFormat="1" x14ac:dyDescent="0.4"/>
    <row r="17376" s="5" customFormat="1" x14ac:dyDescent="0.4"/>
    <row r="17377" s="5" customFormat="1" x14ac:dyDescent="0.4"/>
    <row r="17378" s="5" customFormat="1" x14ac:dyDescent="0.4"/>
    <row r="17379" s="5" customFormat="1" x14ac:dyDescent="0.4"/>
    <row r="17380" s="5" customFormat="1" x14ac:dyDescent="0.4"/>
    <row r="17381" s="5" customFormat="1" x14ac:dyDescent="0.4"/>
    <row r="17382" s="5" customFormat="1" x14ac:dyDescent="0.4"/>
    <row r="17383" s="5" customFormat="1" x14ac:dyDescent="0.4"/>
    <row r="17384" s="5" customFormat="1" x14ac:dyDescent="0.4"/>
    <row r="17385" s="5" customFormat="1" x14ac:dyDescent="0.4"/>
    <row r="17386" s="5" customFormat="1" x14ac:dyDescent="0.4"/>
    <row r="17387" s="5" customFormat="1" x14ac:dyDescent="0.4"/>
    <row r="17388" s="5" customFormat="1" x14ac:dyDescent="0.4"/>
    <row r="17389" s="5" customFormat="1" x14ac:dyDescent="0.4"/>
    <row r="17390" s="5" customFormat="1" x14ac:dyDescent="0.4"/>
    <row r="17391" s="5" customFormat="1" x14ac:dyDescent="0.4"/>
    <row r="17392" s="5" customFormat="1" x14ac:dyDescent="0.4"/>
    <row r="17393" s="5" customFormat="1" x14ac:dyDescent="0.4"/>
    <row r="17394" s="5" customFormat="1" x14ac:dyDescent="0.4"/>
    <row r="17395" s="5" customFormat="1" x14ac:dyDescent="0.4"/>
    <row r="17396" s="5" customFormat="1" x14ac:dyDescent="0.4"/>
    <row r="17397" s="5" customFormat="1" x14ac:dyDescent="0.4"/>
    <row r="17398" s="5" customFormat="1" x14ac:dyDescent="0.4"/>
    <row r="17399" s="5" customFormat="1" x14ac:dyDescent="0.4"/>
    <row r="17400" s="5" customFormat="1" x14ac:dyDescent="0.4"/>
    <row r="17401" s="5" customFormat="1" x14ac:dyDescent="0.4"/>
    <row r="17402" s="5" customFormat="1" x14ac:dyDescent="0.4"/>
    <row r="17403" s="5" customFormat="1" x14ac:dyDescent="0.4"/>
    <row r="17404" s="5" customFormat="1" x14ac:dyDescent="0.4"/>
    <row r="17405" s="5" customFormat="1" x14ac:dyDescent="0.4"/>
    <row r="17406" s="5" customFormat="1" x14ac:dyDescent="0.4"/>
    <row r="17407" s="5" customFormat="1" x14ac:dyDescent="0.4"/>
    <row r="17408" s="5" customFormat="1" x14ac:dyDescent="0.4"/>
    <row r="17409" s="5" customFormat="1" x14ac:dyDescent="0.4"/>
    <row r="17410" s="5" customFormat="1" x14ac:dyDescent="0.4"/>
    <row r="17411" s="5" customFormat="1" x14ac:dyDescent="0.4"/>
    <row r="17412" s="5" customFormat="1" x14ac:dyDescent="0.4"/>
    <row r="17413" s="5" customFormat="1" x14ac:dyDescent="0.4"/>
    <row r="17414" s="5" customFormat="1" x14ac:dyDescent="0.4"/>
    <row r="17415" s="5" customFormat="1" x14ac:dyDescent="0.4"/>
    <row r="17416" s="5" customFormat="1" x14ac:dyDescent="0.4"/>
    <row r="17417" s="5" customFormat="1" x14ac:dyDescent="0.4"/>
    <row r="17418" s="5" customFormat="1" x14ac:dyDescent="0.4"/>
    <row r="17419" s="5" customFormat="1" x14ac:dyDescent="0.4"/>
    <row r="17420" s="5" customFormat="1" x14ac:dyDescent="0.4"/>
    <row r="17421" s="5" customFormat="1" x14ac:dyDescent="0.4"/>
    <row r="17422" s="5" customFormat="1" x14ac:dyDescent="0.4"/>
    <row r="17423" s="5" customFormat="1" x14ac:dyDescent="0.4"/>
    <row r="17424" s="5" customFormat="1" x14ac:dyDescent="0.4"/>
    <row r="17425" s="5" customFormat="1" x14ac:dyDescent="0.4"/>
    <row r="17426" s="5" customFormat="1" x14ac:dyDescent="0.4"/>
    <row r="17427" s="5" customFormat="1" x14ac:dyDescent="0.4"/>
    <row r="17428" s="5" customFormat="1" x14ac:dyDescent="0.4"/>
    <row r="17429" s="5" customFormat="1" x14ac:dyDescent="0.4"/>
    <row r="17430" s="5" customFormat="1" x14ac:dyDescent="0.4"/>
    <row r="17431" s="5" customFormat="1" x14ac:dyDescent="0.4"/>
    <row r="17432" s="5" customFormat="1" x14ac:dyDescent="0.4"/>
    <row r="17433" s="5" customFormat="1" x14ac:dyDescent="0.4"/>
    <row r="17434" s="5" customFormat="1" x14ac:dyDescent="0.4"/>
    <row r="17435" s="5" customFormat="1" x14ac:dyDescent="0.4"/>
    <row r="17436" s="5" customFormat="1" x14ac:dyDescent="0.4"/>
    <row r="17437" s="5" customFormat="1" x14ac:dyDescent="0.4"/>
    <row r="17438" s="5" customFormat="1" x14ac:dyDescent="0.4"/>
    <row r="17439" s="5" customFormat="1" x14ac:dyDescent="0.4"/>
    <row r="17440" s="5" customFormat="1" x14ac:dyDescent="0.4"/>
    <row r="17441" s="5" customFormat="1" x14ac:dyDescent="0.4"/>
    <row r="17442" s="5" customFormat="1" x14ac:dyDescent="0.4"/>
    <row r="17443" s="5" customFormat="1" x14ac:dyDescent="0.4"/>
    <row r="17444" s="5" customFormat="1" x14ac:dyDescent="0.4"/>
    <row r="17445" s="5" customFormat="1" x14ac:dyDescent="0.4"/>
    <row r="17446" s="5" customFormat="1" x14ac:dyDescent="0.4"/>
    <row r="17447" s="5" customFormat="1" x14ac:dyDescent="0.4"/>
    <row r="17448" s="5" customFormat="1" x14ac:dyDescent="0.4"/>
    <row r="17449" s="5" customFormat="1" x14ac:dyDescent="0.4"/>
    <row r="17450" s="5" customFormat="1" x14ac:dyDescent="0.4"/>
    <row r="17451" s="5" customFormat="1" x14ac:dyDescent="0.4"/>
    <row r="17452" s="5" customFormat="1" x14ac:dyDescent="0.4"/>
    <row r="17453" s="5" customFormat="1" x14ac:dyDescent="0.4"/>
    <row r="17454" s="5" customFormat="1" x14ac:dyDescent="0.4"/>
    <row r="17455" s="5" customFormat="1" x14ac:dyDescent="0.4"/>
    <row r="17456" s="5" customFormat="1" x14ac:dyDescent="0.4"/>
    <row r="17457" s="5" customFormat="1" x14ac:dyDescent="0.4"/>
    <row r="17458" s="5" customFormat="1" x14ac:dyDescent="0.4"/>
    <row r="17459" s="5" customFormat="1" x14ac:dyDescent="0.4"/>
    <row r="17460" s="5" customFormat="1" x14ac:dyDescent="0.4"/>
    <row r="17461" s="5" customFormat="1" x14ac:dyDescent="0.4"/>
    <row r="17462" s="5" customFormat="1" x14ac:dyDescent="0.4"/>
    <row r="17463" s="5" customFormat="1" x14ac:dyDescent="0.4"/>
    <row r="17464" s="5" customFormat="1" x14ac:dyDescent="0.4"/>
    <row r="17465" s="5" customFormat="1" x14ac:dyDescent="0.4"/>
    <row r="17466" s="5" customFormat="1" x14ac:dyDescent="0.4"/>
    <row r="17467" s="5" customFormat="1" x14ac:dyDescent="0.4"/>
    <row r="17468" s="5" customFormat="1" x14ac:dyDescent="0.4"/>
    <row r="17469" s="5" customFormat="1" x14ac:dyDescent="0.4"/>
    <row r="17470" s="5" customFormat="1" x14ac:dyDescent="0.4"/>
    <row r="17471" s="5" customFormat="1" x14ac:dyDescent="0.4"/>
    <row r="17472" s="5" customFormat="1" x14ac:dyDescent="0.4"/>
    <row r="17473" s="5" customFormat="1" x14ac:dyDescent="0.4"/>
    <row r="17474" s="5" customFormat="1" x14ac:dyDescent="0.4"/>
    <row r="17475" s="5" customFormat="1" x14ac:dyDescent="0.4"/>
    <row r="17476" s="5" customFormat="1" x14ac:dyDescent="0.4"/>
    <row r="17477" s="5" customFormat="1" x14ac:dyDescent="0.4"/>
    <row r="17478" s="5" customFormat="1" x14ac:dyDescent="0.4"/>
    <row r="17479" s="5" customFormat="1" x14ac:dyDescent="0.4"/>
    <row r="17480" s="5" customFormat="1" x14ac:dyDescent="0.4"/>
    <row r="17481" s="5" customFormat="1" x14ac:dyDescent="0.4"/>
    <row r="17482" s="5" customFormat="1" x14ac:dyDescent="0.4"/>
    <row r="17483" s="5" customFormat="1" x14ac:dyDescent="0.4"/>
    <row r="17484" s="5" customFormat="1" x14ac:dyDescent="0.4"/>
    <row r="17485" s="5" customFormat="1" x14ac:dyDescent="0.4"/>
    <row r="17486" s="5" customFormat="1" x14ac:dyDescent="0.4"/>
    <row r="17487" s="5" customFormat="1" x14ac:dyDescent="0.4"/>
    <row r="17488" s="5" customFormat="1" x14ac:dyDescent="0.4"/>
    <row r="17489" s="5" customFormat="1" x14ac:dyDescent="0.4"/>
    <row r="17490" s="5" customFormat="1" x14ac:dyDescent="0.4"/>
    <row r="17491" s="5" customFormat="1" x14ac:dyDescent="0.4"/>
    <row r="17492" s="5" customFormat="1" x14ac:dyDescent="0.4"/>
    <row r="17493" s="5" customFormat="1" x14ac:dyDescent="0.4"/>
    <row r="17494" s="5" customFormat="1" x14ac:dyDescent="0.4"/>
    <row r="17495" s="5" customFormat="1" x14ac:dyDescent="0.4"/>
    <row r="17496" s="5" customFormat="1" x14ac:dyDescent="0.4"/>
    <row r="17497" s="5" customFormat="1" x14ac:dyDescent="0.4"/>
    <row r="17498" s="5" customFormat="1" x14ac:dyDescent="0.4"/>
    <row r="17499" s="5" customFormat="1" x14ac:dyDescent="0.4"/>
    <row r="17500" s="5" customFormat="1" x14ac:dyDescent="0.4"/>
    <row r="17501" s="5" customFormat="1" x14ac:dyDescent="0.4"/>
    <row r="17502" s="5" customFormat="1" x14ac:dyDescent="0.4"/>
    <row r="17503" s="5" customFormat="1" x14ac:dyDescent="0.4"/>
    <row r="17504" s="5" customFormat="1" x14ac:dyDescent="0.4"/>
    <row r="17505" s="5" customFormat="1" x14ac:dyDescent="0.4"/>
    <row r="17506" s="5" customFormat="1" x14ac:dyDescent="0.4"/>
    <row r="17507" s="5" customFormat="1" x14ac:dyDescent="0.4"/>
    <row r="17508" s="5" customFormat="1" x14ac:dyDescent="0.4"/>
    <row r="17509" s="5" customFormat="1" x14ac:dyDescent="0.4"/>
    <row r="17510" s="5" customFormat="1" x14ac:dyDescent="0.4"/>
    <row r="17511" s="5" customFormat="1" x14ac:dyDescent="0.4"/>
    <row r="17512" s="5" customFormat="1" x14ac:dyDescent="0.4"/>
    <row r="17513" s="5" customFormat="1" x14ac:dyDescent="0.4"/>
    <row r="17514" s="5" customFormat="1" x14ac:dyDescent="0.4"/>
    <row r="17515" s="5" customFormat="1" x14ac:dyDescent="0.4"/>
    <row r="17516" s="5" customFormat="1" x14ac:dyDescent="0.4"/>
    <row r="17517" s="5" customFormat="1" x14ac:dyDescent="0.4"/>
    <row r="17518" s="5" customFormat="1" x14ac:dyDescent="0.4"/>
    <row r="17519" s="5" customFormat="1" x14ac:dyDescent="0.4"/>
    <row r="17520" s="5" customFormat="1" x14ac:dyDescent="0.4"/>
    <row r="17521" s="5" customFormat="1" x14ac:dyDescent="0.4"/>
    <row r="17522" s="5" customFormat="1" x14ac:dyDescent="0.4"/>
    <row r="17523" s="5" customFormat="1" x14ac:dyDescent="0.4"/>
    <row r="17524" s="5" customFormat="1" x14ac:dyDescent="0.4"/>
    <row r="17525" s="5" customFormat="1" x14ac:dyDescent="0.4"/>
    <row r="17526" s="5" customFormat="1" x14ac:dyDescent="0.4"/>
    <row r="17527" s="5" customFormat="1" x14ac:dyDescent="0.4"/>
    <row r="17528" s="5" customFormat="1" x14ac:dyDescent="0.4"/>
    <row r="17529" s="5" customFormat="1" x14ac:dyDescent="0.4"/>
    <row r="17530" s="5" customFormat="1" x14ac:dyDescent="0.4"/>
    <row r="17531" s="5" customFormat="1" x14ac:dyDescent="0.4"/>
    <row r="17532" s="5" customFormat="1" x14ac:dyDescent="0.4"/>
    <row r="17533" s="5" customFormat="1" x14ac:dyDescent="0.4"/>
    <row r="17534" s="5" customFormat="1" x14ac:dyDescent="0.4"/>
    <row r="17535" s="5" customFormat="1" x14ac:dyDescent="0.4"/>
    <row r="17536" s="5" customFormat="1" x14ac:dyDescent="0.4"/>
    <row r="17537" s="5" customFormat="1" x14ac:dyDescent="0.4"/>
    <row r="17538" s="5" customFormat="1" x14ac:dyDescent="0.4"/>
    <row r="17539" s="5" customFormat="1" x14ac:dyDescent="0.4"/>
    <row r="17540" s="5" customFormat="1" x14ac:dyDescent="0.4"/>
    <row r="17541" s="5" customFormat="1" x14ac:dyDescent="0.4"/>
    <row r="17542" s="5" customFormat="1" x14ac:dyDescent="0.4"/>
    <row r="17543" s="5" customFormat="1" x14ac:dyDescent="0.4"/>
    <row r="17544" s="5" customFormat="1" x14ac:dyDescent="0.4"/>
    <row r="17545" s="5" customFormat="1" x14ac:dyDescent="0.4"/>
    <row r="17546" s="5" customFormat="1" x14ac:dyDescent="0.4"/>
    <row r="17547" s="5" customFormat="1" x14ac:dyDescent="0.4"/>
    <row r="17548" s="5" customFormat="1" x14ac:dyDescent="0.4"/>
    <row r="17549" s="5" customFormat="1" x14ac:dyDescent="0.4"/>
    <row r="17550" s="5" customFormat="1" x14ac:dyDescent="0.4"/>
    <row r="17551" s="5" customFormat="1" x14ac:dyDescent="0.4"/>
    <row r="17552" s="5" customFormat="1" x14ac:dyDescent="0.4"/>
    <row r="17553" s="5" customFormat="1" x14ac:dyDescent="0.4"/>
    <row r="17554" s="5" customFormat="1" x14ac:dyDescent="0.4"/>
    <row r="17555" s="5" customFormat="1" x14ac:dyDescent="0.4"/>
    <row r="17556" s="5" customFormat="1" x14ac:dyDescent="0.4"/>
    <row r="17557" s="5" customFormat="1" x14ac:dyDescent="0.4"/>
    <row r="17558" s="5" customFormat="1" x14ac:dyDescent="0.4"/>
    <row r="17559" s="5" customFormat="1" x14ac:dyDescent="0.4"/>
    <row r="17560" s="5" customFormat="1" x14ac:dyDescent="0.4"/>
    <row r="17561" s="5" customFormat="1" x14ac:dyDescent="0.4"/>
    <row r="17562" s="5" customFormat="1" x14ac:dyDescent="0.4"/>
    <row r="17563" s="5" customFormat="1" x14ac:dyDescent="0.4"/>
    <row r="17564" s="5" customFormat="1" x14ac:dyDescent="0.4"/>
    <row r="17565" s="5" customFormat="1" x14ac:dyDescent="0.4"/>
    <row r="17566" s="5" customFormat="1" x14ac:dyDescent="0.4"/>
    <row r="17567" s="5" customFormat="1" x14ac:dyDescent="0.4"/>
    <row r="17568" s="5" customFormat="1" x14ac:dyDescent="0.4"/>
    <row r="17569" s="5" customFormat="1" x14ac:dyDescent="0.4"/>
    <row r="17570" s="5" customFormat="1" x14ac:dyDescent="0.4"/>
    <row r="17571" s="5" customFormat="1" x14ac:dyDescent="0.4"/>
    <row r="17572" s="5" customFormat="1" x14ac:dyDescent="0.4"/>
    <row r="17573" s="5" customFormat="1" x14ac:dyDescent="0.4"/>
    <row r="17574" s="5" customFormat="1" x14ac:dyDescent="0.4"/>
    <row r="17575" s="5" customFormat="1" x14ac:dyDescent="0.4"/>
    <row r="17576" s="5" customFormat="1" x14ac:dyDescent="0.4"/>
    <row r="17577" s="5" customFormat="1" x14ac:dyDescent="0.4"/>
    <row r="17578" s="5" customFormat="1" x14ac:dyDescent="0.4"/>
    <row r="17579" s="5" customFormat="1" x14ac:dyDescent="0.4"/>
    <row r="17580" s="5" customFormat="1" x14ac:dyDescent="0.4"/>
    <row r="17581" s="5" customFormat="1" x14ac:dyDescent="0.4"/>
    <row r="17582" s="5" customFormat="1" x14ac:dyDescent="0.4"/>
    <row r="17583" s="5" customFormat="1" x14ac:dyDescent="0.4"/>
    <row r="17584" s="5" customFormat="1" x14ac:dyDescent="0.4"/>
    <row r="17585" s="5" customFormat="1" x14ac:dyDescent="0.4"/>
    <row r="17586" s="5" customFormat="1" x14ac:dyDescent="0.4"/>
    <row r="17587" s="5" customFormat="1" x14ac:dyDescent="0.4"/>
    <row r="17588" s="5" customFormat="1" x14ac:dyDescent="0.4"/>
    <row r="17589" s="5" customFormat="1" x14ac:dyDescent="0.4"/>
    <row r="17590" s="5" customFormat="1" x14ac:dyDescent="0.4"/>
    <row r="17591" s="5" customFormat="1" x14ac:dyDescent="0.4"/>
    <row r="17592" s="5" customFormat="1" x14ac:dyDescent="0.4"/>
    <row r="17593" s="5" customFormat="1" x14ac:dyDescent="0.4"/>
    <row r="17594" s="5" customFormat="1" x14ac:dyDescent="0.4"/>
    <row r="17595" s="5" customFormat="1" x14ac:dyDescent="0.4"/>
    <row r="17596" s="5" customFormat="1" x14ac:dyDescent="0.4"/>
    <row r="17597" s="5" customFormat="1" x14ac:dyDescent="0.4"/>
    <row r="17598" s="5" customFormat="1" x14ac:dyDescent="0.4"/>
    <row r="17599" s="5" customFormat="1" x14ac:dyDescent="0.4"/>
    <row r="17600" s="5" customFormat="1" x14ac:dyDescent="0.4"/>
    <row r="17601" s="5" customFormat="1" x14ac:dyDescent="0.4"/>
    <row r="17602" s="5" customFormat="1" x14ac:dyDescent="0.4"/>
    <row r="17603" s="5" customFormat="1" x14ac:dyDescent="0.4"/>
    <row r="17604" s="5" customFormat="1" x14ac:dyDescent="0.4"/>
    <row r="17605" s="5" customFormat="1" x14ac:dyDescent="0.4"/>
    <row r="17606" s="5" customFormat="1" x14ac:dyDescent="0.4"/>
    <row r="17607" s="5" customFormat="1" x14ac:dyDescent="0.4"/>
    <row r="17608" s="5" customFormat="1" x14ac:dyDescent="0.4"/>
    <row r="17609" s="5" customFormat="1" x14ac:dyDescent="0.4"/>
    <row r="17610" s="5" customFormat="1" x14ac:dyDescent="0.4"/>
    <row r="17611" s="5" customFormat="1" x14ac:dyDescent="0.4"/>
    <row r="17612" s="5" customFormat="1" x14ac:dyDescent="0.4"/>
    <row r="17613" s="5" customFormat="1" x14ac:dyDescent="0.4"/>
    <row r="17614" s="5" customFormat="1" x14ac:dyDescent="0.4"/>
    <row r="17615" s="5" customFormat="1" x14ac:dyDescent="0.4"/>
    <row r="17616" s="5" customFormat="1" x14ac:dyDescent="0.4"/>
    <row r="17617" s="5" customFormat="1" x14ac:dyDescent="0.4"/>
    <row r="17618" s="5" customFormat="1" x14ac:dyDescent="0.4"/>
    <row r="17619" s="5" customFormat="1" x14ac:dyDescent="0.4"/>
    <row r="17620" s="5" customFormat="1" x14ac:dyDescent="0.4"/>
    <row r="17621" s="5" customFormat="1" x14ac:dyDescent="0.4"/>
    <row r="17622" s="5" customFormat="1" x14ac:dyDescent="0.4"/>
    <row r="17623" s="5" customFormat="1" x14ac:dyDescent="0.4"/>
    <row r="17624" s="5" customFormat="1" x14ac:dyDescent="0.4"/>
    <row r="17625" s="5" customFormat="1" x14ac:dyDescent="0.4"/>
    <row r="17626" s="5" customFormat="1" x14ac:dyDescent="0.4"/>
    <row r="17627" s="5" customFormat="1" x14ac:dyDescent="0.4"/>
    <row r="17628" s="5" customFormat="1" x14ac:dyDescent="0.4"/>
    <row r="17629" s="5" customFormat="1" x14ac:dyDescent="0.4"/>
    <row r="17630" s="5" customFormat="1" x14ac:dyDescent="0.4"/>
    <row r="17631" s="5" customFormat="1" x14ac:dyDescent="0.4"/>
    <row r="17632" s="5" customFormat="1" x14ac:dyDescent="0.4"/>
    <row r="17633" s="5" customFormat="1" x14ac:dyDescent="0.4"/>
    <row r="17634" s="5" customFormat="1" x14ac:dyDescent="0.4"/>
    <row r="17635" s="5" customFormat="1" x14ac:dyDescent="0.4"/>
    <row r="17636" s="5" customFormat="1" x14ac:dyDescent="0.4"/>
    <row r="17637" s="5" customFormat="1" x14ac:dyDescent="0.4"/>
    <row r="17638" s="5" customFormat="1" x14ac:dyDescent="0.4"/>
    <row r="17639" s="5" customFormat="1" x14ac:dyDescent="0.4"/>
    <row r="17640" s="5" customFormat="1" x14ac:dyDescent="0.4"/>
    <row r="17641" s="5" customFormat="1" x14ac:dyDescent="0.4"/>
    <row r="17642" s="5" customFormat="1" x14ac:dyDescent="0.4"/>
    <row r="17643" s="5" customFormat="1" x14ac:dyDescent="0.4"/>
    <row r="17644" s="5" customFormat="1" x14ac:dyDescent="0.4"/>
    <row r="17645" s="5" customFormat="1" x14ac:dyDescent="0.4"/>
    <row r="17646" s="5" customFormat="1" x14ac:dyDescent="0.4"/>
    <row r="17647" s="5" customFormat="1" x14ac:dyDescent="0.4"/>
    <row r="17648" s="5" customFormat="1" x14ac:dyDescent="0.4"/>
    <row r="17649" s="5" customFormat="1" x14ac:dyDescent="0.4"/>
    <row r="17650" s="5" customFormat="1" x14ac:dyDescent="0.4"/>
    <row r="17651" s="5" customFormat="1" x14ac:dyDescent="0.4"/>
    <row r="17652" s="5" customFormat="1" x14ac:dyDescent="0.4"/>
    <row r="17653" s="5" customFormat="1" x14ac:dyDescent="0.4"/>
    <row r="17654" s="5" customFormat="1" x14ac:dyDescent="0.4"/>
    <row r="17655" s="5" customFormat="1" x14ac:dyDescent="0.4"/>
    <row r="17656" s="5" customFormat="1" x14ac:dyDescent="0.4"/>
    <row r="17657" s="5" customFormat="1" x14ac:dyDescent="0.4"/>
    <row r="17658" s="5" customFormat="1" x14ac:dyDescent="0.4"/>
    <row r="17659" s="5" customFormat="1" x14ac:dyDescent="0.4"/>
    <row r="17660" s="5" customFormat="1" x14ac:dyDescent="0.4"/>
    <row r="17661" s="5" customFormat="1" x14ac:dyDescent="0.4"/>
    <row r="17662" s="5" customFormat="1" x14ac:dyDescent="0.4"/>
    <row r="17663" s="5" customFormat="1" x14ac:dyDescent="0.4"/>
    <row r="17664" s="5" customFormat="1" x14ac:dyDescent="0.4"/>
    <row r="17665" s="5" customFormat="1" x14ac:dyDescent="0.4"/>
    <row r="17666" s="5" customFormat="1" x14ac:dyDescent="0.4"/>
    <row r="17667" s="5" customFormat="1" x14ac:dyDescent="0.4"/>
    <row r="17668" s="5" customFormat="1" x14ac:dyDescent="0.4"/>
    <row r="17669" s="5" customFormat="1" x14ac:dyDescent="0.4"/>
    <row r="17670" s="5" customFormat="1" x14ac:dyDescent="0.4"/>
    <row r="17671" s="5" customFormat="1" x14ac:dyDescent="0.4"/>
    <row r="17672" s="5" customFormat="1" x14ac:dyDescent="0.4"/>
    <row r="17673" s="5" customFormat="1" x14ac:dyDescent="0.4"/>
    <row r="17674" s="5" customFormat="1" x14ac:dyDescent="0.4"/>
    <row r="17675" s="5" customFormat="1" x14ac:dyDescent="0.4"/>
    <row r="17676" s="5" customFormat="1" x14ac:dyDescent="0.4"/>
    <row r="17677" s="5" customFormat="1" x14ac:dyDescent="0.4"/>
    <row r="17678" s="5" customFormat="1" x14ac:dyDescent="0.4"/>
    <row r="17679" s="5" customFormat="1" x14ac:dyDescent="0.4"/>
    <row r="17680" s="5" customFormat="1" x14ac:dyDescent="0.4"/>
    <row r="17681" s="5" customFormat="1" x14ac:dyDescent="0.4"/>
    <row r="17682" s="5" customFormat="1" x14ac:dyDescent="0.4"/>
    <row r="17683" s="5" customFormat="1" x14ac:dyDescent="0.4"/>
    <row r="17684" s="5" customFormat="1" x14ac:dyDescent="0.4"/>
    <row r="17685" s="5" customFormat="1" x14ac:dyDescent="0.4"/>
    <row r="17686" s="5" customFormat="1" x14ac:dyDescent="0.4"/>
    <row r="17687" s="5" customFormat="1" x14ac:dyDescent="0.4"/>
    <row r="17688" s="5" customFormat="1" x14ac:dyDescent="0.4"/>
    <row r="17689" s="5" customFormat="1" x14ac:dyDescent="0.4"/>
    <row r="17690" s="5" customFormat="1" x14ac:dyDescent="0.4"/>
    <row r="17691" s="5" customFormat="1" x14ac:dyDescent="0.4"/>
    <row r="17692" s="5" customFormat="1" x14ac:dyDescent="0.4"/>
    <row r="17693" s="5" customFormat="1" x14ac:dyDescent="0.4"/>
    <row r="17694" s="5" customFormat="1" x14ac:dyDescent="0.4"/>
    <row r="17695" s="5" customFormat="1" x14ac:dyDescent="0.4"/>
    <row r="17696" s="5" customFormat="1" x14ac:dyDescent="0.4"/>
    <row r="17697" s="5" customFormat="1" x14ac:dyDescent="0.4"/>
    <row r="17698" s="5" customFormat="1" x14ac:dyDescent="0.4"/>
    <row r="17699" s="5" customFormat="1" x14ac:dyDescent="0.4"/>
    <row r="17700" s="5" customFormat="1" x14ac:dyDescent="0.4"/>
    <row r="17701" s="5" customFormat="1" x14ac:dyDescent="0.4"/>
    <row r="17702" s="5" customFormat="1" x14ac:dyDescent="0.4"/>
    <row r="17703" s="5" customFormat="1" x14ac:dyDescent="0.4"/>
    <row r="17704" s="5" customFormat="1" x14ac:dyDescent="0.4"/>
    <row r="17705" s="5" customFormat="1" x14ac:dyDescent="0.4"/>
    <row r="17706" s="5" customFormat="1" x14ac:dyDescent="0.4"/>
    <row r="17707" s="5" customFormat="1" x14ac:dyDescent="0.4"/>
    <row r="17708" s="5" customFormat="1" x14ac:dyDescent="0.4"/>
    <row r="17709" s="5" customFormat="1" x14ac:dyDescent="0.4"/>
    <row r="17710" s="5" customFormat="1" x14ac:dyDescent="0.4"/>
    <row r="17711" s="5" customFormat="1" x14ac:dyDescent="0.4"/>
    <row r="17712" s="5" customFormat="1" x14ac:dyDescent="0.4"/>
    <row r="17713" s="5" customFormat="1" x14ac:dyDescent="0.4"/>
    <row r="17714" s="5" customFormat="1" x14ac:dyDescent="0.4"/>
    <row r="17715" s="5" customFormat="1" x14ac:dyDescent="0.4"/>
    <row r="17716" s="5" customFormat="1" x14ac:dyDescent="0.4"/>
    <row r="17717" s="5" customFormat="1" x14ac:dyDescent="0.4"/>
    <row r="17718" s="5" customFormat="1" x14ac:dyDescent="0.4"/>
    <row r="17719" s="5" customFormat="1" x14ac:dyDescent="0.4"/>
    <row r="17720" s="5" customFormat="1" x14ac:dyDescent="0.4"/>
    <row r="17721" s="5" customFormat="1" x14ac:dyDescent="0.4"/>
    <row r="17722" s="5" customFormat="1" x14ac:dyDescent="0.4"/>
    <row r="17723" s="5" customFormat="1" x14ac:dyDescent="0.4"/>
    <row r="17724" s="5" customFormat="1" x14ac:dyDescent="0.4"/>
    <row r="17725" s="5" customFormat="1" x14ac:dyDescent="0.4"/>
    <row r="17726" s="5" customFormat="1" x14ac:dyDescent="0.4"/>
    <row r="17727" s="5" customFormat="1" x14ac:dyDescent="0.4"/>
    <row r="17728" s="5" customFormat="1" x14ac:dyDescent="0.4"/>
    <row r="17729" s="5" customFormat="1" x14ac:dyDescent="0.4"/>
    <row r="17730" s="5" customFormat="1" x14ac:dyDescent="0.4"/>
    <row r="17731" s="5" customFormat="1" x14ac:dyDescent="0.4"/>
    <row r="17732" s="5" customFormat="1" x14ac:dyDescent="0.4"/>
    <row r="17733" s="5" customFormat="1" x14ac:dyDescent="0.4"/>
    <row r="17734" s="5" customFormat="1" x14ac:dyDescent="0.4"/>
    <row r="17735" s="5" customFormat="1" x14ac:dyDescent="0.4"/>
    <row r="17736" s="5" customFormat="1" x14ac:dyDescent="0.4"/>
    <row r="17737" s="5" customFormat="1" x14ac:dyDescent="0.4"/>
    <row r="17738" s="5" customFormat="1" x14ac:dyDescent="0.4"/>
    <row r="17739" s="5" customFormat="1" x14ac:dyDescent="0.4"/>
    <row r="17740" s="5" customFormat="1" x14ac:dyDescent="0.4"/>
    <row r="17741" s="5" customFormat="1" x14ac:dyDescent="0.4"/>
    <row r="17742" s="5" customFormat="1" x14ac:dyDescent="0.4"/>
    <row r="17743" s="5" customFormat="1" x14ac:dyDescent="0.4"/>
    <row r="17744" s="5" customFormat="1" x14ac:dyDescent="0.4"/>
    <row r="17745" s="5" customFormat="1" x14ac:dyDescent="0.4"/>
    <row r="17746" s="5" customFormat="1" x14ac:dyDescent="0.4"/>
    <row r="17747" s="5" customFormat="1" x14ac:dyDescent="0.4"/>
    <row r="17748" s="5" customFormat="1" x14ac:dyDescent="0.4"/>
    <row r="17749" s="5" customFormat="1" x14ac:dyDescent="0.4"/>
    <row r="17750" s="5" customFormat="1" x14ac:dyDescent="0.4"/>
    <row r="17751" s="5" customFormat="1" x14ac:dyDescent="0.4"/>
    <row r="17752" s="5" customFormat="1" x14ac:dyDescent="0.4"/>
    <row r="17753" s="5" customFormat="1" x14ac:dyDescent="0.4"/>
    <row r="17754" s="5" customFormat="1" x14ac:dyDescent="0.4"/>
    <row r="17755" s="5" customFormat="1" x14ac:dyDescent="0.4"/>
    <row r="17756" s="5" customFormat="1" x14ac:dyDescent="0.4"/>
    <row r="17757" s="5" customFormat="1" x14ac:dyDescent="0.4"/>
    <row r="17758" s="5" customFormat="1" x14ac:dyDescent="0.4"/>
    <row r="17759" s="5" customFormat="1" x14ac:dyDescent="0.4"/>
    <row r="17760" s="5" customFormat="1" x14ac:dyDescent="0.4"/>
    <row r="17761" s="5" customFormat="1" x14ac:dyDescent="0.4"/>
    <row r="17762" s="5" customFormat="1" x14ac:dyDescent="0.4"/>
    <row r="17763" s="5" customFormat="1" x14ac:dyDescent="0.4"/>
    <row r="17764" s="5" customFormat="1" x14ac:dyDescent="0.4"/>
    <row r="17765" s="5" customFormat="1" x14ac:dyDescent="0.4"/>
    <row r="17766" s="5" customFormat="1" x14ac:dyDescent="0.4"/>
    <row r="17767" s="5" customFormat="1" x14ac:dyDescent="0.4"/>
    <row r="17768" s="5" customFormat="1" x14ac:dyDescent="0.4"/>
    <row r="17769" s="5" customFormat="1" x14ac:dyDescent="0.4"/>
    <row r="17770" s="5" customFormat="1" x14ac:dyDescent="0.4"/>
    <row r="17771" s="5" customFormat="1" x14ac:dyDescent="0.4"/>
    <row r="17772" s="5" customFormat="1" x14ac:dyDescent="0.4"/>
    <row r="17773" s="5" customFormat="1" x14ac:dyDescent="0.4"/>
    <row r="17774" s="5" customFormat="1" x14ac:dyDescent="0.4"/>
    <row r="17775" s="5" customFormat="1" x14ac:dyDescent="0.4"/>
    <row r="17776" s="5" customFormat="1" x14ac:dyDescent="0.4"/>
    <row r="17777" s="5" customFormat="1" x14ac:dyDescent="0.4"/>
    <row r="17778" s="5" customFormat="1" x14ac:dyDescent="0.4"/>
    <row r="17779" s="5" customFormat="1" x14ac:dyDescent="0.4"/>
    <row r="17780" s="5" customFormat="1" x14ac:dyDescent="0.4"/>
    <row r="17781" s="5" customFormat="1" x14ac:dyDescent="0.4"/>
    <row r="17782" s="5" customFormat="1" x14ac:dyDescent="0.4"/>
    <row r="17783" s="5" customFormat="1" x14ac:dyDescent="0.4"/>
    <row r="17784" s="5" customFormat="1" x14ac:dyDescent="0.4"/>
    <row r="17785" s="5" customFormat="1" x14ac:dyDescent="0.4"/>
    <row r="17786" s="5" customFormat="1" x14ac:dyDescent="0.4"/>
    <row r="17787" s="5" customFormat="1" x14ac:dyDescent="0.4"/>
    <row r="17788" s="5" customFormat="1" x14ac:dyDescent="0.4"/>
    <row r="17789" s="5" customFormat="1" x14ac:dyDescent="0.4"/>
    <row r="17790" s="5" customFormat="1" x14ac:dyDescent="0.4"/>
    <row r="17791" s="5" customFormat="1" x14ac:dyDescent="0.4"/>
    <row r="17792" s="5" customFormat="1" x14ac:dyDescent="0.4"/>
    <row r="17793" s="5" customFormat="1" x14ac:dyDescent="0.4"/>
    <row r="17794" s="5" customFormat="1" x14ac:dyDescent="0.4"/>
    <row r="17795" s="5" customFormat="1" x14ac:dyDescent="0.4"/>
    <row r="17796" s="5" customFormat="1" x14ac:dyDescent="0.4"/>
    <row r="17797" s="5" customFormat="1" x14ac:dyDescent="0.4"/>
    <row r="17798" s="5" customFormat="1" x14ac:dyDescent="0.4"/>
    <row r="17799" s="5" customFormat="1" x14ac:dyDescent="0.4"/>
    <row r="17800" s="5" customFormat="1" x14ac:dyDescent="0.4"/>
    <row r="17801" s="5" customFormat="1" x14ac:dyDescent="0.4"/>
    <row r="17802" s="5" customFormat="1" x14ac:dyDescent="0.4"/>
    <row r="17803" s="5" customFormat="1" x14ac:dyDescent="0.4"/>
    <row r="17804" s="5" customFormat="1" x14ac:dyDescent="0.4"/>
    <row r="17805" s="5" customFormat="1" x14ac:dyDescent="0.4"/>
    <row r="17806" s="5" customFormat="1" x14ac:dyDescent="0.4"/>
    <row r="17807" s="5" customFormat="1" x14ac:dyDescent="0.4"/>
    <row r="17808" s="5" customFormat="1" x14ac:dyDescent="0.4"/>
    <row r="17809" s="5" customFormat="1" x14ac:dyDescent="0.4"/>
    <row r="17810" s="5" customFormat="1" x14ac:dyDescent="0.4"/>
    <row r="17811" s="5" customFormat="1" x14ac:dyDescent="0.4"/>
    <row r="17812" s="5" customFormat="1" x14ac:dyDescent="0.4"/>
    <row r="17813" s="5" customFormat="1" x14ac:dyDescent="0.4"/>
    <row r="17814" s="5" customFormat="1" x14ac:dyDescent="0.4"/>
    <row r="17815" s="5" customFormat="1" x14ac:dyDescent="0.4"/>
    <row r="17816" s="5" customFormat="1" x14ac:dyDescent="0.4"/>
    <row r="17817" s="5" customFormat="1" x14ac:dyDescent="0.4"/>
    <row r="17818" s="5" customFormat="1" x14ac:dyDescent="0.4"/>
    <row r="17819" s="5" customFormat="1" x14ac:dyDescent="0.4"/>
    <row r="17820" s="5" customFormat="1" x14ac:dyDescent="0.4"/>
    <row r="17821" s="5" customFormat="1" x14ac:dyDescent="0.4"/>
    <row r="17822" s="5" customFormat="1" x14ac:dyDescent="0.4"/>
    <row r="17823" s="5" customFormat="1" x14ac:dyDescent="0.4"/>
    <row r="17824" s="5" customFormat="1" x14ac:dyDescent="0.4"/>
    <row r="17825" s="5" customFormat="1" x14ac:dyDescent="0.4"/>
    <row r="17826" s="5" customFormat="1" x14ac:dyDescent="0.4"/>
    <row r="17827" s="5" customFormat="1" x14ac:dyDescent="0.4"/>
    <row r="17828" s="5" customFormat="1" x14ac:dyDescent="0.4"/>
    <row r="17829" s="5" customFormat="1" x14ac:dyDescent="0.4"/>
    <row r="17830" s="5" customFormat="1" x14ac:dyDescent="0.4"/>
    <row r="17831" s="5" customFormat="1" x14ac:dyDescent="0.4"/>
    <row r="17832" s="5" customFormat="1" x14ac:dyDescent="0.4"/>
    <row r="17833" s="5" customFormat="1" x14ac:dyDescent="0.4"/>
    <row r="17834" s="5" customFormat="1" x14ac:dyDescent="0.4"/>
    <row r="17835" s="5" customFormat="1" x14ac:dyDescent="0.4"/>
    <row r="17836" s="5" customFormat="1" x14ac:dyDescent="0.4"/>
    <row r="17837" s="5" customFormat="1" x14ac:dyDescent="0.4"/>
    <row r="17838" s="5" customFormat="1" x14ac:dyDescent="0.4"/>
    <row r="17839" s="5" customFormat="1" x14ac:dyDescent="0.4"/>
    <row r="17840" s="5" customFormat="1" x14ac:dyDescent="0.4"/>
    <row r="17841" s="5" customFormat="1" x14ac:dyDescent="0.4"/>
    <row r="17842" s="5" customFormat="1" x14ac:dyDescent="0.4"/>
    <row r="17843" s="5" customFormat="1" x14ac:dyDescent="0.4"/>
    <row r="17844" s="5" customFormat="1" x14ac:dyDescent="0.4"/>
    <row r="17845" s="5" customFormat="1" x14ac:dyDescent="0.4"/>
    <row r="17846" s="5" customFormat="1" x14ac:dyDescent="0.4"/>
    <row r="17847" s="5" customFormat="1" x14ac:dyDescent="0.4"/>
    <row r="17848" s="5" customFormat="1" x14ac:dyDescent="0.4"/>
    <row r="17849" s="5" customFormat="1" x14ac:dyDescent="0.4"/>
    <row r="17850" s="5" customFormat="1" x14ac:dyDescent="0.4"/>
    <row r="17851" s="5" customFormat="1" x14ac:dyDescent="0.4"/>
    <row r="17852" s="5" customFormat="1" x14ac:dyDescent="0.4"/>
    <row r="17853" s="5" customFormat="1" x14ac:dyDescent="0.4"/>
    <row r="17854" s="5" customFormat="1" x14ac:dyDescent="0.4"/>
    <row r="17855" s="5" customFormat="1" x14ac:dyDescent="0.4"/>
    <row r="17856" s="5" customFormat="1" x14ac:dyDescent="0.4"/>
    <row r="17857" s="5" customFormat="1" x14ac:dyDescent="0.4"/>
    <row r="17858" s="5" customFormat="1" x14ac:dyDescent="0.4"/>
    <row r="17859" s="5" customFormat="1" x14ac:dyDescent="0.4"/>
    <row r="17860" s="5" customFormat="1" x14ac:dyDescent="0.4"/>
    <row r="17861" s="5" customFormat="1" x14ac:dyDescent="0.4"/>
    <row r="17862" s="5" customFormat="1" x14ac:dyDescent="0.4"/>
    <row r="17863" s="5" customFormat="1" x14ac:dyDescent="0.4"/>
    <row r="17864" s="5" customFormat="1" x14ac:dyDescent="0.4"/>
    <row r="17865" s="5" customFormat="1" x14ac:dyDescent="0.4"/>
    <row r="17866" s="5" customFormat="1" x14ac:dyDescent="0.4"/>
    <row r="17867" s="5" customFormat="1" x14ac:dyDescent="0.4"/>
    <row r="17868" s="5" customFormat="1" x14ac:dyDescent="0.4"/>
    <row r="17869" s="5" customFormat="1" x14ac:dyDescent="0.4"/>
    <row r="17870" s="5" customFormat="1" x14ac:dyDescent="0.4"/>
    <row r="17871" s="5" customFormat="1" x14ac:dyDescent="0.4"/>
    <row r="17872" s="5" customFormat="1" x14ac:dyDescent="0.4"/>
    <row r="17873" s="5" customFormat="1" x14ac:dyDescent="0.4"/>
    <row r="17874" s="5" customFormat="1" x14ac:dyDescent="0.4"/>
    <row r="17875" s="5" customFormat="1" x14ac:dyDescent="0.4"/>
    <row r="17876" s="5" customFormat="1" x14ac:dyDescent="0.4"/>
    <row r="17877" s="5" customFormat="1" x14ac:dyDescent="0.4"/>
    <row r="17878" s="5" customFormat="1" x14ac:dyDescent="0.4"/>
    <row r="17879" s="5" customFormat="1" x14ac:dyDescent="0.4"/>
    <row r="17880" s="5" customFormat="1" x14ac:dyDescent="0.4"/>
    <row r="17881" s="5" customFormat="1" x14ac:dyDescent="0.4"/>
    <row r="17882" s="5" customFormat="1" x14ac:dyDescent="0.4"/>
    <row r="17883" s="5" customFormat="1" x14ac:dyDescent="0.4"/>
    <row r="17884" s="5" customFormat="1" x14ac:dyDescent="0.4"/>
    <row r="17885" s="5" customFormat="1" x14ac:dyDescent="0.4"/>
    <row r="17886" s="5" customFormat="1" x14ac:dyDescent="0.4"/>
    <row r="17887" s="5" customFormat="1" x14ac:dyDescent="0.4"/>
    <row r="17888" s="5" customFormat="1" x14ac:dyDescent="0.4"/>
    <row r="17889" s="5" customFormat="1" x14ac:dyDescent="0.4"/>
    <row r="17890" s="5" customFormat="1" x14ac:dyDescent="0.4"/>
    <row r="17891" s="5" customFormat="1" x14ac:dyDescent="0.4"/>
    <row r="17892" s="5" customFormat="1" x14ac:dyDescent="0.4"/>
    <row r="17893" s="5" customFormat="1" x14ac:dyDescent="0.4"/>
    <row r="17894" s="5" customFormat="1" x14ac:dyDescent="0.4"/>
    <row r="17895" s="5" customFormat="1" x14ac:dyDescent="0.4"/>
    <row r="17896" s="5" customFormat="1" x14ac:dyDescent="0.4"/>
    <row r="17897" s="5" customFormat="1" x14ac:dyDescent="0.4"/>
    <row r="17898" s="5" customFormat="1" x14ac:dyDescent="0.4"/>
    <row r="17899" s="5" customFormat="1" x14ac:dyDescent="0.4"/>
    <row r="17900" s="5" customFormat="1" x14ac:dyDescent="0.4"/>
    <row r="17901" s="5" customFormat="1" x14ac:dyDescent="0.4"/>
    <row r="17902" s="5" customFormat="1" x14ac:dyDescent="0.4"/>
    <row r="17903" s="5" customFormat="1" x14ac:dyDescent="0.4"/>
    <row r="17904" s="5" customFormat="1" x14ac:dyDescent="0.4"/>
    <row r="17905" s="5" customFormat="1" x14ac:dyDescent="0.4"/>
    <row r="17906" s="5" customFormat="1" x14ac:dyDescent="0.4"/>
    <row r="17907" s="5" customFormat="1" x14ac:dyDescent="0.4"/>
    <row r="17908" s="5" customFormat="1" x14ac:dyDescent="0.4"/>
    <row r="17909" s="5" customFormat="1" x14ac:dyDescent="0.4"/>
    <row r="17910" s="5" customFormat="1" x14ac:dyDescent="0.4"/>
    <row r="17911" s="5" customFormat="1" x14ac:dyDescent="0.4"/>
    <row r="17912" s="5" customFormat="1" x14ac:dyDescent="0.4"/>
    <row r="17913" s="5" customFormat="1" x14ac:dyDescent="0.4"/>
    <row r="17914" s="5" customFormat="1" x14ac:dyDescent="0.4"/>
    <row r="17915" s="5" customFormat="1" x14ac:dyDescent="0.4"/>
    <row r="17916" s="5" customFormat="1" x14ac:dyDescent="0.4"/>
    <row r="17917" s="5" customFormat="1" x14ac:dyDescent="0.4"/>
    <row r="17918" s="5" customFormat="1" x14ac:dyDescent="0.4"/>
    <row r="17919" s="5" customFormat="1" x14ac:dyDescent="0.4"/>
    <row r="17920" s="5" customFormat="1" x14ac:dyDescent="0.4"/>
    <row r="17921" s="5" customFormat="1" x14ac:dyDescent="0.4"/>
    <row r="17922" s="5" customFormat="1" x14ac:dyDescent="0.4"/>
    <row r="17923" s="5" customFormat="1" x14ac:dyDescent="0.4"/>
    <row r="17924" s="5" customFormat="1" x14ac:dyDescent="0.4"/>
    <row r="17925" s="5" customFormat="1" x14ac:dyDescent="0.4"/>
    <row r="17926" s="5" customFormat="1" x14ac:dyDescent="0.4"/>
    <row r="17927" s="5" customFormat="1" x14ac:dyDescent="0.4"/>
    <row r="17928" s="5" customFormat="1" x14ac:dyDescent="0.4"/>
    <row r="17929" s="5" customFormat="1" x14ac:dyDescent="0.4"/>
    <row r="17930" s="5" customFormat="1" x14ac:dyDescent="0.4"/>
    <row r="17931" s="5" customFormat="1" x14ac:dyDescent="0.4"/>
    <row r="17932" s="5" customFormat="1" x14ac:dyDescent="0.4"/>
    <row r="17933" s="5" customFormat="1" x14ac:dyDescent="0.4"/>
    <row r="17934" s="5" customFormat="1" x14ac:dyDescent="0.4"/>
    <row r="17935" s="5" customFormat="1" x14ac:dyDescent="0.4"/>
    <row r="17936" s="5" customFormat="1" x14ac:dyDescent="0.4"/>
    <row r="17937" s="5" customFormat="1" x14ac:dyDescent="0.4"/>
    <row r="17938" s="5" customFormat="1" x14ac:dyDescent="0.4"/>
    <row r="17939" s="5" customFormat="1" x14ac:dyDescent="0.4"/>
    <row r="17940" s="5" customFormat="1" x14ac:dyDescent="0.4"/>
    <row r="17941" s="5" customFormat="1" x14ac:dyDescent="0.4"/>
    <row r="17942" s="5" customFormat="1" x14ac:dyDescent="0.4"/>
    <row r="17943" s="5" customFormat="1" x14ac:dyDescent="0.4"/>
    <row r="17944" s="5" customFormat="1" x14ac:dyDescent="0.4"/>
    <row r="17945" s="5" customFormat="1" x14ac:dyDescent="0.4"/>
    <row r="17946" s="5" customFormat="1" x14ac:dyDescent="0.4"/>
    <row r="17947" s="5" customFormat="1" x14ac:dyDescent="0.4"/>
    <row r="17948" s="5" customFormat="1" x14ac:dyDescent="0.4"/>
    <row r="17949" s="5" customFormat="1" x14ac:dyDescent="0.4"/>
    <row r="17950" s="5" customFormat="1" x14ac:dyDescent="0.4"/>
    <row r="17951" s="5" customFormat="1" x14ac:dyDescent="0.4"/>
    <row r="17952" s="5" customFormat="1" x14ac:dyDescent="0.4"/>
    <row r="17953" s="5" customFormat="1" x14ac:dyDescent="0.4"/>
    <row r="17954" s="5" customFormat="1" x14ac:dyDescent="0.4"/>
    <row r="17955" s="5" customFormat="1" x14ac:dyDescent="0.4"/>
    <row r="17956" s="5" customFormat="1" x14ac:dyDescent="0.4"/>
    <row r="17957" s="5" customFormat="1" x14ac:dyDescent="0.4"/>
    <row r="17958" s="5" customFormat="1" x14ac:dyDescent="0.4"/>
    <row r="17959" s="5" customFormat="1" x14ac:dyDescent="0.4"/>
    <row r="17960" s="5" customFormat="1" x14ac:dyDescent="0.4"/>
    <row r="17961" s="5" customFormat="1" x14ac:dyDescent="0.4"/>
    <row r="17962" s="5" customFormat="1" x14ac:dyDescent="0.4"/>
    <row r="17963" s="5" customFormat="1" x14ac:dyDescent="0.4"/>
    <row r="17964" s="5" customFormat="1" x14ac:dyDescent="0.4"/>
    <row r="17965" s="5" customFormat="1" x14ac:dyDescent="0.4"/>
    <row r="17966" s="5" customFormat="1" x14ac:dyDescent="0.4"/>
    <row r="17967" s="5" customFormat="1" x14ac:dyDescent="0.4"/>
    <row r="17968" s="5" customFormat="1" x14ac:dyDescent="0.4"/>
    <row r="17969" s="5" customFormat="1" x14ac:dyDescent="0.4"/>
    <row r="17970" s="5" customFormat="1" x14ac:dyDescent="0.4"/>
    <row r="17971" s="5" customFormat="1" x14ac:dyDescent="0.4"/>
    <row r="17972" s="5" customFormat="1" x14ac:dyDescent="0.4"/>
    <row r="17973" s="5" customFormat="1" x14ac:dyDescent="0.4"/>
    <row r="17974" s="5" customFormat="1" x14ac:dyDescent="0.4"/>
    <row r="17975" s="5" customFormat="1" x14ac:dyDescent="0.4"/>
    <row r="17976" s="5" customFormat="1" x14ac:dyDescent="0.4"/>
    <row r="17977" s="5" customFormat="1" x14ac:dyDescent="0.4"/>
    <row r="17978" s="5" customFormat="1" x14ac:dyDescent="0.4"/>
    <row r="17979" s="5" customFormat="1" x14ac:dyDescent="0.4"/>
    <row r="17980" s="5" customFormat="1" x14ac:dyDescent="0.4"/>
    <row r="17981" s="5" customFormat="1" x14ac:dyDescent="0.4"/>
    <row r="17982" s="5" customFormat="1" x14ac:dyDescent="0.4"/>
    <row r="17983" s="5" customFormat="1" x14ac:dyDescent="0.4"/>
    <row r="17984" s="5" customFormat="1" x14ac:dyDescent="0.4"/>
    <row r="17985" s="5" customFormat="1" x14ac:dyDescent="0.4"/>
    <row r="17986" s="5" customFormat="1" x14ac:dyDescent="0.4"/>
    <row r="17987" s="5" customFormat="1" x14ac:dyDescent="0.4"/>
    <row r="17988" s="5" customFormat="1" x14ac:dyDescent="0.4"/>
    <row r="17989" s="5" customFormat="1" x14ac:dyDescent="0.4"/>
    <row r="17990" s="5" customFormat="1" x14ac:dyDescent="0.4"/>
    <row r="17991" s="5" customFormat="1" x14ac:dyDescent="0.4"/>
    <row r="17992" s="5" customFormat="1" x14ac:dyDescent="0.4"/>
    <row r="17993" s="5" customFormat="1" x14ac:dyDescent="0.4"/>
    <row r="17994" s="5" customFormat="1" x14ac:dyDescent="0.4"/>
    <row r="17995" s="5" customFormat="1" x14ac:dyDescent="0.4"/>
    <row r="17996" s="5" customFormat="1" x14ac:dyDescent="0.4"/>
    <row r="17997" s="5" customFormat="1" x14ac:dyDescent="0.4"/>
    <row r="17998" s="5" customFormat="1" x14ac:dyDescent="0.4"/>
    <row r="17999" s="5" customFormat="1" x14ac:dyDescent="0.4"/>
    <row r="18000" s="5" customFormat="1" x14ac:dyDescent="0.4"/>
    <row r="18001" s="5" customFormat="1" x14ac:dyDescent="0.4"/>
    <row r="18002" s="5" customFormat="1" x14ac:dyDescent="0.4"/>
    <row r="18003" s="5" customFormat="1" x14ac:dyDescent="0.4"/>
    <row r="18004" s="5" customFormat="1" x14ac:dyDescent="0.4"/>
    <row r="18005" s="5" customFormat="1" x14ac:dyDescent="0.4"/>
    <row r="18006" s="5" customFormat="1" x14ac:dyDescent="0.4"/>
    <row r="18007" s="5" customFormat="1" x14ac:dyDescent="0.4"/>
    <row r="18008" s="5" customFormat="1" x14ac:dyDescent="0.4"/>
    <row r="18009" s="5" customFormat="1" x14ac:dyDescent="0.4"/>
    <row r="18010" s="5" customFormat="1" x14ac:dyDescent="0.4"/>
    <row r="18011" s="5" customFormat="1" x14ac:dyDescent="0.4"/>
    <row r="18012" s="5" customFormat="1" x14ac:dyDescent="0.4"/>
    <row r="18013" s="5" customFormat="1" x14ac:dyDescent="0.4"/>
    <row r="18014" s="5" customFormat="1" x14ac:dyDescent="0.4"/>
    <row r="18015" s="5" customFormat="1" x14ac:dyDescent="0.4"/>
    <row r="18016" s="5" customFormat="1" x14ac:dyDescent="0.4"/>
    <row r="18017" s="5" customFormat="1" x14ac:dyDescent="0.4"/>
    <row r="18018" s="5" customFormat="1" x14ac:dyDescent="0.4"/>
    <row r="18019" s="5" customFormat="1" x14ac:dyDescent="0.4"/>
    <row r="18020" s="5" customFormat="1" x14ac:dyDescent="0.4"/>
    <row r="18021" s="5" customFormat="1" x14ac:dyDescent="0.4"/>
    <row r="18022" s="5" customFormat="1" x14ac:dyDescent="0.4"/>
    <row r="18023" s="5" customFormat="1" x14ac:dyDescent="0.4"/>
    <row r="18024" s="5" customFormat="1" x14ac:dyDescent="0.4"/>
    <row r="18025" s="5" customFormat="1" x14ac:dyDescent="0.4"/>
    <row r="18026" s="5" customFormat="1" x14ac:dyDescent="0.4"/>
    <row r="18027" s="5" customFormat="1" x14ac:dyDescent="0.4"/>
    <row r="18028" s="5" customFormat="1" x14ac:dyDescent="0.4"/>
    <row r="18029" s="5" customFormat="1" x14ac:dyDescent="0.4"/>
    <row r="18030" s="5" customFormat="1" x14ac:dyDescent="0.4"/>
    <row r="18031" s="5" customFormat="1" x14ac:dyDescent="0.4"/>
    <row r="18032" s="5" customFormat="1" x14ac:dyDescent="0.4"/>
    <row r="18033" s="5" customFormat="1" x14ac:dyDescent="0.4"/>
    <row r="18034" s="5" customFormat="1" x14ac:dyDescent="0.4"/>
    <row r="18035" s="5" customFormat="1" x14ac:dyDescent="0.4"/>
    <row r="18036" s="5" customFormat="1" x14ac:dyDescent="0.4"/>
    <row r="18037" s="5" customFormat="1" x14ac:dyDescent="0.4"/>
    <row r="18038" s="5" customFormat="1" x14ac:dyDescent="0.4"/>
    <row r="18039" s="5" customFormat="1" x14ac:dyDescent="0.4"/>
    <row r="18040" s="5" customFormat="1" x14ac:dyDescent="0.4"/>
    <row r="18041" s="5" customFormat="1" x14ac:dyDescent="0.4"/>
    <row r="18042" s="5" customFormat="1" x14ac:dyDescent="0.4"/>
    <row r="18043" s="5" customFormat="1" x14ac:dyDescent="0.4"/>
    <row r="18044" s="5" customFormat="1" x14ac:dyDescent="0.4"/>
    <row r="18045" s="5" customFormat="1" x14ac:dyDescent="0.4"/>
    <row r="18046" s="5" customFormat="1" x14ac:dyDescent="0.4"/>
    <row r="18047" s="5" customFormat="1" x14ac:dyDescent="0.4"/>
    <row r="18048" s="5" customFormat="1" x14ac:dyDescent="0.4"/>
    <row r="18049" s="5" customFormat="1" x14ac:dyDescent="0.4"/>
    <row r="18050" s="5" customFormat="1" x14ac:dyDescent="0.4"/>
    <row r="18051" s="5" customFormat="1" x14ac:dyDescent="0.4"/>
    <row r="18052" s="5" customFormat="1" x14ac:dyDescent="0.4"/>
    <row r="18053" s="5" customFormat="1" x14ac:dyDescent="0.4"/>
    <row r="18054" s="5" customFormat="1" x14ac:dyDescent="0.4"/>
    <row r="18055" s="5" customFormat="1" x14ac:dyDescent="0.4"/>
    <row r="18056" s="5" customFormat="1" x14ac:dyDescent="0.4"/>
    <row r="18057" s="5" customFormat="1" x14ac:dyDescent="0.4"/>
    <row r="18058" s="5" customFormat="1" x14ac:dyDescent="0.4"/>
    <row r="18059" s="5" customFormat="1" x14ac:dyDescent="0.4"/>
    <row r="18060" s="5" customFormat="1" x14ac:dyDescent="0.4"/>
    <row r="18061" s="5" customFormat="1" x14ac:dyDescent="0.4"/>
    <row r="18062" s="5" customFormat="1" x14ac:dyDescent="0.4"/>
    <row r="18063" s="5" customFormat="1" x14ac:dyDescent="0.4"/>
    <row r="18064" s="5" customFormat="1" x14ac:dyDescent="0.4"/>
    <row r="18065" s="5" customFormat="1" x14ac:dyDescent="0.4"/>
    <row r="18066" s="5" customFormat="1" x14ac:dyDescent="0.4"/>
    <row r="18067" s="5" customFormat="1" x14ac:dyDescent="0.4"/>
    <row r="18068" s="5" customFormat="1" x14ac:dyDescent="0.4"/>
    <row r="18069" s="5" customFormat="1" x14ac:dyDescent="0.4"/>
    <row r="18070" s="5" customFormat="1" x14ac:dyDescent="0.4"/>
    <row r="18071" s="5" customFormat="1" x14ac:dyDescent="0.4"/>
    <row r="18072" s="5" customFormat="1" x14ac:dyDescent="0.4"/>
    <row r="18073" s="5" customFormat="1" x14ac:dyDescent="0.4"/>
    <row r="18074" s="5" customFormat="1" x14ac:dyDescent="0.4"/>
    <row r="18075" s="5" customFormat="1" x14ac:dyDescent="0.4"/>
    <row r="18076" s="5" customFormat="1" x14ac:dyDescent="0.4"/>
    <row r="18077" s="5" customFormat="1" x14ac:dyDescent="0.4"/>
    <row r="18078" s="5" customFormat="1" x14ac:dyDescent="0.4"/>
    <row r="18079" s="5" customFormat="1" x14ac:dyDescent="0.4"/>
    <row r="18080" s="5" customFormat="1" x14ac:dyDescent="0.4"/>
    <row r="18081" s="5" customFormat="1" x14ac:dyDescent="0.4"/>
    <row r="18082" s="5" customFormat="1" x14ac:dyDescent="0.4"/>
    <row r="18083" s="5" customFormat="1" x14ac:dyDescent="0.4"/>
    <row r="18084" s="5" customFormat="1" x14ac:dyDescent="0.4"/>
    <row r="18085" s="5" customFormat="1" x14ac:dyDescent="0.4"/>
    <row r="18086" s="5" customFormat="1" x14ac:dyDescent="0.4"/>
    <row r="18087" s="5" customFormat="1" x14ac:dyDescent="0.4"/>
    <row r="18088" s="5" customFormat="1" x14ac:dyDescent="0.4"/>
    <row r="18089" s="5" customFormat="1" x14ac:dyDescent="0.4"/>
    <row r="18090" s="5" customFormat="1" x14ac:dyDescent="0.4"/>
    <row r="18091" s="5" customFormat="1" x14ac:dyDescent="0.4"/>
    <row r="18092" s="5" customFormat="1" x14ac:dyDescent="0.4"/>
    <row r="18093" s="5" customFormat="1" x14ac:dyDescent="0.4"/>
    <row r="18094" s="5" customFormat="1" x14ac:dyDescent="0.4"/>
    <row r="18095" s="5" customFormat="1" x14ac:dyDescent="0.4"/>
    <row r="18096" s="5" customFormat="1" x14ac:dyDescent="0.4"/>
    <row r="18097" s="5" customFormat="1" x14ac:dyDescent="0.4"/>
    <row r="18098" s="5" customFormat="1" x14ac:dyDescent="0.4"/>
    <row r="18099" s="5" customFormat="1" x14ac:dyDescent="0.4"/>
    <row r="18100" s="5" customFormat="1" x14ac:dyDescent="0.4"/>
    <row r="18101" s="5" customFormat="1" x14ac:dyDescent="0.4"/>
    <row r="18102" s="5" customFormat="1" x14ac:dyDescent="0.4"/>
    <row r="18103" s="5" customFormat="1" x14ac:dyDescent="0.4"/>
    <row r="18104" s="5" customFormat="1" x14ac:dyDescent="0.4"/>
    <row r="18105" s="5" customFormat="1" x14ac:dyDescent="0.4"/>
    <row r="18106" s="5" customFormat="1" x14ac:dyDescent="0.4"/>
    <row r="18107" s="5" customFormat="1" x14ac:dyDescent="0.4"/>
    <row r="18108" s="5" customFormat="1" x14ac:dyDescent="0.4"/>
    <row r="18109" s="5" customFormat="1" x14ac:dyDescent="0.4"/>
    <row r="18110" s="5" customFormat="1" x14ac:dyDescent="0.4"/>
    <row r="18111" s="5" customFormat="1" x14ac:dyDescent="0.4"/>
    <row r="18112" s="5" customFormat="1" x14ac:dyDescent="0.4"/>
    <row r="18113" s="5" customFormat="1" x14ac:dyDescent="0.4"/>
    <row r="18114" s="5" customFormat="1" x14ac:dyDescent="0.4"/>
    <row r="18115" s="5" customFormat="1" x14ac:dyDescent="0.4"/>
    <row r="18116" s="5" customFormat="1" x14ac:dyDescent="0.4"/>
    <row r="18117" s="5" customFormat="1" x14ac:dyDescent="0.4"/>
    <row r="18118" s="5" customFormat="1" x14ac:dyDescent="0.4"/>
    <row r="18119" s="5" customFormat="1" x14ac:dyDescent="0.4"/>
    <row r="18120" s="5" customFormat="1" x14ac:dyDescent="0.4"/>
    <row r="18121" s="5" customFormat="1" x14ac:dyDescent="0.4"/>
    <row r="18122" s="5" customFormat="1" x14ac:dyDescent="0.4"/>
    <row r="18123" s="5" customFormat="1" x14ac:dyDescent="0.4"/>
    <row r="18124" s="5" customFormat="1" x14ac:dyDescent="0.4"/>
    <row r="18125" s="5" customFormat="1" x14ac:dyDescent="0.4"/>
    <row r="18126" s="5" customFormat="1" x14ac:dyDescent="0.4"/>
    <row r="18127" s="5" customFormat="1" x14ac:dyDescent="0.4"/>
    <row r="18128" s="5" customFormat="1" x14ac:dyDescent="0.4"/>
    <row r="18129" s="5" customFormat="1" x14ac:dyDescent="0.4"/>
    <row r="18130" s="5" customFormat="1" x14ac:dyDescent="0.4"/>
    <row r="18131" s="5" customFormat="1" x14ac:dyDescent="0.4"/>
    <row r="18132" s="5" customFormat="1" x14ac:dyDescent="0.4"/>
    <row r="18133" s="5" customFormat="1" x14ac:dyDescent="0.4"/>
    <row r="18134" s="5" customFormat="1" x14ac:dyDescent="0.4"/>
    <row r="18135" s="5" customFormat="1" x14ac:dyDescent="0.4"/>
    <row r="18136" s="5" customFormat="1" x14ac:dyDescent="0.4"/>
    <row r="18137" s="5" customFormat="1" x14ac:dyDescent="0.4"/>
    <row r="18138" s="5" customFormat="1" x14ac:dyDescent="0.4"/>
    <row r="18139" s="5" customFormat="1" x14ac:dyDescent="0.4"/>
    <row r="18140" s="5" customFormat="1" x14ac:dyDescent="0.4"/>
    <row r="18141" s="5" customFormat="1" x14ac:dyDescent="0.4"/>
    <row r="18142" s="5" customFormat="1" x14ac:dyDescent="0.4"/>
    <row r="18143" s="5" customFormat="1" x14ac:dyDescent="0.4"/>
    <row r="18144" s="5" customFormat="1" x14ac:dyDescent="0.4"/>
    <row r="18145" s="5" customFormat="1" x14ac:dyDescent="0.4"/>
    <row r="18146" s="5" customFormat="1" x14ac:dyDescent="0.4"/>
    <row r="18147" s="5" customFormat="1" x14ac:dyDescent="0.4"/>
    <row r="18148" s="5" customFormat="1" x14ac:dyDescent="0.4"/>
    <row r="18149" s="5" customFormat="1" x14ac:dyDescent="0.4"/>
    <row r="18150" s="5" customFormat="1" x14ac:dyDescent="0.4"/>
    <row r="18151" s="5" customFormat="1" x14ac:dyDescent="0.4"/>
    <row r="18152" s="5" customFormat="1" x14ac:dyDescent="0.4"/>
    <row r="18153" s="5" customFormat="1" x14ac:dyDescent="0.4"/>
    <row r="18154" s="5" customFormat="1" x14ac:dyDescent="0.4"/>
    <row r="18155" s="5" customFormat="1" x14ac:dyDescent="0.4"/>
    <row r="18156" s="5" customFormat="1" x14ac:dyDescent="0.4"/>
    <row r="18157" s="5" customFormat="1" x14ac:dyDescent="0.4"/>
    <row r="18158" s="5" customFormat="1" x14ac:dyDescent="0.4"/>
    <row r="18159" s="5" customFormat="1" x14ac:dyDescent="0.4"/>
    <row r="18160" s="5" customFormat="1" x14ac:dyDescent="0.4"/>
    <row r="18161" s="5" customFormat="1" x14ac:dyDescent="0.4"/>
    <row r="18162" s="5" customFormat="1" x14ac:dyDescent="0.4"/>
    <row r="18163" s="5" customFormat="1" x14ac:dyDescent="0.4"/>
    <row r="18164" s="5" customFormat="1" x14ac:dyDescent="0.4"/>
    <row r="18165" s="5" customFormat="1" x14ac:dyDescent="0.4"/>
    <row r="18166" s="5" customFormat="1" x14ac:dyDescent="0.4"/>
    <row r="18167" s="5" customFormat="1" x14ac:dyDescent="0.4"/>
    <row r="18168" s="5" customFormat="1" x14ac:dyDescent="0.4"/>
    <row r="18169" s="5" customFormat="1" x14ac:dyDescent="0.4"/>
    <row r="18170" s="5" customFormat="1" x14ac:dyDescent="0.4"/>
    <row r="18171" s="5" customFormat="1" x14ac:dyDescent="0.4"/>
    <row r="18172" s="5" customFormat="1" x14ac:dyDescent="0.4"/>
    <row r="18173" s="5" customFormat="1" x14ac:dyDescent="0.4"/>
    <row r="18174" s="5" customFormat="1" x14ac:dyDescent="0.4"/>
    <row r="18175" s="5" customFormat="1" x14ac:dyDescent="0.4"/>
    <row r="18176" s="5" customFormat="1" x14ac:dyDescent="0.4"/>
    <row r="18177" s="5" customFormat="1" x14ac:dyDescent="0.4"/>
    <row r="18178" s="5" customFormat="1" x14ac:dyDescent="0.4"/>
    <row r="18179" s="5" customFormat="1" x14ac:dyDescent="0.4"/>
    <row r="18180" s="5" customFormat="1" x14ac:dyDescent="0.4"/>
    <row r="18181" s="5" customFormat="1" x14ac:dyDescent="0.4"/>
    <row r="18182" s="5" customFormat="1" x14ac:dyDescent="0.4"/>
    <row r="18183" s="5" customFormat="1" x14ac:dyDescent="0.4"/>
    <row r="18184" s="5" customFormat="1" x14ac:dyDescent="0.4"/>
    <row r="18185" s="5" customFormat="1" x14ac:dyDescent="0.4"/>
    <row r="18186" s="5" customFormat="1" x14ac:dyDescent="0.4"/>
    <row r="18187" s="5" customFormat="1" x14ac:dyDescent="0.4"/>
    <row r="18188" s="5" customFormat="1" x14ac:dyDescent="0.4"/>
    <row r="18189" s="5" customFormat="1" x14ac:dyDescent="0.4"/>
    <row r="18190" s="5" customFormat="1" x14ac:dyDescent="0.4"/>
    <row r="18191" s="5" customFormat="1" x14ac:dyDescent="0.4"/>
    <row r="18192" s="5" customFormat="1" x14ac:dyDescent="0.4"/>
    <row r="18193" s="5" customFormat="1" x14ac:dyDescent="0.4"/>
    <row r="18194" s="5" customFormat="1" x14ac:dyDescent="0.4"/>
    <row r="18195" s="5" customFormat="1" x14ac:dyDescent="0.4"/>
    <row r="18196" s="5" customFormat="1" x14ac:dyDescent="0.4"/>
    <row r="18197" s="5" customFormat="1" x14ac:dyDescent="0.4"/>
    <row r="18198" s="5" customFormat="1" x14ac:dyDescent="0.4"/>
    <row r="18199" s="5" customFormat="1" x14ac:dyDescent="0.4"/>
    <row r="18200" s="5" customFormat="1" x14ac:dyDescent="0.4"/>
    <row r="18201" s="5" customFormat="1" x14ac:dyDescent="0.4"/>
    <row r="18202" s="5" customFormat="1" x14ac:dyDescent="0.4"/>
    <row r="18203" s="5" customFormat="1" x14ac:dyDescent="0.4"/>
    <row r="18204" s="5" customFormat="1" x14ac:dyDescent="0.4"/>
    <row r="18205" s="5" customFormat="1" x14ac:dyDescent="0.4"/>
    <row r="18206" s="5" customFormat="1" x14ac:dyDescent="0.4"/>
    <row r="18207" s="5" customFormat="1" x14ac:dyDescent="0.4"/>
    <row r="18208" s="5" customFormat="1" x14ac:dyDescent="0.4"/>
    <row r="18209" s="5" customFormat="1" x14ac:dyDescent="0.4"/>
    <row r="18210" s="5" customFormat="1" x14ac:dyDescent="0.4"/>
    <row r="18211" s="5" customFormat="1" x14ac:dyDescent="0.4"/>
    <row r="18212" s="5" customFormat="1" x14ac:dyDescent="0.4"/>
    <row r="18213" s="5" customFormat="1" x14ac:dyDescent="0.4"/>
    <row r="18214" s="5" customFormat="1" x14ac:dyDescent="0.4"/>
    <row r="18215" s="5" customFormat="1" x14ac:dyDescent="0.4"/>
    <row r="18216" s="5" customFormat="1" x14ac:dyDescent="0.4"/>
    <row r="18217" s="5" customFormat="1" x14ac:dyDescent="0.4"/>
    <row r="18218" s="5" customFormat="1" x14ac:dyDescent="0.4"/>
    <row r="18219" s="5" customFormat="1" x14ac:dyDescent="0.4"/>
    <row r="18220" s="5" customFormat="1" x14ac:dyDescent="0.4"/>
    <row r="18221" s="5" customFormat="1" x14ac:dyDescent="0.4"/>
    <row r="18222" s="5" customFormat="1" x14ac:dyDescent="0.4"/>
    <row r="18223" s="5" customFormat="1" x14ac:dyDescent="0.4"/>
    <row r="18224" s="5" customFormat="1" x14ac:dyDescent="0.4"/>
    <row r="18225" s="5" customFormat="1" x14ac:dyDescent="0.4"/>
    <row r="18226" s="5" customFormat="1" x14ac:dyDescent="0.4"/>
    <row r="18227" s="5" customFormat="1" x14ac:dyDescent="0.4"/>
    <row r="18228" s="5" customFormat="1" x14ac:dyDescent="0.4"/>
    <row r="18229" s="5" customFormat="1" x14ac:dyDescent="0.4"/>
    <row r="18230" s="5" customFormat="1" x14ac:dyDescent="0.4"/>
    <row r="18231" s="5" customFormat="1" x14ac:dyDescent="0.4"/>
    <row r="18232" s="5" customFormat="1" x14ac:dyDescent="0.4"/>
    <row r="18233" s="5" customFormat="1" x14ac:dyDescent="0.4"/>
    <row r="18234" s="5" customFormat="1" x14ac:dyDescent="0.4"/>
    <row r="18235" s="5" customFormat="1" x14ac:dyDescent="0.4"/>
    <row r="18236" s="5" customFormat="1" x14ac:dyDescent="0.4"/>
    <row r="18237" s="5" customFormat="1" x14ac:dyDescent="0.4"/>
    <row r="18238" s="5" customFormat="1" x14ac:dyDescent="0.4"/>
    <row r="18239" s="5" customFormat="1" x14ac:dyDescent="0.4"/>
    <row r="18240" s="5" customFormat="1" x14ac:dyDescent="0.4"/>
    <row r="18241" s="5" customFormat="1" x14ac:dyDescent="0.4"/>
    <row r="18242" s="5" customFormat="1" x14ac:dyDescent="0.4"/>
    <row r="18243" s="5" customFormat="1" x14ac:dyDescent="0.4"/>
    <row r="18244" s="5" customFormat="1" x14ac:dyDescent="0.4"/>
    <row r="18245" s="5" customFormat="1" x14ac:dyDescent="0.4"/>
    <row r="18246" s="5" customFormat="1" x14ac:dyDescent="0.4"/>
    <row r="18247" s="5" customFormat="1" x14ac:dyDescent="0.4"/>
    <row r="18248" s="5" customFormat="1" x14ac:dyDescent="0.4"/>
    <row r="18249" s="5" customFormat="1" x14ac:dyDescent="0.4"/>
    <row r="18250" s="5" customFormat="1" x14ac:dyDescent="0.4"/>
    <row r="18251" s="5" customFormat="1" x14ac:dyDescent="0.4"/>
    <row r="18252" s="5" customFormat="1" x14ac:dyDescent="0.4"/>
    <row r="18253" s="5" customFormat="1" x14ac:dyDescent="0.4"/>
    <row r="18254" s="5" customFormat="1" x14ac:dyDescent="0.4"/>
    <row r="18255" s="5" customFormat="1" x14ac:dyDescent="0.4"/>
    <row r="18256" s="5" customFormat="1" x14ac:dyDescent="0.4"/>
    <row r="18257" s="5" customFormat="1" x14ac:dyDescent="0.4"/>
    <row r="18258" s="5" customFormat="1" x14ac:dyDescent="0.4"/>
    <row r="18259" s="5" customFormat="1" x14ac:dyDescent="0.4"/>
    <row r="18260" s="5" customFormat="1" x14ac:dyDescent="0.4"/>
    <row r="18261" s="5" customFormat="1" x14ac:dyDescent="0.4"/>
    <row r="18262" s="5" customFormat="1" x14ac:dyDescent="0.4"/>
    <row r="18263" s="5" customFormat="1" x14ac:dyDescent="0.4"/>
    <row r="18264" s="5" customFormat="1" x14ac:dyDescent="0.4"/>
    <row r="18265" s="5" customFormat="1" x14ac:dyDescent="0.4"/>
    <row r="18266" s="5" customFormat="1" x14ac:dyDescent="0.4"/>
    <row r="18267" s="5" customFormat="1" x14ac:dyDescent="0.4"/>
    <row r="18268" s="5" customFormat="1" x14ac:dyDescent="0.4"/>
    <row r="18269" s="5" customFormat="1" x14ac:dyDescent="0.4"/>
    <row r="18270" s="5" customFormat="1" x14ac:dyDescent="0.4"/>
    <row r="18271" s="5" customFormat="1" x14ac:dyDescent="0.4"/>
    <row r="18272" s="5" customFormat="1" x14ac:dyDescent="0.4"/>
    <row r="18273" s="5" customFormat="1" x14ac:dyDescent="0.4"/>
    <row r="18274" s="5" customFormat="1" x14ac:dyDescent="0.4"/>
    <row r="18275" s="5" customFormat="1" x14ac:dyDescent="0.4"/>
    <row r="18276" s="5" customFormat="1" x14ac:dyDescent="0.4"/>
    <row r="18277" s="5" customFormat="1" x14ac:dyDescent="0.4"/>
    <row r="18278" s="5" customFormat="1" x14ac:dyDescent="0.4"/>
    <row r="18279" s="5" customFormat="1" x14ac:dyDescent="0.4"/>
    <row r="18280" s="5" customFormat="1" x14ac:dyDescent="0.4"/>
    <row r="18281" s="5" customFormat="1" x14ac:dyDescent="0.4"/>
    <row r="18282" s="5" customFormat="1" x14ac:dyDescent="0.4"/>
    <row r="18283" s="5" customFormat="1" x14ac:dyDescent="0.4"/>
    <row r="18284" s="5" customFormat="1" x14ac:dyDescent="0.4"/>
    <row r="18285" s="5" customFormat="1" x14ac:dyDescent="0.4"/>
    <row r="18286" s="5" customFormat="1" x14ac:dyDescent="0.4"/>
    <row r="18287" s="5" customFormat="1" x14ac:dyDescent="0.4"/>
    <row r="18288" s="5" customFormat="1" x14ac:dyDescent="0.4"/>
    <row r="18289" s="5" customFormat="1" x14ac:dyDescent="0.4"/>
    <row r="18290" s="5" customFormat="1" x14ac:dyDescent="0.4"/>
    <row r="18291" s="5" customFormat="1" x14ac:dyDescent="0.4"/>
    <row r="18292" s="5" customFormat="1" x14ac:dyDescent="0.4"/>
    <row r="18293" s="5" customFormat="1" x14ac:dyDescent="0.4"/>
    <row r="18294" s="5" customFormat="1" x14ac:dyDescent="0.4"/>
    <row r="18295" s="5" customFormat="1" x14ac:dyDescent="0.4"/>
    <row r="18296" s="5" customFormat="1" x14ac:dyDescent="0.4"/>
    <row r="18297" s="5" customFormat="1" x14ac:dyDescent="0.4"/>
    <row r="18298" s="5" customFormat="1" x14ac:dyDescent="0.4"/>
    <row r="18299" s="5" customFormat="1" x14ac:dyDescent="0.4"/>
    <row r="18300" s="5" customFormat="1" x14ac:dyDescent="0.4"/>
    <row r="18301" s="5" customFormat="1" x14ac:dyDescent="0.4"/>
    <row r="18302" s="5" customFormat="1" x14ac:dyDescent="0.4"/>
    <row r="18303" s="5" customFormat="1" x14ac:dyDescent="0.4"/>
    <row r="18304" s="5" customFormat="1" x14ac:dyDescent="0.4"/>
    <row r="18305" s="5" customFormat="1" x14ac:dyDescent="0.4"/>
    <row r="18306" s="5" customFormat="1" x14ac:dyDescent="0.4"/>
    <row r="18307" s="5" customFormat="1" x14ac:dyDescent="0.4"/>
    <row r="18308" s="5" customFormat="1" x14ac:dyDescent="0.4"/>
    <row r="18309" s="5" customFormat="1" x14ac:dyDescent="0.4"/>
    <row r="18310" s="5" customFormat="1" x14ac:dyDescent="0.4"/>
    <row r="18311" s="5" customFormat="1" x14ac:dyDescent="0.4"/>
    <row r="18312" s="5" customFormat="1" x14ac:dyDescent="0.4"/>
    <row r="18313" s="5" customFormat="1" x14ac:dyDescent="0.4"/>
    <row r="18314" s="5" customFormat="1" x14ac:dyDescent="0.4"/>
    <row r="18315" s="5" customFormat="1" x14ac:dyDescent="0.4"/>
    <row r="18316" s="5" customFormat="1" x14ac:dyDescent="0.4"/>
    <row r="18317" s="5" customFormat="1" x14ac:dyDescent="0.4"/>
    <row r="18318" s="5" customFormat="1" x14ac:dyDescent="0.4"/>
    <row r="18319" s="5" customFormat="1" x14ac:dyDescent="0.4"/>
    <row r="18320" s="5" customFormat="1" x14ac:dyDescent="0.4"/>
    <row r="18321" s="5" customFormat="1" x14ac:dyDescent="0.4"/>
    <row r="18322" s="5" customFormat="1" x14ac:dyDescent="0.4"/>
    <row r="18323" s="5" customFormat="1" x14ac:dyDescent="0.4"/>
    <row r="18324" s="5" customFormat="1" x14ac:dyDescent="0.4"/>
    <row r="18325" s="5" customFormat="1" x14ac:dyDescent="0.4"/>
    <row r="18326" s="5" customFormat="1" x14ac:dyDescent="0.4"/>
    <row r="18327" s="5" customFormat="1" x14ac:dyDescent="0.4"/>
    <row r="18328" s="5" customFormat="1" x14ac:dyDescent="0.4"/>
    <row r="18329" s="5" customFormat="1" x14ac:dyDescent="0.4"/>
    <row r="18330" s="5" customFormat="1" x14ac:dyDescent="0.4"/>
    <row r="18331" s="5" customFormat="1" x14ac:dyDescent="0.4"/>
    <row r="18332" s="5" customFormat="1" x14ac:dyDescent="0.4"/>
    <row r="18333" s="5" customFormat="1" x14ac:dyDescent="0.4"/>
    <row r="18334" s="5" customFormat="1" x14ac:dyDescent="0.4"/>
    <row r="18335" s="5" customFormat="1" x14ac:dyDescent="0.4"/>
    <row r="18336" s="5" customFormat="1" x14ac:dyDescent="0.4"/>
    <row r="18337" s="5" customFormat="1" x14ac:dyDescent="0.4"/>
    <row r="18338" s="5" customFormat="1" x14ac:dyDescent="0.4"/>
    <row r="18339" s="5" customFormat="1" x14ac:dyDescent="0.4"/>
    <row r="18340" s="5" customFormat="1" x14ac:dyDescent="0.4"/>
    <row r="18341" s="5" customFormat="1" x14ac:dyDescent="0.4"/>
    <row r="18342" s="5" customFormat="1" x14ac:dyDescent="0.4"/>
    <row r="18343" s="5" customFormat="1" x14ac:dyDescent="0.4"/>
    <row r="18344" s="5" customFormat="1" x14ac:dyDescent="0.4"/>
    <row r="18345" s="5" customFormat="1" x14ac:dyDescent="0.4"/>
    <row r="18346" s="5" customFormat="1" x14ac:dyDescent="0.4"/>
    <row r="18347" s="5" customFormat="1" x14ac:dyDescent="0.4"/>
    <row r="18348" s="5" customFormat="1" x14ac:dyDescent="0.4"/>
    <row r="18349" s="5" customFormat="1" x14ac:dyDescent="0.4"/>
    <row r="18350" s="5" customFormat="1" x14ac:dyDescent="0.4"/>
    <row r="18351" s="5" customFormat="1" x14ac:dyDescent="0.4"/>
    <row r="18352" s="5" customFormat="1" x14ac:dyDescent="0.4"/>
    <row r="18353" s="5" customFormat="1" x14ac:dyDescent="0.4"/>
    <row r="18354" s="5" customFormat="1" x14ac:dyDescent="0.4"/>
    <row r="18355" s="5" customFormat="1" x14ac:dyDescent="0.4"/>
    <row r="18356" s="5" customFormat="1" x14ac:dyDescent="0.4"/>
    <row r="18357" s="5" customFormat="1" x14ac:dyDescent="0.4"/>
    <row r="18358" s="5" customFormat="1" x14ac:dyDescent="0.4"/>
    <row r="18359" s="5" customFormat="1" x14ac:dyDescent="0.4"/>
    <row r="18360" s="5" customFormat="1" x14ac:dyDescent="0.4"/>
    <row r="18361" s="5" customFormat="1" x14ac:dyDescent="0.4"/>
    <row r="18362" s="5" customFormat="1" x14ac:dyDescent="0.4"/>
    <row r="18363" s="5" customFormat="1" x14ac:dyDescent="0.4"/>
    <row r="18364" s="5" customFormat="1" x14ac:dyDescent="0.4"/>
    <row r="18365" s="5" customFormat="1" x14ac:dyDescent="0.4"/>
    <row r="18366" s="5" customFormat="1" x14ac:dyDescent="0.4"/>
    <row r="18367" s="5" customFormat="1" x14ac:dyDescent="0.4"/>
    <row r="18368" s="5" customFormat="1" x14ac:dyDescent="0.4"/>
    <row r="18369" s="5" customFormat="1" x14ac:dyDescent="0.4"/>
    <row r="18370" s="5" customFormat="1" x14ac:dyDescent="0.4"/>
    <row r="18371" s="5" customFormat="1" x14ac:dyDescent="0.4"/>
    <row r="18372" s="5" customFormat="1" x14ac:dyDescent="0.4"/>
    <row r="18373" s="5" customFormat="1" x14ac:dyDescent="0.4"/>
    <row r="18374" s="5" customFormat="1" x14ac:dyDescent="0.4"/>
    <row r="18375" s="5" customFormat="1" x14ac:dyDescent="0.4"/>
    <row r="18376" s="5" customFormat="1" x14ac:dyDescent="0.4"/>
    <row r="18377" s="5" customFormat="1" x14ac:dyDescent="0.4"/>
    <row r="18378" s="5" customFormat="1" x14ac:dyDescent="0.4"/>
    <row r="18379" s="5" customFormat="1" x14ac:dyDescent="0.4"/>
    <row r="18380" s="5" customFormat="1" x14ac:dyDescent="0.4"/>
    <row r="18381" s="5" customFormat="1" x14ac:dyDescent="0.4"/>
    <row r="18382" s="5" customFormat="1" x14ac:dyDescent="0.4"/>
    <row r="18383" s="5" customFormat="1" x14ac:dyDescent="0.4"/>
    <row r="18384" s="5" customFormat="1" x14ac:dyDescent="0.4"/>
    <row r="18385" s="5" customFormat="1" x14ac:dyDescent="0.4"/>
    <row r="18386" s="5" customFormat="1" x14ac:dyDescent="0.4"/>
    <row r="18387" s="5" customFormat="1" x14ac:dyDescent="0.4"/>
    <row r="18388" s="5" customFormat="1" x14ac:dyDescent="0.4"/>
    <row r="18389" s="5" customFormat="1" x14ac:dyDescent="0.4"/>
    <row r="18390" s="5" customFormat="1" x14ac:dyDescent="0.4"/>
    <row r="18391" s="5" customFormat="1" x14ac:dyDescent="0.4"/>
    <row r="18392" s="5" customFormat="1" x14ac:dyDescent="0.4"/>
    <row r="18393" s="5" customFormat="1" x14ac:dyDescent="0.4"/>
    <row r="18394" s="5" customFormat="1" x14ac:dyDescent="0.4"/>
    <row r="18395" s="5" customFormat="1" x14ac:dyDescent="0.4"/>
    <row r="18396" s="5" customFormat="1" x14ac:dyDescent="0.4"/>
    <row r="18397" s="5" customFormat="1" x14ac:dyDescent="0.4"/>
    <row r="18398" s="5" customFormat="1" x14ac:dyDescent="0.4"/>
    <row r="18399" s="5" customFormat="1" x14ac:dyDescent="0.4"/>
    <row r="18400" s="5" customFormat="1" x14ac:dyDescent="0.4"/>
    <row r="18401" s="5" customFormat="1" x14ac:dyDescent="0.4"/>
    <row r="18402" s="5" customFormat="1" x14ac:dyDescent="0.4"/>
    <row r="18403" s="5" customFormat="1" x14ac:dyDescent="0.4"/>
    <row r="18404" s="5" customFormat="1" x14ac:dyDescent="0.4"/>
    <row r="18405" s="5" customFormat="1" x14ac:dyDescent="0.4"/>
    <row r="18406" s="5" customFormat="1" x14ac:dyDescent="0.4"/>
    <row r="18407" s="5" customFormat="1" x14ac:dyDescent="0.4"/>
    <row r="18408" s="5" customFormat="1" x14ac:dyDescent="0.4"/>
    <row r="18409" s="5" customFormat="1" x14ac:dyDescent="0.4"/>
    <row r="18410" s="5" customFormat="1" x14ac:dyDescent="0.4"/>
    <row r="18411" s="5" customFormat="1" x14ac:dyDescent="0.4"/>
    <row r="18412" s="5" customFormat="1" x14ac:dyDescent="0.4"/>
    <row r="18413" s="5" customFormat="1" x14ac:dyDescent="0.4"/>
    <row r="18414" s="5" customFormat="1" x14ac:dyDescent="0.4"/>
    <row r="18415" s="5" customFormat="1" x14ac:dyDescent="0.4"/>
    <row r="18416" s="5" customFormat="1" x14ac:dyDescent="0.4"/>
    <row r="18417" s="5" customFormat="1" x14ac:dyDescent="0.4"/>
    <row r="18418" s="5" customFormat="1" x14ac:dyDescent="0.4"/>
    <row r="18419" s="5" customFormat="1" x14ac:dyDescent="0.4"/>
    <row r="18420" s="5" customFormat="1" x14ac:dyDescent="0.4"/>
    <row r="18421" s="5" customFormat="1" x14ac:dyDescent="0.4"/>
    <row r="18422" s="5" customFormat="1" x14ac:dyDescent="0.4"/>
    <row r="18423" s="5" customFormat="1" x14ac:dyDescent="0.4"/>
    <row r="18424" s="5" customFormat="1" x14ac:dyDescent="0.4"/>
    <row r="18425" s="5" customFormat="1" x14ac:dyDescent="0.4"/>
    <row r="18426" s="5" customFormat="1" x14ac:dyDescent="0.4"/>
    <row r="18427" s="5" customFormat="1" x14ac:dyDescent="0.4"/>
    <row r="18428" s="5" customFormat="1" x14ac:dyDescent="0.4"/>
    <row r="18429" s="5" customFormat="1" x14ac:dyDescent="0.4"/>
    <row r="18430" s="5" customFormat="1" x14ac:dyDescent="0.4"/>
    <row r="18431" s="5" customFormat="1" x14ac:dyDescent="0.4"/>
    <row r="18432" s="5" customFormat="1" x14ac:dyDescent="0.4"/>
    <row r="18433" s="5" customFormat="1" x14ac:dyDescent="0.4"/>
    <row r="18434" s="5" customFormat="1" x14ac:dyDescent="0.4"/>
    <row r="18435" s="5" customFormat="1" x14ac:dyDescent="0.4"/>
    <row r="18436" s="5" customFormat="1" x14ac:dyDescent="0.4"/>
    <row r="18437" s="5" customFormat="1" x14ac:dyDescent="0.4"/>
    <row r="18438" s="5" customFormat="1" x14ac:dyDescent="0.4"/>
    <row r="18439" s="5" customFormat="1" x14ac:dyDescent="0.4"/>
    <row r="18440" s="5" customFormat="1" x14ac:dyDescent="0.4"/>
    <row r="18441" s="5" customFormat="1" x14ac:dyDescent="0.4"/>
    <row r="18442" s="5" customFormat="1" x14ac:dyDescent="0.4"/>
    <row r="18443" s="5" customFormat="1" x14ac:dyDescent="0.4"/>
    <row r="18444" s="5" customFormat="1" x14ac:dyDescent="0.4"/>
    <row r="18445" s="5" customFormat="1" x14ac:dyDescent="0.4"/>
    <row r="18446" s="5" customFormat="1" x14ac:dyDescent="0.4"/>
    <row r="18447" s="5" customFormat="1" x14ac:dyDescent="0.4"/>
    <row r="18448" s="5" customFormat="1" x14ac:dyDescent="0.4"/>
    <row r="18449" s="5" customFormat="1" x14ac:dyDescent="0.4"/>
    <row r="18450" s="5" customFormat="1" x14ac:dyDescent="0.4"/>
    <row r="18451" s="5" customFormat="1" x14ac:dyDescent="0.4"/>
    <row r="18452" s="5" customFormat="1" x14ac:dyDescent="0.4"/>
    <row r="18453" s="5" customFormat="1" x14ac:dyDescent="0.4"/>
    <row r="18454" s="5" customFormat="1" x14ac:dyDescent="0.4"/>
    <row r="18455" s="5" customFormat="1" x14ac:dyDescent="0.4"/>
    <row r="18456" s="5" customFormat="1" x14ac:dyDescent="0.4"/>
    <row r="18457" s="5" customFormat="1" x14ac:dyDescent="0.4"/>
    <row r="18458" s="5" customFormat="1" x14ac:dyDescent="0.4"/>
    <row r="18459" s="5" customFormat="1" x14ac:dyDescent="0.4"/>
    <row r="18460" s="5" customFormat="1" x14ac:dyDescent="0.4"/>
    <row r="18461" s="5" customFormat="1" x14ac:dyDescent="0.4"/>
    <row r="18462" s="5" customFormat="1" x14ac:dyDescent="0.4"/>
    <row r="18463" s="5" customFormat="1" x14ac:dyDescent="0.4"/>
    <row r="18464" s="5" customFormat="1" x14ac:dyDescent="0.4"/>
    <row r="18465" s="5" customFormat="1" x14ac:dyDescent="0.4"/>
    <row r="18466" s="5" customFormat="1" x14ac:dyDescent="0.4"/>
    <row r="18467" s="5" customFormat="1" x14ac:dyDescent="0.4"/>
    <row r="18468" s="5" customFormat="1" x14ac:dyDescent="0.4"/>
    <row r="18469" s="5" customFormat="1" x14ac:dyDescent="0.4"/>
    <row r="18470" s="5" customFormat="1" x14ac:dyDescent="0.4"/>
    <row r="18471" s="5" customFormat="1" x14ac:dyDescent="0.4"/>
    <row r="18472" s="5" customFormat="1" x14ac:dyDescent="0.4"/>
    <row r="18473" s="5" customFormat="1" x14ac:dyDescent="0.4"/>
    <row r="18474" s="5" customFormat="1" x14ac:dyDescent="0.4"/>
    <row r="18475" s="5" customFormat="1" x14ac:dyDescent="0.4"/>
    <row r="18476" s="5" customFormat="1" x14ac:dyDescent="0.4"/>
    <row r="18477" s="5" customFormat="1" x14ac:dyDescent="0.4"/>
    <row r="18478" s="5" customFormat="1" x14ac:dyDescent="0.4"/>
    <row r="18479" s="5" customFormat="1" x14ac:dyDescent="0.4"/>
    <row r="18480" s="5" customFormat="1" x14ac:dyDescent="0.4"/>
    <row r="18481" s="5" customFormat="1" x14ac:dyDescent="0.4"/>
    <row r="18482" s="5" customFormat="1" x14ac:dyDescent="0.4"/>
    <row r="18483" s="5" customFormat="1" x14ac:dyDescent="0.4"/>
    <row r="18484" s="5" customFormat="1" x14ac:dyDescent="0.4"/>
    <row r="18485" s="5" customFormat="1" x14ac:dyDescent="0.4"/>
    <row r="18486" s="5" customFormat="1" x14ac:dyDescent="0.4"/>
    <row r="18487" s="5" customFormat="1" x14ac:dyDescent="0.4"/>
    <row r="18488" s="5" customFormat="1" x14ac:dyDescent="0.4"/>
    <row r="18489" s="5" customFormat="1" x14ac:dyDescent="0.4"/>
    <row r="18490" s="5" customFormat="1" x14ac:dyDescent="0.4"/>
    <row r="18491" s="5" customFormat="1" x14ac:dyDescent="0.4"/>
    <row r="18492" s="5" customFormat="1" x14ac:dyDescent="0.4"/>
    <row r="18493" s="5" customFormat="1" x14ac:dyDescent="0.4"/>
    <row r="18494" s="5" customFormat="1" x14ac:dyDescent="0.4"/>
    <row r="18495" s="5" customFormat="1" x14ac:dyDescent="0.4"/>
    <row r="18496" s="5" customFormat="1" x14ac:dyDescent="0.4"/>
    <row r="18497" s="5" customFormat="1" x14ac:dyDescent="0.4"/>
    <row r="18498" s="5" customFormat="1" x14ac:dyDescent="0.4"/>
    <row r="18499" s="5" customFormat="1" x14ac:dyDescent="0.4"/>
    <row r="18500" s="5" customFormat="1" x14ac:dyDescent="0.4"/>
    <row r="18501" s="5" customFormat="1" x14ac:dyDescent="0.4"/>
    <row r="18502" s="5" customFormat="1" x14ac:dyDescent="0.4"/>
    <row r="18503" s="5" customFormat="1" x14ac:dyDescent="0.4"/>
    <row r="18504" s="5" customFormat="1" x14ac:dyDescent="0.4"/>
    <row r="18505" s="5" customFormat="1" x14ac:dyDescent="0.4"/>
    <row r="18506" s="5" customFormat="1" x14ac:dyDescent="0.4"/>
    <row r="18507" s="5" customFormat="1" x14ac:dyDescent="0.4"/>
    <row r="18508" s="5" customFormat="1" x14ac:dyDescent="0.4"/>
    <row r="18509" s="5" customFormat="1" x14ac:dyDescent="0.4"/>
    <row r="18510" s="5" customFormat="1" x14ac:dyDescent="0.4"/>
    <row r="18511" s="5" customFormat="1" x14ac:dyDescent="0.4"/>
    <row r="18512" s="5" customFormat="1" x14ac:dyDescent="0.4"/>
    <row r="18513" s="5" customFormat="1" x14ac:dyDescent="0.4"/>
    <row r="18514" s="5" customFormat="1" x14ac:dyDescent="0.4"/>
    <row r="18515" s="5" customFormat="1" x14ac:dyDescent="0.4"/>
    <row r="18516" s="5" customFormat="1" x14ac:dyDescent="0.4"/>
    <row r="18517" s="5" customFormat="1" x14ac:dyDescent="0.4"/>
    <row r="18518" s="5" customFormat="1" x14ac:dyDescent="0.4"/>
    <row r="18519" s="5" customFormat="1" x14ac:dyDescent="0.4"/>
    <row r="18520" s="5" customFormat="1" x14ac:dyDescent="0.4"/>
    <row r="18521" s="5" customFormat="1" x14ac:dyDescent="0.4"/>
    <row r="18522" s="5" customFormat="1" x14ac:dyDescent="0.4"/>
    <row r="18523" s="5" customFormat="1" x14ac:dyDescent="0.4"/>
    <row r="18524" s="5" customFormat="1" x14ac:dyDescent="0.4"/>
    <row r="18525" s="5" customFormat="1" x14ac:dyDescent="0.4"/>
    <row r="18526" s="5" customFormat="1" x14ac:dyDescent="0.4"/>
    <row r="18527" s="5" customFormat="1" x14ac:dyDescent="0.4"/>
    <row r="18528" s="5" customFormat="1" x14ac:dyDescent="0.4"/>
    <row r="18529" s="5" customFormat="1" x14ac:dyDescent="0.4"/>
    <row r="18530" s="5" customFormat="1" x14ac:dyDescent="0.4"/>
    <row r="18531" s="5" customFormat="1" x14ac:dyDescent="0.4"/>
    <row r="18532" s="5" customFormat="1" x14ac:dyDescent="0.4"/>
    <row r="18533" s="5" customFormat="1" x14ac:dyDescent="0.4"/>
    <row r="18534" s="5" customFormat="1" x14ac:dyDescent="0.4"/>
    <row r="18535" s="5" customFormat="1" x14ac:dyDescent="0.4"/>
    <row r="18536" s="5" customFormat="1" x14ac:dyDescent="0.4"/>
    <row r="18537" s="5" customFormat="1" x14ac:dyDescent="0.4"/>
    <row r="18538" s="5" customFormat="1" x14ac:dyDescent="0.4"/>
    <row r="18539" s="5" customFormat="1" x14ac:dyDescent="0.4"/>
    <row r="18540" s="5" customFormat="1" x14ac:dyDescent="0.4"/>
    <row r="18541" s="5" customFormat="1" x14ac:dyDescent="0.4"/>
    <row r="18542" s="5" customFormat="1" x14ac:dyDescent="0.4"/>
    <row r="18543" s="5" customFormat="1" x14ac:dyDescent="0.4"/>
    <row r="18544" s="5" customFormat="1" x14ac:dyDescent="0.4"/>
    <row r="18545" s="5" customFormat="1" x14ac:dyDescent="0.4"/>
    <row r="18546" s="5" customFormat="1" x14ac:dyDescent="0.4"/>
    <row r="18547" s="5" customFormat="1" x14ac:dyDescent="0.4"/>
    <row r="18548" s="5" customFormat="1" x14ac:dyDescent="0.4"/>
    <row r="18549" s="5" customFormat="1" x14ac:dyDescent="0.4"/>
    <row r="18550" s="5" customFormat="1" x14ac:dyDescent="0.4"/>
    <row r="18551" s="5" customFormat="1" x14ac:dyDescent="0.4"/>
    <row r="18552" s="5" customFormat="1" x14ac:dyDescent="0.4"/>
    <row r="18553" s="5" customFormat="1" x14ac:dyDescent="0.4"/>
    <row r="18554" s="5" customFormat="1" x14ac:dyDescent="0.4"/>
    <row r="18555" s="5" customFormat="1" x14ac:dyDescent="0.4"/>
    <row r="18556" s="5" customFormat="1" x14ac:dyDescent="0.4"/>
    <row r="18557" s="5" customFormat="1" x14ac:dyDescent="0.4"/>
    <row r="18558" s="5" customFormat="1" x14ac:dyDescent="0.4"/>
    <row r="18559" s="5" customFormat="1" x14ac:dyDescent="0.4"/>
    <row r="18560" s="5" customFormat="1" x14ac:dyDescent="0.4"/>
    <row r="18561" s="5" customFormat="1" x14ac:dyDescent="0.4"/>
    <row r="18562" s="5" customFormat="1" x14ac:dyDescent="0.4"/>
    <row r="18563" s="5" customFormat="1" x14ac:dyDescent="0.4"/>
    <row r="18564" s="5" customFormat="1" x14ac:dyDescent="0.4"/>
    <row r="18565" s="5" customFormat="1" x14ac:dyDescent="0.4"/>
    <row r="18566" s="5" customFormat="1" x14ac:dyDescent="0.4"/>
    <row r="18567" s="5" customFormat="1" x14ac:dyDescent="0.4"/>
    <row r="18568" s="5" customFormat="1" x14ac:dyDescent="0.4"/>
    <row r="18569" s="5" customFormat="1" x14ac:dyDescent="0.4"/>
    <row r="18570" s="5" customFormat="1" x14ac:dyDescent="0.4"/>
    <row r="18571" s="5" customFormat="1" x14ac:dyDescent="0.4"/>
    <row r="18572" s="5" customFormat="1" x14ac:dyDescent="0.4"/>
    <row r="18573" s="5" customFormat="1" x14ac:dyDescent="0.4"/>
    <row r="18574" s="5" customFormat="1" x14ac:dyDescent="0.4"/>
    <row r="18575" s="5" customFormat="1" x14ac:dyDescent="0.4"/>
    <row r="18576" s="5" customFormat="1" x14ac:dyDescent="0.4"/>
    <row r="18577" s="5" customFormat="1" x14ac:dyDescent="0.4"/>
    <row r="18578" s="5" customFormat="1" x14ac:dyDescent="0.4"/>
    <row r="18579" s="5" customFormat="1" x14ac:dyDescent="0.4"/>
    <row r="18580" s="5" customFormat="1" x14ac:dyDescent="0.4"/>
    <row r="18581" s="5" customFormat="1" x14ac:dyDescent="0.4"/>
    <row r="18582" s="5" customFormat="1" x14ac:dyDescent="0.4"/>
    <row r="18583" s="5" customFormat="1" x14ac:dyDescent="0.4"/>
    <row r="18584" s="5" customFormat="1" x14ac:dyDescent="0.4"/>
    <row r="18585" s="5" customFormat="1" x14ac:dyDescent="0.4"/>
    <row r="18586" s="5" customFormat="1" x14ac:dyDescent="0.4"/>
    <row r="18587" s="5" customFormat="1" x14ac:dyDescent="0.4"/>
    <row r="18588" s="5" customFormat="1" x14ac:dyDescent="0.4"/>
    <row r="18589" s="5" customFormat="1" x14ac:dyDescent="0.4"/>
    <row r="18590" s="5" customFormat="1" x14ac:dyDescent="0.4"/>
    <row r="18591" s="5" customFormat="1" x14ac:dyDescent="0.4"/>
    <row r="18592" s="5" customFormat="1" x14ac:dyDescent="0.4"/>
    <row r="18593" s="5" customFormat="1" x14ac:dyDescent="0.4"/>
    <row r="18594" s="5" customFormat="1" x14ac:dyDescent="0.4"/>
    <row r="18595" s="5" customFormat="1" x14ac:dyDescent="0.4"/>
    <row r="18596" s="5" customFormat="1" x14ac:dyDescent="0.4"/>
    <row r="18597" s="5" customFormat="1" x14ac:dyDescent="0.4"/>
    <row r="18598" s="5" customFormat="1" x14ac:dyDescent="0.4"/>
    <row r="18599" s="5" customFormat="1" x14ac:dyDescent="0.4"/>
    <row r="18600" s="5" customFormat="1" x14ac:dyDescent="0.4"/>
    <row r="18601" s="5" customFormat="1" x14ac:dyDescent="0.4"/>
    <row r="18602" s="5" customFormat="1" x14ac:dyDescent="0.4"/>
    <row r="18603" s="5" customFormat="1" x14ac:dyDescent="0.4"/>
    <row r="18604" s="5" customFormat="1" x14ac:dyDescent="0.4"/>
    <row r="18605" s="5" customFormat="1" x14ac:dyDescent="0.4"/>
    <row r="18606" s="5" customFormat="1" x14ac:dyDescent="0.4"/>
    <row r="18607" s="5" customFormat="1" x14ac:dyDescent="0.4"/>
    <row r="18608" s="5" customFormat="1" x14ac:dyDescent="0.4"/>
    <row r="18609" s="5" customFormat="1" x14ac:dyDescent="0.4"/>
    <row r="18610" s="5" customFormat="1" x14ac:dyDescent="0.4"/>
    <row r="18611" s="5" customFormat="1" x14ac:dyDescent="0.4"/>
    <row r="18612" s="5" customFormat="1" x14ac:dyDescent="0.4"/>
    <row r="18613" s="5" customFormat="1" x14ac:dyDescent="0.4"/>
    <row r="18614" s="5" customFormat="1" x14ac:dyDescent="0.4"/>
    <row r="18615" s="5" customFormat="1" x14ac:dyDescent="0.4"/>
    <row r="18616" s="5" customFormat="1" x14ac:dyDescent="0.4"/>
    <row r="18617" s="5" customFormat="1" x14ac:dyDescent="0.4"/>
    <row r="18618" s="5" customFormat="1" x14ac:dyDescent="0.4"/>
    <row r="18619" s="5" customFormat="1" x14ac:dyDescent="0.4"/>
    <row r="18620" s="5" customFormat="1" x14ac:dyDescent="0.4"/>
    <row r="18621" s="5" customFormat="1" x14ac:dyDescent="0.4"/>
    <row r="18622" s="5" customFormat="1" x14ac:dyDescent="0.4"/>
    <row r="18623" s="5" customFormat="1" x14ac:dyDescent="0.4"/>
    <row r="18624" s="5" customFormat="1" x14ac:dyDescent="0.4"/>
    <row r="18625" s="5" customFormat="1" x14ac:dyDescent="0.4"/>
    <row r="18626" s="5" customFormat="1" x14ac:dyDescent="0.4"/>
    <row r="18627" s="5" customFormat="1" x14ac:dyDescent="0.4"/>
    <row r="18628" s="5" customFormat="1" x14ac:dyDescent="0.4"/>
    <row r="18629" s="5" customFormat="1" x14ac:dyDescent="0.4"/>
    <row r="18630" s="5" customFormat="1" x14ac:dyDescent="0.4"/>
    <row r="18631" s="5" customFormat="1" x14ac:dyDescent="0.4"/>
    <row r="18632" s="5" customFormat="1" x14ac:dyDescent="0.4"/>
    <row r="18633" s="5" customFormat="1" x14ac:dyDescent="0.4"/>
    <row r="18634" s="5" customFormat="1" x14ac:dyDescent="0.4"/>
    <row r="18635" s="5" customFormat="1" x14ac:dyDescent="0.4"/>
    <row r="18636" s="5" customFormat="1" x14ac:dyDescent="0.4"/>
    <row r="18637" s="5" customFormat="1" x14ac:dyDescent="0.4"/>
    <row r="18638" s="5" customFormat="1" x14ac:dyDescent="0.4"/>
    <row r="18639" s="5" customFormat="1" x14ac:dyDescent="0.4"/>
    <row r="18640" s="5" customFormat="1" x14ac:dyDescent="0.4"/>
    <row r="18641" s="5" customFormat="1" x14ac:dyDescent="0.4"/>
    <row r="18642" s="5" customFormat="1" x14ac:dyDescent="0.4"/>
    <row r="18643" s="5" customFormat="1" x14ac:dyDescent="0.4"/>
    <row r="18644" s="5" customFormat="1" x14ac:dyDescent="0.4"/>
    <row r="18645" s="5" customFormat="1" x14ac:dyDescent="0.4"/>
    <row r="18646" s="5" customFormat="1" x14ac:dyDescent="0.4"/>
    <row r="18647" s="5" customFormat="1" x14ac:dyDescent="0.4"/>
    <row r="18648" s="5" customFormat="1" x14ac:dyDescent="0.4"/>
    <row r="18649" s="5" customFormat="1" x14ac:dyDescent="0.4"/>
    <row r="18650" s="5" customFormat="1" x14ac:dyDescent="0.4"/>
    <row r="18651" s="5" customFormat="1" x14ac:dyDescent="0.4"/>
    <row r="18652" s="5" customFormat="1" x14ac:dyDescent="0.4"/>
    <row r="18653" s="5" customFormat="1" x14ac:dyDescent="0.4"/>
    <row r="18654" s="5" customFormat="1" x14ac:dyDescent="0.4"/>
    <row r="18655" s="5" customFormat="1" x14ac:dyDescent="0.4"/>
    <row r="18656" s="5" customFormat="1" x14ac:dyDescent="0.4"/>
    <row r="18657" s="5" customFormat="1" x14ac:dyDescent="0.4"/>
    <row r="18658" s="5" customFormat="1" x14ac:dyDescent="0.4"/>
    <row r="18659" s="5" customFormat="1" x14ac:dyDescent="0.4"/>
    <row r="18660" s="5" customFormat="1" x14ac:dyDescent="0.4"/>
    <row r="18661" s="5" customFormat="1" x14ac:dyDescent="0.4"/>
    <row r="18662" s="5" customFormat="1" x14ac:dyDescent="0.4"/>
    <row r="18663" s="5" customFormat="1" x14ac:dyDescent="0.4"/>
    <row r="18664" s="5" customFormat="1" x14ac:dyDescent="0.4"/>
    <row r="18665" s="5" customFormat="1" x14ac:dyDescent="0.4"/>
    <row r="18666" s="5" customFormat="1" x14ac:dyDescent="0.4"/>
    <row r="18667" s="5" customFormat="1" x14ac:dyDescent="0.4"/>
    <row r="18668" s="5" customFormat="1" x14ac:dyDescent="0.4"/>
    <row r="18669" s="5" customFormat="1" x14ac:dyDescent="0.4"/>
    <row r="18670" s="5" customFormat="1" x14ac:dyDescent="0.4"/>
    <row r="18671" s="5" customFormat="1" x14ac:dyDescent="0.4"/>
    <row r="18672" s="5" customFormat="1" x14ac:dyDescent="0.4"/>
    <row r="18673" s="5" customFormat="1" x14ac:dyDescent="0.4"/>
    <row r="18674" s="5" customFormat="1" x14ac:dyDescent="0.4"/>
    <row r="18675" s="5" customFormat="1" x14ac:dyDescent="0.4"/>
    <row r="18676" s="5" customFormat="1" x14ac:dyDescent="0.4"/>
    <row r="18677" s="5" customFormat="1" x14ac:dyDescent="0.4"/>
    <row r="18678" s="5" customFormat="1" x14ac:dyDescent="0.4"/>
    <row r="18679" s="5" customFormat="1" x14ac:dyDescent="0.4"/>
    <row r="18680" s="5" customFormat="1" x14ac:dyDescent="0.4"/>
    <row r="18681" s="5" customFormat="1" x14ac:dyDescent="0.4"/>
    <row r="18682" s="5" customFormat="1" x14ac:dyDescent="0.4"/>
    <row r="18683" s="5" customFormat="1" x14ac:dyDescent="0.4"/>
    <row r="18684" s="5" customFormat="1" x14ac:dyDescent="0.4"/>
    <row r="18685" s="5" customFormat="1" x14ac:dyDescent="0.4"/>
    <row r="18686" s="5" customFormat="1" x14ac:dyDescent="0.4"/>
    <row r="18687" s="5" customFormat="1" x14ac:dyDescent="0.4"/>
    <row r="18688" s="5" customFormat="1" x14ac:dyDescent="0.4"/>
    <row r="18689" s="5" customFormat="1" x14ac:dyDescent="0.4"/>
    <row r="18690" s="5" customFormat="1" x14ac:dyDescent="0.4"/>
    <row r="18691" s="5" customFormat="1" x14ac:dyDescent="0.4"/>
    <row r="18692" s="5" customFormat="1" x14ac:dyDescent="0.4"/>
    <row r="18693" s="5" customFormat="1" x14ac:dyDescent="0.4"/>
    <row r="18694" s="5" customFormat="1" x14ac:dyDescent="0.4"/>
    <row r="18695" s="5" customFormat="1" x14ac:dyDescent="0.4"/>
    <row r="18696" s="5" customFormat="1" x14ac:dyDescent="0.4"/>
    <row r="18697" s="5" customFormat="1" x14ac:dyDescent="0.4"/>
    <row r="18698" s="5" customFormat="1" x14ac:dyDescent="0.4"/>
    <row r="18699" s="5" customFormat="1" x14ac:dyDescent="0.4"/>
    <row r="18700" s="5" customFormat="1" x14ac:dyDescent="0.4"/>
    <row r="18701" s="5" customFormat="1" x14ac:dyDescent="0.4"/>
    <row r="18702" s="5" customFormat="1" x14ac:dyDescent="0.4"/>
    <row r="18703" s="5" customFormat="1" x14ac:dyDescent="0.4"/>
    <row r="18704" s="5" customFormat="1" x14ac:dyDescent="0.4"/>
    <row r="18705" s="5" customFormat="1" x14ac:dyDescent="0.4"/>
    <row r="18706" s="5" customFormat="1" x14ac:dyDescent="0.4"/>
    <row r="18707" s="5" customFormat="1" x14ac:dyDescent="0.4"/>
    <row r="18708" s="5" customFormat="1" x14ac:dyDescent="0.4"/>
    <row r="18709" s="5" customFormat="1" x14ac:dyDescent="0.4"/>
    <row r="18710" s="5" customFormat="1" x14ac:dyDescent="0.4"/>
    <row r="18711" s="5" customFormat="1" x14ac:dyDescent="0.4"/>
    <row r="18712" s="5" customFormat="1" x14ac:dyDescent="0.4"/>
    <row r="18713" s="5" customFormat="1" x14ac:dyDescent="0.4"/>
    <row r="18714" s="5" customFormat="1" x14ac:dyDescent="0.4"/>
    <row r="18715" s="5" customFormat="1" x14ac:dyDescent="0.4"/>
    <row r="18716" s="5" customFormat="1" x14ac:dyDescent="0.4"/>
    <row r="18717" s="5" customFormat="1" x14ac:dyDescent="0.4"/>
    <row r="18718" s="5" customFormat="1" x14ac:dyDescent="0.4"/>
    <row r="18719" s="5" customFormat="1" x14ac:dyDescent="0.4"/>
    <row r="18720" s="5" customFormat="1" x14ac:dyDescent="0.4"/>
    <row r="18721" s="5" customFormat="1" x14ac:dyDescent="0.4"/>
    <row r="18722" s="5" customFormat="1" x14ac:dyDescent="0.4"/>
    <row r="18723" s="5" customFormat="1" x14ac:dyDescent="0.4"/>
    <row r="18724" s="5" customFormat="1" x14ac:dyDescent="0.4"/>
    <row r="18725" s="5" customFormat="1" x14ac:dyDescent="0.4"/>
    <row r="18726" s="5" customFormat="1" x14ac:dyDescent="0.4"/>
    <row r="18727" s="5" customFormat="1" x14ac:dyDescent="0.4"/>
    <row r="18728" s="5" customFormat="1" x14ac:dyDescent="0.4"/>
    <row r="18729" s="5" customFormat="1" x14ac:dyDescent="0.4"/>
    <row r="18730" s="5" customFormat="1" x14ac:dyDescent="0.4"/>
    <row r="18731" s="5" customFormat="1" x14ac:dyDescent="0.4"/>
    <row r="18732" s="5" customFormat="1" x14ac:dyDescent="0.4"/>
    <row r="18733" s="5" customFormat="1" x14ac:dyDescent="0.4"/>
    <row r="18734" s="5" customFormat="1" x14ac:dyDescent="0.4"/>
    <row r="18735" s="5" customFormat="1" x14ac:dyDescent="0.4"/>
    <row r="18736" s="5" customFormat="1" x14ac:dyDescent="0.4"/>
    <row r="18737" s="5" customFormat="1" x14ac:dyDescent="0.4"/>
    <row r="18738" s="5" customFormat="1" x14ac:dyDescent="0.4"/>
    <row r="18739" s="5" customFormat="1" x14ac:dyDescent="0.4"/>
    <row r="18740" s="5" customFormat="1" x14ac:dyDescent="0.4"/>
    <row r="18741" s="5" customFormat="1" x14ac:dyDescent="0.4"/>
    <row r="18742" s="5" customFormat="1" x14ac:dyDescent="0.4"/>
    <row r="18743" s="5" customFormat="1" x14ac:dyDescent="0.4"/>
    <row r="18744" s="5" customFormat="1" x14ac:dyDescent="0.4"/>
    <row r="18745" s="5" customFormat="1" x14ac:dyDescent="0.4"/>
    <row r="18746" s="5" customFormat="1" x14ac:dyDescent="0.4"/>
    <row r="18747" s="5" customFormat="1" x14ac:dyDescent="0.4"/>
    <row r="18748" s="5" customFormat="1" x14ac:dyDescent="0.4"/>
    <row r="18749" s="5" customFormat="1" x14ac:dyDescent="0.4"/>
    <row r="18750" s="5" customFormat="1" x14ac:dyDescent="0.4"/>
    <row r="18751" s="5" customFormat="1" x14ac:dyDescent="0.4"/>
    <row r="18752" s="5" customFormat="1" x14ac:dyDescent="0.4"/>
    <row r="18753" s="5" customFormat="1" x14ac:dyDescent="0.4"/>
    <row r="18754" s="5" customFormat="1" x14ac:dyDescent="0.4"/>
    <row r="18755" s="5" customFormat="1" x14ac:dyDescent="0.4"/>
    <row r="18756" s="5" customFormat="1" x14ac:dyDescent="0.4"/>
    <row r="18757" s="5" customFormat="1" x14ac:dyDescent="0.4"/>
    <row r="18758" s="5" customFormat="1" x14ac:dyDescent="0.4"/>
    <row r="18759" s="5" customFormat="1" x14ac:dyDescent="0.4"/>
    <row r="18760" s="5" customFormat="1" x14ac:dyDescent="0.4"/>
    <row r="18761" s="5" customFormat="1" x14ac:dyDescent="0.4"/>
    <row r="18762" s="5" customFormat="1" x14ac:dyDescent="0.4"/>
    <row r="18763" s="5" customFormat="1" x14ac:dyDescent="0.4"/>
    <row r="18764" s="5" customFormat="1" x14ac:dyDescent="0.4"/>
    <row r="18765" s="5" customFormat="1" x14ac:dyDescent="0.4"/>
    <row r="18766" s="5" customFormat="1" x14ac:dyDescent="0.4"/>
    <row r="18767" s="5" customFormat="1" x14ac:dyDescent="0.4"/>
    <row r="18768" s="5" customFormat="1" x14ac:dyDescent="0.4"/>
    <row r="18769" s="5" customFormat="1" x14ac:dyDescent="0.4"/>
    <row r="18770" s="5" customFormat="1" x14ac:dyDescent="0.4"/>
    <row r="18771" s="5" customFormat="1" x14ac:dyDescent="0.4"/>
    <row r="18772" s="5" customFormat="1" x14ac:dyDescent="0.4"/>
    <row r="18773" s="5" customFormat="1" x14ac:dyDescent="0.4"/>
    <row r="18774" s="5" customFormat="1" x14ac:dyDescent="0.4"/>
    <row r="18775" s="5" customFormat="1" x14ac:dyDescent="0.4"/>
    <row r="18776" s="5" customFormat="1" x14ac:dyDescent="0.4"/>
    <row r="18777" s="5" customFormat="1" x14ac:dyDescent="0.4"/>
    <row r="18778" s="5" customFormat="1" x14ac:dyDescent="0.4"/>
    <row r="18779" s="5" customFormat="1" x14ac:dyDescent="0.4"/>
    <row r="18780" s="5" customFormat="1" x14ac:dyDescent="0.4"/>
    <row r="18781" s="5" customFormat="1" x14ac:dyDescent="0.4"/>
    <row r="18782" s="5" customFormat="1" x14ac:dyDescent="0.4"/>
    <row r="18783" s="5" customFormat="1" x14ac:dyDescent="0.4"/>
    <row r="18784" s="5" customFormat="1" x14ac:dyDescent="0.4"/>
    <row r="18785" s="5" customFormat="1" x14ac:dyDescent="0.4"/>
    <row r="18786" s="5" customFormat="1" x14ac:dyDescent="0.4"/>
    <row r="18787" s="5" customFormat="1" x14ac:dyDescent="0.4"/>
    <row r="18788" s="5" customFormat="1" x14ac:dyDescent="0.4"/>
    <row r="18789" s="5" customFormat="1" x14ac:dyDescent="0.4"/>
    <row r="18790" s="5" customFormat="1" x14ac:dyDescent="0.4"/>
    <row r="18791" s="5" customFormat="1" x14ac:dyDescent="0.4"/>
    <row r="18792" s="5" customFormat="1" x14ac:dyDescent="0.4"/>
    <row r="18793" s="5" customFormat="1" x14ac:dyDescent="0.4"/>
    <row r="18794" s="5" customFormat="1" x14ac:dyDescent="0.4"/>
    <row r="18795" s="5" customFormat="1" x14ac:dyDescent="0.4"/>
    <row r="18796" s="5" customFormat="1" x14ac:dyDescent="0.4"/>
    <row r="18797" s="5" customFormat="1" x14ac:dyDescent="0.4"/>
    <row r="18798" s="5" customFormat="1" x14ac:dyDescent="0.4"/>
    <row r="18799" s="5" customFormat="1" x14ac:dyDescent="0.4"/>
    <row r="18800" s="5" customFormat="1" x14ac:dyDescent="0.4"/>
    <row r="18801" s="5" customFormat="1" x14ac:dyDescent="0.4"/>
    <row r="18802" s="5" customFormat="1" x14ac:dyDescent="0.4"/>
    <row r="18803" s="5" customFormat="1" x14ac:dyDescent="0.4"/>
    <row r="18804" s="5" customFormat="1" x14ac:dyDescent="0.4"/>
    <row r="18805" s="5" customFormat="1" x14ac:dyDescent="0.4"/>
    <row r="18806" s="5" customFormat="1" x14ac:dyDescent="0.4"/>
    <row r="18807" s="5" customFormat="1" x14ac:dyDescent="0.4"/>
    <row r="18808" s="5" customFormat="1" x14ac:dyDescent="0.4"/>
    <row r="18809" s="5" customFormat="1" x14ac:dyDescent="0.4"/>
    <row r="18810" s="5" customFormat="1" x14ac:dyDescent="0.4"/>
    <row r="18811" s="5" customFormat="1" x14ac:dyDescent="0.4"/>
    <row r="18812" s="5" customFormat="1" x14ac:dyDescent="0.4"/>
    <row r="18813" s="5" customFormat="1" x14ac:dyDescent="0.4"/>
    <row r="18814" s="5" customFormat="1" x14ac:dyDescent="0.4"/>
    <row r="18815" s="5" customFormat="1" x14ac:dyDescent="0.4"/>
    <row r="18816" s="5" customFormat="1" x14ac:dyDescent="0.4"/>
    <row r="18817" s="5" customFormat="1" x14ac:dyDescent="0.4"/>
    <row r="18818" s="5" customFormat="1" x14ac:dyDescent="0.4"/>
    <row r="18819" s="5" customFormat="1" x14ac:dyDescent="0.4"/>
    <row r="18820" s="5" customFormat="1" x14ac:dyDescent="0.4"/>
    <row r="18821" s="5" customFormat="1" x14ac:dyDescent="0.4"/>
    <row r="18822" s="5" customFormat="1" x14ac:dyDescent="0.4"/>
    <row r="18823" s="5" customFormat="1" x14ac:dyDescent="0.4"/>
    <row r="18824" s="5" customFormat="1" x14ac:dyDescent="0.4"/>
    <row r="18825" s="5" customFormat="1" x14ac:dyDescent="0.4"/>
    <row r="18826" s="5" customFormat="1" x14ac:dyDescent="0.4"/>
    <row r="18827" s="5" customFormat="1" x14ac:dyDescent="0.4"/>
    <row r="18828" s="5" customFormat="1" x14ac:dyDescent="0.4"/>
    <row r="18829" s="5" customFormat="1" x14ac:dyDescent="0.4"/>
    <row r="18830" s="5" customFormat="1" x14ac:dyDescent="0.4"/>
    <row r="18831" s="5" customFormat="1" x14ac:dyDescent="0.4"/>
    <row r="18832" s="5" customFormat="1" x14ac:dyDescent="0.4"/>
    <row r="18833" s="5" customFormat="1" x14ac:dyDescent="0.4"/>
    <row r="18834" s="5" customFormat="1" x14ac:dyDescent="0.4"/>
    <row r="18835" s="5" customFormat="1" x14ac:dyDescent="0.4"/>
    <row r="18836" s="5" customFormat="1" x14ac:dyDescent="0.4"/>
    <row r="18837" s="5" customFormat="1" x14ac:dyDescent="0.4"/>
    <row r="18838" s="5" customFormat="1" x14ac:dyDescent="0.4"/>
    <row r="18839" s="5" customFormat="1" x14ac:dyDescent="0.4"/>
    <row r="18840" s="5" customFormat="1" x14ac:dyDescent="0.4"/>
    <row r="18841" s="5" customFormat="1" x14ac:dyDescent="0.4"/>
    <row r="18842" s="5" customFormat="1" x14ac:dyDescent="0.4"/>
    <row r="18843" s="5" customFormat="1" x14ac:dyDescent="0.4"/>
    <row r="18844" s="5" customFormat="1" x14ac:dyDescent="0.4"/>
    <row r="18845" s="5" customFormat="1" x14ac:dyDescent="0.4"/>
    <row r="18846" s="5" customFormat="1" x14ac:dyDescent="0.4"/>
    <row r="18847" s="5" customFormat="1" x14ac:dyDescent="0.4"/>
    <row r="18848" s="5" customFormat="1" x14ac:dyDescent="0.4"/>
    <row r="18849" s="5" customFormat="1" x14ac:dyDescent="0.4"/>
    <row r="18850" s="5" customFormat="1" x14ac:dyDescent="0.4"/>
    <row r="18851" s="5" customFormat="1" x14ac:dyDescent="0.4"/>
    <row r="18852" s="5" customFormat="1" x14ac:dyDescent="0.4"/>
    <row r="18853" s="5" customFormat="1" x14ac:dyDescent="0.4"/>
    <row r="18854" s="5" customFormat="1" x14ac:dyDescent="0.4"/>
    <row r="18855" s="5" customFormat="1" x14ac:dyDescent="0.4"/>
    <row r="18856" s="5" customFormat="1" x14ac:dyDescent="0.4"/>
    <row r="18857" s="5" customFormat="1" x14ac:dyDescent="0.4"/>
    <row r="18858" s="5" customFormat="1" x14ac:dyDescent="0.4"/>
    <row r="18859" s="5" customFormat="1" x14ac:dyDescent="0.4"/>
    <row r="18860" s="5" customFormat="1" x14ac:dyDescent="0.4"/>
    <row r="18861" s="5" customFormat="1" x14ac:dyDescent="0.4"/>
    <row r="18862" s="5" customFormat="1" x14ac:dyDescent="0.4"/>
    <row r="18863" s="5" customFormat="1" x14ac:dyDescent="0.4"/>
    <row r="18864" s="5" customFormat="1" x14ac:dyDescent="0.4"/>
    <row r="18865" s="5" customFormat="1" x14ac:dyDescent="0.4"/>
    <row r="18866" s="5" customFormat="1" x14ac:dyDescent="0.4"/>
    <row r="18867" s="5" customFormat="1" x14ac:dyDescent="0.4"/>
    <row r="18868" s="5" customFormat="1" x14ac:dyDescent="0.4"/>
    <row r="18869" s="5" customFormat="1" x14ac:dyDescent="0.4"/>
    <row r="18870" s="5" customFormat="1" x14ac:dyDescent="0.4"/>
    <row r="18871" s="5" customFormat="1" x14ac:dyDescent="0.4"/>
    <row r="18872" s="5" customFormat="1" x14ac:dyDescent="0.4"/>
    <row r="18873" s="5" customFormat="1" x14ac:dyDescent="0.4"/>
    <row r="18874" s="5" customFormat="1" x14ac:dyDescent="0.4"/>
    <row r="18875" s="5" customFormat="1" x14ac:dyDescent="0.4"/>
    <row r="18876" s="5" customFormat="1" x14ac:dyDescent="0.4"/>
    <row r="18877" s="5" customFormat="1" x14ac:dyDescent="0.4"/>
    <row r="18878" s="5" customFormat="1" x14ac:dyDescent="0.4"/>
    <row r="18879" s="5" customFormat="1" x14ac:dyDescent="0.4"/>
    <row r="18880" s="5" customFormat="1" x14ac:dyDescent="0.4"/>
    <row r="18881" s="5" customFormat="1" x14ac:dyDescent="0.4"/>
    <row r="18882" s="5" customFormat="1" x14ac:dyDescent="0.4"/>
    <row r="18883" s="5" customFormat="1" x14ac:dyDescent="0.4"/>
    <row r="18884" s="5" customFormat="1" x14ac:dyDescent="0.4"/>
    <row r="18885" s="5" customFormat="1" x14ac:dyDescent="0.4"/>
    <row r="18886" s="5" customFormat="1" x14ac:dyDescent="0.4"/>
    <row r="18887" s="5" customFormat="1" x14ac:dyDescent="0.4"/>
    <row r="18888" s="5" customFormat="1" x14ac:dyDescent="0.4"/>
    <row r="18889" s="5" customFormat="1" x14ac:dyDescent="0.4"/>
    <row r="18890" s="5" customFormat="1" x14ac:dyDescent="0.4"/>
    <row r="18891" s="5" customFormat="1" x14ac:dyDescent="0.4"/>
    <row r="18892" s="5" customFormat="1" x14ac:dyDescent="0.4"/>
    <row r="18893" s="5" customFormat="1" x14ac:dyDescent="0.4"/>
    <row r="18894" s="5" customFormat="1" x14ac:dyDescent="0.4"/>
    <row r="18895" s="5" customFormat="1" x14ac:dyDescent="0.4"/>
    <row r="18896" s="5" customFormat="1" x14ac:dyDescent="0.4"/>
    <row r="18897" s="5" customFormat="1" x14ac:dyDescent="0.4"/>
    <row r="18898" s="5" customFormat="1" x14ac:dyDescent="0.4"/>
    <row r="18899" s="5" customFormat="1" x14ac:dyDescent="0.4"/>
    <row r="18900" s="5" customFormat="1" x14ac:dyDescent="0.4"/>
    <row r="18901" s="5" customFormat="1" x14ac:dyDescent="0.4"/>
    <row r="18902" s="5" customFormat="1" x14ac:dyDescent="0.4"/>
    <row r="18903" s="5" customFormat="1" x14ac:dyDescent="0.4"/>
    <row r="18904" s="5" customFormat="1" x14ac:dyDescent="0.4"/>
    <row r="18905" s="5" customFormat="1" x14ac:dyDescent="0.4"/>
    <row r="18906" s="5" customFormat="1" x14ac:dyDescent="0.4"/>
    <row r="18907" s="5" customFormat="1" x14ac:dyDescent="0.4"/>
    <row r="18908" s="5" customFormat="1" x14ac:dyDescent="0.4"/>
    <row r="18909" s="5" customFormat="1" x14ac:dyDescent="0.4"/>
    <row r="18910" s="5" customFormat="1" x14ac:dyDescent="0.4"/>
    <row r="18911" s="5" customFormat="1" x14ac:dyDescent="0.4"/>
    <row r="18912" s="5" customFormat="1" x14ac:dyDescent="0.4"/>
    <row r="18913" s="5" customFormat="1" x14ac:dyDescent="0.4"/>
    <row r="18914" s="5" customFormat="1" x14ac:dyDescent="0.4"/>
    <row r="18915" s="5" customFormat="1" x14ac:dyDescent="0.4"/>
    <row r="18916" s="5" customFormat="1" x14ac:dyDescent="0.4"/>
    <row r="18917" s="5" customFormat="1" x14ac:dyDescent="0.4"/>
    <row r="18918" s="5" customFormat="1" x14ac:dyDescent="0.4"/>
    <row r="18919" s="5" customFormat="1" x14ac:dyDescent="0.4"/>
    <row r="18920" s="5" customFormat="1" x14ac:dyDescent="0.4"/>
    <row r="18921" s="5" customFormat="1" x14ac:dyDescent="0.4"/>
    <row r="18922" s="5" customFormat="1" x14ac:dyDescent="0.4"/>
    <row r="18923" s="5" customFormat="1" x14ac:dyDescent="0.4"/>
    <row r="18924" s="5" customFormat="1" x14ac:dyDescent="0.4"/>
    <row r="18925" s="5" customFormat="1" x14ac:dyDescent="0.4"/>
    <row r="18926" s="5" customFormat="1" x14ac:dyDescent="0.4"/>
    <row r="18927" s="5" customFormat="1" x14ac:dyDescent="0.4"/>
    <row r="18928" s="5" customFormat="1" x14ac:dyDescent="0.4"/>
    <row r="18929" s="5" customFormat="1" x14ac:dyDescent="0.4"/>
    <row r="18930" s="5" customFormat="1" x14ac:dyDescent="0.4"/>
    <row r="18931" s="5" customFormat="1" x14ac:dyDescent="0.4"/>
    <row r="18932" s="5" customFormat="1" x14ac:dyDescent="0.4"/>
    <row r="18933" s="5" customFormat="1" x14ac:dyDescent="0.4"/>
    <row r="18934" s="5" customFormat="1" x14ac:dyDescent="0.4"/>
    <row r="18935" s="5" customFormat="1" x14ac:dyDescent="0.4"/>
    <row r="18936" s="5" customFormat="1" x14ac:dyDescent="0.4"/>
    <row r="18937" s="5" customFormat="1" x14ac:dyDescent="0.4"/>
    <row r="18938" s="5" customFormat="1" x14ac:dyDescent="0.4"/>
    <row r="18939" s="5" customFormat="1" x14ac:dyDescent="0.4"/>
    <row r="18940" s="5" customFormat="1" x14ac:dyDescent="0.4"/>
    <row r="18941" s="5" customFormat="1" x14ac:dyDescent="0.4"/>
    <row r="18942" s="5" customFormat="1" x14ac:dyDescent="0.4"/>
    <row r="18943" s="5" customFormat="1" x14ac:dyDescent="0.4"/>
    <row r="18944" s="5" customFormat="1" x14ac:dyDescent="0.4"/>
    <row r="18945" s="5" customFormat="1" x14ac:dyDescent="0.4"/>
    <row r="18946" s="5" customFormat="1" x14ac:dyDescent="0.4"/>
    <row r="18947" s="5" customFormat="1" x14ac:dyDescent="0.4"/>
    <row r="18948" s="5" customFormat="1" x14ac:dyDescent="0.4"/>
    <row r="18949" s="5" customFormat="1" x14ac:dyDescent="0.4"/>
    <row r="18950" s="5" customFormat="1" x14ac:dyDescent="0.4"/>
    <row r="18951" s="5" customFormat="1" x14ac:dyDescent="0.4"/>
    <row r="18952" s="5" customFormat="1" x14ac:dyDescent="0.4"/>
    <row r="18953" s="5" customFormat="1" x14ac:dyDescent="0.4"/>
    <row r="18954" s="5" customFormat="1" x14ac:dyDescent="0.4"/>
    <row r="18955" s="5" customFormat="1" x14ac:dyDescent="0.4"/>
    <row r="18956" s="5" customFormat="1" x14ac:dyDescent="0.4"/>
    <row r="18957" s="5" customFormat="1" x14ac:dyDescent="0.4"/>
    <row r="18958" s="5" customFormat="1" x14ac:dyDescent="0.4"/>
    <row r="18959" s="5" customFormat="1" x14ac:dyDescent="0.4"/>
    <row r="18960" s="5" customFormat="1" x14ac:dyDescent="0.4"/>
    <row r="18961" s="5" customFormat="1" x14ac:dyDescent="0.4"/>
    <row r="18962" s="5" customFormat="1" x14ac:dyDescent="0.4"/>
    <row r="18963" s="5" customFormat="1" x14ac:dyDescent="0.4"/>
    <row r="18964" s="5" customFormat="1" x14ac:dyDescent="0.4"/>
    <row r="18965" s="5" customFormat="1" x14ac:dyDescent="0.4"/>
    <row r="18966" s="5" customFormat="1" x14ac:dyDescent="0.4"/>
    <row r="18967" s="5" customFormat="1" x14ac:dyDescent="0.4"/>
    <row r="18968" s="5" customFormat="1" x14ac:dyDescent="0.4"/>
    <row r="18969" s="5" customFormat="1" x14ac:dyDescent="0.4"/>
    <row r="18970" s="5" customFormat="1" x14ac:dyDescent="0.4"/>
    <row r="18971" s="5" customFormat="1" x14ac:dyDescent="0.4"/>
    <row r="18972" s="5" customFormat="1" x14ac:dyDescent="0.4"/>
    <row r="18973" s="5" customFormat="1" x14ac:dyDescent="0.4"/>
    <row r="18974" s="5" customFormat="1" x14ac:dyDescent="0.4"/>
    <row r="18975" s="5" customFormat="1" x14ac:dyDescent="0.4"/>
    <row r="18976" s="5" customFormat="1" x14ac:dyDescent="0.4"/>
    <row r="18977" s="5" customFormat="1" x14ac:dyDescent="0.4"/>
    <row r="18978" s="5" customFormat="1" x14ac:dyDescent="0.4"/>
    <row r="18979" s="5" customFormat="1" x14ac:dyDescent="0.4"/>
    <row r="18980" s="5" customFormat="1" x14ac:dyDescent="0.4"/>
    <row r="18981" s="5" customFormat="1" x14ac:dyDescent="0.4"/>
    <row r="18982" s="5" customFormat="1" x14ac:dyDescent="0.4"/>
    <row r="18983" s="5" customFormat="1" x14ac:dyDescent="0.4"/>
    <row r="18984" s="5" customFormat="1" x14ac:dyDescent="0.4"/>
    <row r="18985" s="5" customFormat="1" x14ac:dyDescent="0.4"/>
    <row r="18986" s="5" customFormat="1" x14ac:dyDescent="0.4"/>
    <row r="18987" s="5" customFormat="1" x14ac:dyDescent="0.4"/>
    <row r="18988" s="5" customFormat="1" x14ac:dyDescent="0.4"/>
    <row r="18989" s="5" customFormat="1" x14ac:dyDescent="0.4"/>
    <row r="18990" s="5" customFormat="1" x14ac:dyDescent="0.4"/>
    <row r="18991" s="5" customFormat="1" x14ac:dyDescent="0.4"/>
    <row r="18992" s="5" customFormat="1" x14ac:dyDescent="0.4"/>
    <row r="18993" s="5" customFormat="1" x14ac:dyDescent="0.4"/>
    <row r="18994" s="5" customFormat="1" x14ac:dyDescent="0.4"/>
    <row r="18995" s="5" customFormat="1" x14ac:dyDescent="0.4"/>
    <row r="18996" s="5" customFormat="1" x14ac:dyDescent="0.4"/>
    <row r="18997" s="5" customFormat="1" x14ac:dyDescent="0.4"/>
    <row r="18998" s="5" customFormat="1" x14ac:dyDescent="0.4"/>
    <row r="18999" s="5" customFormat="1" x14ac:dyDescent="0.4"/>
    <row r="19000" s="5" customFormat="1" x14ac:dyDescent="0.4"/>
    <row r="19001" s="5" customFormat="1" x14ac:dyDescent="0.4"/>
    <row r="19002" s="5" customFormat="1" x14ac:dyDescent="0.4"/>
    <row r="19003" s="5" customFormat="1" x14ac:dyDescent="0.4"/>
    <row r="19004" s="5" customFormat="1" x14ac:dyDescent="0.4"/>
    <row r="19005" s="5" customFormat="1" x14ac:dyDescent="0.4"/>
    <row r="19006" s="5" customFormat="1" x14ac:dyDescent="0.4"/>
    <row r="19007" s="5" customFormat="1" x14ac:dyDescent="0.4"/>
    <row r="19008" s="5" customFormat="1" x14ac:dyDescent="0.4"/>
    <row r="19009" s="5" customFormat="1" x14ac:dyDescent="0.4"/>
    <row r="19010" s="5" customFormat="1" x14ac:dyDescent="0.4"/>
    <row r="19011" s="5" customFormat="1" x14ac:dyDescent="0.4"/>
    <row r="19012" s="5" customFormat="1" x14ac:dyDescent="0.4"/>
    <row r="19013" s="5" customFormat="1" x14ac:dyDescent="0.4"/>
    <row r="19014" s="5" customFormat="1" x14ac:dyDescent="0.4"/>
    <row r="19015" s="5" customFormat="1" x14ac:dyDescent="0.4"/>
    <row r="19016" s="5" customFormat="1" x14ac:dyDescent="0.4"/>
    <row r="19017" s="5" customFormat="1" x14ac:dyDescent="0.4"/>
    <row r="19018" s="5" customFormat="1" x14ac:dyDescent="0.4"/>
    <row r="19019" s="5" customFormat="1" x14ac:dyDescent="0.4"/>
    <row r="19020" s="5" customFormat="1" x14ac:dyDescent="0.4"/>
    <row r="19021" s="5" customFormat="1" x14ac:dyDescent="0.4"/>
    <row r="19022" s="5" customFormat="1" x14ac:dyDescent="0.4"/>
    <row r="19023" s="5" customFormat="1" x14ac:dyDescent="0.4"/>
    <row r="19024" s="5" customFormat="1" x14ac:dyDescent="0.4"/>
    <row r="19025" s="5" customFormat="1" x14ac:dyDescent="0.4"/>
    <row r="19026" s="5" customFormat="1" x14ac:dyDescent="0.4"/>
    <row r="19027" s="5" customFormat="1" x14ac:dyDescent="0.4"/>
    <row r="19028" s="5" customFormat="1" x14ac:dyDescent="0.4"/>
    <row r="19029" s="5" customFormat="1" x14ac:dyDescent="0.4"/>
    <row r="19030" s="5" customFormat="1" x14ac:dyDescent="0.4"/>
    <row r="19031" s="5" customFormat="1" x14ac:dyDescent="0.4"/>
    <row r="19032" s="5" customFormat="1" x14ac:dyDescent="0.4"/>
    <row r="19033" s="5" customFormat="1" x14ac:dyDescent="0.4"/>
    <row r="19034" s="5" customFormat="1" x14ac:dyDescent="0.4"/>
    <row r="19035" s="5" customFormat="1" x14ac:dyDescent="0.4"/>
    <row r="19036" s="5" customFormat="1" x14ac:dyDescent="0.4"/>
    <row r="19037" s="5" customFormat="1" x14ac:dyDescent="0.4"/>
    <row r="19038" s="5" customFormat="1" x14ac:dyDescent="0.4"/>
    <row r="19039" s="5" customFormat="1" x14ac:dyDescent="0.4"/>
    <row r="19040" s="5" customFormat="1" x14ac:dyDescent="0.4"/>
    <row r="19041" s="5" customFormat="1" x14ac:dyDescent="0.4"/>
    <row r="19042" s="5" customFormat="1" x14ac:dyDescent="0.4"/>
    <row r="19043" s="5" customFormat="1" x14ac:dyDescent="0.4"/>
    <row r="19044" s="5" customFormat="1" x14ac:dyDescent="0.4"/>
    <row r="19045" s="5" customFormat="1" x14ac:dyDescent="0.4"/>
    <row r="19046" s="5" customFormat="1" x14ac:dyDescent="0.4"/>
    <row r="19047" s="5" customFormat="1" x14ac:dyDescent="0.4"/>
    <row r="19048" s="5" customFormat="1" x14ac:dyDescent="0.4"/>
    <row r="19049" s="5" customFormat="1" x14ac:dyDescent="0.4"/>
    <row r="19050" s="5" customFormat="1" x14ac:dyDescent="0.4"/>
    <row r="19051" s="5" customFormat="1" x14ac:dyDescent="0.4"/>
    <row r="19052" s="5" customFormat="1" x14ac:dyDescent="0.4"/>
    <row r="19053" s="5" customFormat="1" x14ac:dyDescent="0.4"/>
    <row r="19054" s="5" customFormat="1" x14ac:dyDescent="0.4"/>
    <row r="19055" s="5" customFormat="1" x14ac:dyDescent="0.4"/>
    <row r="19056" s="5" customFormat="1" x14ac:dyDescent="0.4"/>
    <row r="19057" s="5" customFormat="1" x14ac:dyDescent="0.4"/>
    <row r="19058" s="5" customFormat="1" x14ac:dyDescent="0.4"/>
    <row r="19059" s="5" customFormat="1" x14ac:dyDescent="0.4"/>
    <row r="19060" s="5" customFormat="1" x14ac:dyDescent="0.4"/>
    <row r="19061" s="5" customFormat="1" x14ac:dyDescent="0.4"/>
    <row r="19062" s="5" customFormat="1" x14ac:dyDescent="0.4"/>
    <row r="19063" s="5" customFormat="1" x14ac:dyDescent="0.4"/>
    <row r="19064" s="5" customFormat="1" x14ac:dyDescent="0.4"/>
    <row r="19065" s="5" customFormat="1" x14ac:dyDescent="0.4"/>
    <row r="19066" s="5" customFormat="1" x14ac:dyDescent="0.4"/>
    <row r="19067" s="5" customFormat="1" x14ac:dyDescent="0.4"/>
    <row r="19068" s="5" customFormat="1" x14ac:dyDescent="0.4"/>
    <row r="19069" s="5" customFormat="1" x14ac:dyDescent="0.4"/>
    <row r="19070" s="5" customFormat="1" x14ac:dyDescent="0.4"/>
    <row r="19071" s="5" customFormat="1" x14ac:dyDescent="0.4"/>
    <row r="19072" s="5" customFormat="1" x14ac:dyDescent="0.4"/>
    <row r="19073" s="5" customFormat="1" x14ac:dyDescent="0.4"/>
    <row r="19074" s="5" customFormat="1" x14ac:dyDescent="0.4"/>
    <row r="19075" s="5" customFormat="1" x14ac:dyDescent="0.4"/>
    <row r="19076" s="5" customFormat="1" x14ac:dyDescent="0.4"/>
    <row r="19077" s="5" customFormat="1" x14ac:dyDescent="0.4"/>
    <row r="19078" s="5" customFormat="1" x14ac:dyDescent="0.4"/>
    <row r="19079" s="5" customFormat="1" x14ac:dyDescent="0.4"/>
    <row r="19080" s="5" customFormat="1" x14ac:dyDescent="0.4"/>
    <row r="19081" s="5" customFormat="1" x14ac:dyDescent="0.4"/>
    <row r="19082" s="5" customFormat="1" x14ac:dyDescent="0.4"/>
    <row r="19083" s="5" customFormat="1" x14ac:dyDescent="0.4"/>
    <row r="19084" s="5" customFormat="1" x14ac:dyDescent="0.4"/>
    <row r="19085" s="5" customFormat="1" x14ac:dyDescent="0.4"/>
    <row r="19086" s="5" customFormat="1" x14ac:dyDescent="0.4"/>
    <row r="19087" s="5" customFormat="1" x14ac:dyDescent="0.4"/>
    <row r="19088" s="5" customFormat="1" x14ac:dyDescent="0.4"/>
    <row r="19089" s="5" customFormat="1" x14ac:dyDescent="0.4"/>
    <row r="19090" s="5" customFormat="1" x14ac:dyDescent="0.4"/>
    <row r="19091" s="5" customFormat="1" x14ac:dyDescent="0.4"/>
    <row r="19092" s="5" customFormat="1" x14ac:dyDescent="0.4"/>
    <row r="19093" s="5" customFormat="1" x14ac:dyDescent="0.4"/>
    <row r="19094" s="5" customFormat="1" x14ac:dyDescent="0.4"/>
    <row r="19095" s="5" customFormat="1" x14ac:dyDescent="0.4"/>
    <row r="19096" s="5" customFormat="1" x14ac:dyDescent="0.4"/>
    <row r="19097" s="5" customFormat="1" x14ac:dyDescent="0.4"/>
    <row r="19098" s="5" customFormat="1" x14ac:dyDescent="0.4"/>
    <row r="19099" s="5" customFormat="1" x14ac:dyDescent="0.4"/>
    <row r="19100" s="5" customFormat="1" x14ac:dyDescent="0.4"/>
    <row r="19101" s="5" customFormat="1" x14ac:dyDescent="0.4"/>
    <row r="19102" s="5" customFormat="1" x14ac:dyDescent="0.4"/>
    <row r="19103" s="5" customFormat="1" x14ac:dyDescent="0.4"/>
    <row r="19104" s="5" customFormat="1" x14ac:dyDescent="0.4"/>
    <row r="19105" s="5" customFormat="1" x14ac:dyDescent="0.4"/>
    <row r="19106" s="5" customFormat="1" x14ac:dyDescent="0.4"/>
    <row r="19107" s="5" customFormat="1" x14ac:dyDescent="0.4"/>
    <row r="19108" s="5" customFormat="1" x14ac:dyDescent="0.4"/>
    <row r="19109" s="5" customFormat="1" x14ac:dyDescent="0.4"/>
    <row r="19110" s="5" customFormat="1" x14ac:dyDescent="0.4"/>
    <row r="19111" s="5" customFormat="1" x14ac:dyDescent="0.4"/>
    <row r="19112" s="5" customFormat="1" x14ac:dyDescent="0.4"/>
    <row r="19113" s="5" customFormat="1" x14ac:dyDescent="0.4"/>
    <row r="19114" s="5" customFormat="1" x14ac:dyDescent="0.4"/>
    <row r="19115" s="5" customFormat="1" x14ac:dyDescent="0.4"/>
    <row r="19116" s="5" customFormat="1" x14ac:dyDescent="0.4"/>
    <row r="19117" s="5" customFormat="1" x14ac:dyDescent="0.4"/>
    <row r="19118" s="5" customFormat="1" x14ac:dyDescent="0.4"/>
    <row r="19119" s="5" customFormat="1" x14ac:dyDescent="0.4"/>
    <row r="19120" s="5" customFormat="1" x14ac:dyDescent="0.4"/>
    <row r="19121" s="5" customFormat="1" x14ac:dyDescent="0.4"/>
    <row r="19122" s="5" customFormat="1" x14ac:dyDescent="0.4"/>
    <row r="19123" s="5" customFormat="1" x14ac:dyDescent="0.4"/>
    <row r="19124" s="5" customFormat="1" x14ac:dyDescent="0.4"/>
    <row r="19125" s="5" customFormat="1" x14ac:dyDescent="0.4"/>
    <row r="19126" s="5" customFormat="1" x14ac:dyDescent="0.4"/>
    <row r="19127" s="5" customFormat="1" x14ac:dyDescent="0.4"/>
    <row r="19128" s="5" customFormat="1" x14ac:dyDescent="0.4"/>
    <row r="19129" s="5" customFormat="1" x14ac:dyDescent="0.4"/>
    <row r="19130" s="5" customFormat="1" x14ac:dyDescent="0.4"/>
    <row r="19131" s="5" customFormat="1" x14ac:dyDescent="0.4"/>
    <row r="19132" s="5" customFormat="1" x14ac:dyDescent="0.4"/>
    <row r="19133" s="5" customFormat="1" x14ac:dyDescent="0.4"/>
    <row r="19134" s="5" customFormat="1" x14ac:dyDescent="0.4"/>
    <row r="19135" s="5" customFormat="1" x14ac:dyDescent="0.4"/>
    <row r="19136" s="5" customFormat="1" x14ac:dyDescent="0.4"/>
    <row r="19137" s="5" customFormat="1" x14ac:dyDescent="0.4"/>
    <row r="19138" s="5" customFormat="1" x14ac:dyDescent="0.4"/>
    <row r="19139" s="5" customFormat="1" x14ac:dyDescent="0.4"/>
    <row r="19140" s="5" customFormat="1" x14ac:dyDescent="0.4"/>
    <row r="19141" s="5" customFormat="1" x14ac:dyDescent="0.4"/>
    <row r="19142" s="5" customFormat="1" x14ac:dyDescent="0.4"/>
    <row r="19143" s="5" customFormat="1" x14ac:dyDescent="0.4"/>
    <row r="19144" s="5" customFormat="1" x14ac:dyDescent="0.4"/>
    <row r="19145" s="5" customFormat="1" x14ac:dyDescent="0.4"/>
    <row r="19146" s="5" customFormat="1" x14ac:dyDescent="0.4"/>
    <row r="19147" s="5" customFormat="1" x14ac:dyDescent="0.4"/>
    <row r="19148" s="5" customFormat="1" x14ac:dyDescent="0.4"/>
    <row r="19149" s="5" customFormat="1" x14ac:dyDescent="0.4"/>
    <row r="19150" s="5" customFormat="1" x14ac:dyDescent="0.4"/>
    <row r="19151" s="5" customFormat="1" x14ac:dyDescent="0.4"/>
    <row r="19152" s="5" customFormat="1" x14ac:dyDescent="0.4"/>
    <row r="19153" s="5" customFormat="1" x14ac:dyDescent="0.4"/>
    <row r="19154" s="5" customFormat="1" x14ac:dyDescent="0.4"/>
    <row r="19155" s="5" customFormat="1" x14ac:dyDescent="0.4"/>
    <row r="19156" s="5" customFormat="1" x14ac:dyDescent="0.4"/>
    <row r="19157" s="5" customFormat="1" x14ac:dyDescent="0.4"/>
    <row r="19158" s="5" customFormat="1" x14ac:dyDescent="0.4"/>
    <row r="19159" s="5" customFormat="1" x14ac:dyDescent="0.4"/>
    <row r="19160" s="5" customFormat="1" x14ac:dyDescent="0.4"/>
    <row r="19161" s="5" customFormat="1" x14ac:dyDescent="0.4"/>
    <row r="19162" s="5" customFormat="1" x14ac:dyDescent="0.4"/>
    <row r="19163" s="5" customFormat="1" x14ac:dyDescent="0.4"/>
    <row r="19164" s="5" customFormat="1" x14ac:dyDescent="0.4"/>
    <row r="19165" s="5" customFormat="1" x14ac:dyDescent="0.4"/>
    <row r="19166" s="5" customFormat="1" x14ac:dyDescent="0.4"/>
    <row r="19167" s="5" customFormat="1" x14ac:dyDescent="0.4"/>
    <row r="19168" s="5" customFormat="1" x14ac:dyDescent="0.4"/>
    <row r="19169" s="5" customFormat="1" x14ac:dyDescent="0.4"/>
    <row r="19170" s="5" customFormat="1" x14ac:dyDescent="0.4"/>
    <row r="19171" s="5" customFormat="1" x14ac:dyDescent="0.4"/>
    <row r="19172" s="5" customFormat="1" x14ac:dyDescent="0.4"/>
    <row r="19173" s="5" customFormat="1" x14ac:dyDescent="0.4"/>
    <row r="19174" s="5" customFormat="1" x14ac:dyDescent="0.4"/>
    <row r="19175" s="5" customFormat="1" x14ac:dyDescent="0.4"/>
    <row r="19176" s="5" customFormat="1" x14ac:dyDescent="0.4"/>
    <row r="19177" s="5" customFormat="1" x14ac:dyDescent="0.4"/>
    <row r="19178" s="5" customFormat="1" x14ac:dyDescent="0.4"/>
    <row r="19179" s="5" customFormat="1" x14ac:dyDescent="0.4"/>
    <row r="19180" s="5" customFormat="1" x14ac:dyDescent="0.4"/>
    <row r="19181" s="5" customFormat="1" x14ac:dyDescent="0.4"/>
    <row r="19182" s="5" customFormat="1" x14ac:dyDescent="0.4"/>
    <row r="19183" s="5" customFormat="1" x14ac:dyDescent="0.4"/>
    <row r="19184" s="5" customFormat="1" x14ac:dyDescent="0.4"/>
    <row r="19185" s="5" customFormat="1" x14ac:dyDescent="0.4"/>
    <row r="19186" s="5" customFormat="1" x14ac:dyDescent="0.4"/>
    <row r="19187" s="5" customFormat="1" x14ac:dyDescent="0.4"/>
    <row r="19188" s="5" customFormat="1" x14ac:dyDescent="0.4"/>
    <row r="19189" s="5" customFormat="1" x14ac:dyDescent="0.4"/>
    <row r="19190" s="5" customFormat="1" x14ac:dyDescent="0.4"/>
    <row r="19191" s="5" customFormat="1" x14ac:dyDescent="0.4"/>
    <row r="19192" s="5" customFormat="1" x14ac:dyDescent="0.4"/>
    <row r="19193" s="5" customFormat="1" x14ac:dyDescent="0.4"/>
    <row r="19194" s="5" customFormat="1" x14ac:dyDescent="0.4"/>
    <row r="19195" s="5" customFormat="1" x14ac:dyDescent="0.4"/>
    <row r="19196" s="5" customFormat="1" x14ac:dyDescent="0.4"/>
    <row r="19197" s="5" customFormat="1" x14ac:dyDescent="0.4"/>
    <row r="19198" s="5" customFormat="1" x14ac:dyDescent="0.4"/>
    <row r="19199" s="5" customFormat="1" x14ac:dyDescent="0.4"/>
    <row r="19200" s="5" customFormat="1" x14ac:dyDescent="0.4"/>
    <row r="19201" s="5" customFormat="1" x14ac:dyDescent="0.4"/>
    <row r="19202" s="5" customFormat="1" x14ac:dyDescent="0.4"/>
    <row r="19203" s="5" customFormat="1" x14ac:dyDescent="0.4"/>
    <row r="19204" s="5" customFormat="1" x14ac:dyDescent="0.4"/>
    <row r="19205" s="5" customFormat="1" x14ac:dyDescent="0.4"/>
    <row r="19206" s="5" customFormat="1" x14ac:dyDescent="0.4"/>
    <row r="19207" s="5" customFormat="1" x14ac:dyDescent="0.4"/>
    <row r="19208" s="5" customFormat="1" x14ac:dyDescent="0.4"/>
    <row r="19209" s="5" customFormat="1" x14ac:dyDescent="0.4"/>
    <row r="19210" s="5" customFormat="1" x14ac:dyDescent="0.4"/>
    <row r="19211" s="5" customFormat="1" x14ac:dyDescent="0.4"/>
    <row r="19212" s="5" customFormat="1" x14ac:dyDescent="0.4"/>
    <row r="19213" s="5" customFormat="1" x14ac:dyDescent="0.4"/>
    <row r="19214" s="5" customFormat="1" x14ac:dyDescent="0.4"/>
    <row r="19215" s="5" customFormat="1" x14ac:dyDescent="0.4"/>
    <row r="19216" s="5" customFormat="1" x14ac:dyDescent="0.4"/>
    <row r="19217" s="5" customFormat="1" x14ac:dyDescent="0.4"/>
    <row r="19218" s="5" customFormat="1" x14ac:dyDescent="0.4"/>
    <row r="19219" s="5" customFormat="1" x14ac:dyDescent="0.4"/>
    <row r="19220" s="5" customFormat="1" x14ac:dyDescent="0.4"/>
    <row r="19221" s="5" customFormat="1" x14ac:dyDescent="0.4"/>
    <row r="19222" s="5" customFormat="1" x14ac:dyDescent="0.4"/>
    <row r="19223" s="5" customFormat="1" x14ac:dyDescent="0.4"/>
    <row r="19224" s="5" customFormat="1" x14ac:dyDescent="0.4"/>
    <row r="19225" s="5" customFormat="1" x14ac:dyDescent="0.4"/>
    <row r="19226" s="5" customFormat="1" x14ac:dyDescent="0.4"/>
    <row r="19227" s="5" customFormat="1" x14ac:dyDescent="0.4"/>
    <row r="19228" s="5" customFormat="1" x14ac:dyDescent="0.4"/>
    <row r="19229" s="5" customFormat="1" x14ac:dyDescent="0.4"/>
    <row r="19230" s="5" customFormat="1" x14ac:dyDescent="0.4"/>
    <row r="19231" s="5" customFormat="1" x14ac:dyDescent="0.4"/>
    <row r="19232" s="5" customFormat="1" x14ac:dyDescent="0.4"/>
    <row r="19233" s="5" customFormat="1" x14ac:dyDescent="0.4"/>
    <row r="19234" s="5" customFormat="1" x14ac:dyDescent="0.4"/>
    <row r="19235" s="5" customFormat="1" x14ac:dyDescent="0.4"/>
    <row r="19236" s="5" customFormat="1" x14ac:dyDescent="0.4"/>
    <row r="19237" s="5" customFormat="1" x14ac:dyDescent="0.4"/>
    <row r="19238" s="5" customFormat="1" x14ac:dyDescent="0.4"/>
    <row r="19239" s="5" customFormat="1" x14ac:dyDescent="0.4"/>
    <row r="19240" s="5" customFormat="1" x14ac:dyDescent="0.4"/>
    <row r="19241" s="5" customFormat="1" x14ac:dyDescent="0.4"/>
    <row r="19242" s="5" customFormat="1" x14ac:dyDescent="0.4"/>
    <row r="19243" s="5" customFormat="1" x14ac:dyDescent="0.4"/>
    <row r="19244" s="5" customFormat="1" x14ac:dyDescent="0.4"/>
    <row r="19245" s="5" customFormat="1" x14ac:dyDescent="0.4"/>
    <row r="19246" s="5" customFormat="1" x14ac:dyDescent="0.4"/>
    <row r="19247" s="5" customFormat="1" x14ac:dyDescent="0.4"/>
    <row r="19248" s="5" customFormat="1" x14ac:dyDescent="0.4"/>
    <row r="19249" s="5" customFormat="1" x14ac:dyDescent="0.4"/>
    <row r="19250" s="5" customFormat="1" x14ac:dyDescent="0.4"/>
    <row r="19251" s="5" customFormat="1" x14ac:dyDescent="0.4"/>
    <row r="19252" s="5" customFormat="1" x14ac:dyDescent="0.4"/>
    <row r="19253" s="5" customFormat="1" x14ac:dyDescent="0.4"/>
    <row r="19254" s="5" customFormat="1" x14ac:dyDescent="0.4"/>
    <row r="19255" s="5" customFormat="1" x14ac:dyDescent="0.4"/>
    <row r="19256" s="5" customFormat="1" x14ac:dyDescent="0.4"/>
    <row r="19257" s="5" customFormat="1" x14ac:dyDescent="0.4"/>
    <row r="19258" s="5" customFormat="1" x14ac:dyDescent="0.4"/>
    <row r="19259" s="5" customFormat="1" x14ac:dyDescent="0.4"/>
    <row r="19260" s="5" customFormat="1" x14ac:dyDescent="0.4"/>
    <row r="19261" s="5" customFormat="1" x14ac:dyDescent="0.4"/>
    <row r="19262" s="5" customFormat="1" x14ac:dyDescent="0.4"/>
    <row r="19263" s="5" customFormat="1" x14ac:dyDescent="0.4"/>
    <row r="19264" s="5" customFormat="1" x14ac:dyDescent="0.4"/>
    <row r="19265" s="5" customFormat="1" x14ac:dyDescent="0.4"/>
    <row r="19266" s="5" customFormat="1" x14ac:dyDescent="0.4"/>
    <row r="19267" s="5" customFormat="1" x14ac:dyDescent="0.4"/>
    <row r="19268" s="5" customFormat="1" x14ac:dyDescent="0.4"/>
    <row r="19269" s="5" customFormat="1" x14ac:dyDescent="0.4"/>
    <row r="19270" s="5" customFormat="1" x14ac:dyDescent="0.4"/>
    <row r="19271" s="5" customFormat="1" x14ac:dyDescent="0.4"/>
    <row r="19272" s="5" customFormat="1" x14ac:dyDescent="0.4"/>
    <row r="19273" s="5" customFormat="1" x14ac:dyDescent="0.4"/>
    <row r="19274" s="5" customFormat="1" x14ac:dyDescent="0.4"/>
    <row r="19275" s="5" customFormat="1" x14ac:dyDescent="0.4"/>
    <row r="19276" s="5" customFormat="1" x14ac:dyDescent="0.4"/>
    <row r="19277" s="5" customFormat="1" x14ac:dyDescent="0.4"/>
    <row r="19278" s="5" customFormat="1" x14ac:dyDescent="0.4"/>
    <row r="19279" s="5" customFormat="1" x14ac:dyDescent="0.4"/>
    <row r="19280" s="5" customFormat="1" x14ac:dyDescent="0.4"/>
    <row r="19281" s="5" customFormat="1" x14ac:dyDescent="0.4"/>
    <row r="19282" s="5" customFormat="1" x14ac:dyDescent="0.4"/>
    <row r="19283" s="5" customFormat="1" x14ac:dyDescent="0.4"/>
    <row r="19284" s="5" customFormat="1" x14ac:dyDescent="0.4"/>
    <row r="19285" s="5" customFormat="1" x14ac:dyDescent="0.4"/>
    <row r="19286" s="5" customFormat="1" x14ac:dyDescent="0.4"/>
    <row r="19287" s="5" customFormat="1" x14ac:dyDescent="0.4"/>
    <row r="19288" s="5" customFormat="1" x14ac:dyDescent="0.4"/>
    <row r="19289" s="5" customFormat="1" x14ac:dyDescent="0.4"/>
    <row r="19290" s="5" customFormat="1" x14ac:dyDescent="0.4"/>
    <row r="19291" s="5" customFormat="1" x14ac:dyDescent="0.4"/>
    <row r="19292" s="5" customFormat="1" x14ac:dyDescent="0.4"/>
    <row r="19293" s="5" customFormat="1" x14ac:dyDescent="0.4"/>
    <row r="19294" s="5" customFormat="1" x14ac:dyDescent="0.4"/>
    <row r="19295" s="5" customFormat="1" x14ac:dyDescent="0.4"/>
    <row r="19296" s="5" customFormat="1" x14ac:dyDescent="0.4"/>
    <row r="19297" s="5" customFormat="1" x14ac:dyDescent="0.4"/>
    <row r="19298" s="5" customFormat="1" x14ac:dyDescent="0.4"/>
    <row r="19299" s="5" customFormat="1" x14ac:dyDescent="0.4"/>
    <row r="19300" s="5" customFormat="1" x14ac:dyDescent="0.4"/>
    <row r="19301" s="5" customFormat="1" x14ac:dyDescent="0.4"/>
    <row r="19302" s="5" customFormat="1" x14ac:dyDescent="0.4"/>
    <row r="19303" s="5" customFormat="1" x14ac:dyDescent="0.4"/>
    <row r="19304" s="5" customFormat="1" x14ac:dyDescent="0.4"/>
    <row r="19305" s="5" customFormat="1" x14ac:dyDescent="0.4"/>
    <row r="19306" s="5" customFormat="1" x14ac:dyDescent="0.4"/>
    <row r="19307" s="5" customFormat="1" x14ac:dyDescent="0.4"/>
    <row r="19308" s="5" customFormat="1" x14ac:dyDescent="0.4"/>
    <row r="19309" s="5" customFormat="1" x14ac:dyDescent="0.4"/>
    <row r="19310" s="5" customFormat="1" x14ac:dyDescent="0.4"/>
    <row r="19311" s="5" customFormat="1" x14ac:dyDescent="0.4"/>
    <row r="19312" s="5" customFormat="1" x14ac:dyDescent="0.4"/>
    <row r="19313" s="5" customFormat="1" x14ac:dyDescent="0.4"/>
    <row r="19314" s="5" customFormat="1" x14ac:dyDescent="0.4"/>
    <row r="19315" s="5" customFormat="1" x14ac:dyDescent="0.4"/>
    <row r="19316" s="5" customFormat="1" x14ac:dyDescent="0.4"/>
    <row r="19317" s="5" customFormat="1" x14ac:dyDescent="0.4"/>
    <row r="19318" s="5" customFormat="1" x14ac:dyDescent="0.4"/>
    <row r="19319" s="5" customFormat="1" x14ac:dyDescent="0.4"/>
    <row r="19320" s="5" customFormat="1" x14ac:dyDescent="0.4"/>
    <row r="19321" s="5" customFormat="1" x14ac:dyDescent="0.4"/>
    <row r="19322" s="5" customFormat="1" x14ac:dyDescent="0.4"/>
    <row r="19323" s="5" customFormat="1" x14ac:dyDescent="0.4"/>
    <row r="19324" s="5" customFormat="1" x14ac:dyDescent="0.4"/>
    <row r="19325" s="5" customFormat="1" x14ac:dyDescent="0.4"/>
    <row r="19326" s="5" customFormat="1" x14ac:dyDescent="0.4"/>
    <row r="19327" s="5" customFormat="1" x14ac:dyDescent="0.4"/>
    <row r="19328" s="5" customFormat="1" x14ac:dyDescent="0.4"/>
    <row r="19329" s="5" customFormat="1" x14ac:dyDescent="0.4"/>
    <row r="19330" s="5" customFormat="1" x14ac:dyDescent="0.4"/>
    <row r="19331" s="5" customFormat="1" x14ac:dyDescent="0.4"/>
    <row r="19332" s="5" customFormat="1" x14ac:dyDescent="0.4"/>
    <row r="19333" s="5" customFormat="1" x14ac:dyDescent="0.4"/>
    <row r="19334" s="5" customFormat="1" x14ac:dyDescent="0.4"/>
    <row r="19335" s="5" customFormat="1" x14ac:dyDescent="0.4"/>
    <row r="19336" s="5" customFormat="1" x14ac:dyDescent="0.4"/>
    <row r="19337" s="5" customFormat="1" x14ac:dyDescent="0.4"/>
    <row r="19338" s="5" customFormat="1" x14ac:dyDescent="0.4"/>
    <row r="19339" s="5" customFormat="1" x14ac:dyDescent="0.4"/>
    <row r="19340" s="5" customFormat="1" x14ac:dyDescent="0.4"/>
    <row r="19341" s="5" customFormat="1" x14ac:dyDescent="0.4"/>
    <row r="19342" s="5" customFormat="1" x14ac:dyDescent="0.4"/>
    <row r="19343" s="5" customFormat="1" x14ac:dyDescent="0.4"/>
    <row r="19344" s="5" customFormat="1" x14ac:dyDescent="0.4"/>
    <row r="19345" s="5" customFormat="1" x14ac:dyDescent="0.4"/>
    <row r="19346" s="5" customFormat="1" x14ac:dyDescent="0.4"/>
    <row r="19347" s="5" customFormat="1" x14ac:dyDescent="0.4"/>
    <row r="19348" s="5" customFormat="1" x14ac:dyDescent="0.4"/>
    <row r="19349" s="5" customFormat="1" x14ac:dyDescent="0.4"/>
    <row r="19350" s="5" customFormat="1" x14ac:dyDescent="0.4"/>
    <row r="19351" s="5" customFormat="1" x14ac:dyDescent="0.4"/>
    <row r="19352" s="5" customFormat="1" x14ac:dyDescent="0.4"/>
    <row r="19353" s="5" customFormat="1" x14ac:dyDescent="0.4"/>
    <row r="19354" s="5" customFormat="1" x14ac:dyDescent="0.4"/>
    <row r="19355" s="5" customFormat="1" x14ac:dyDescent="0.4"/>
    <row r="19356" s="5" customFormat="1" x14ac:dyDescent="0.4"/>
    <row r="19357" s="5" customFormat="1" x14ac:dyDescent="0.4"/>
    <row r="19358" s="5" customFormat="1" x14ac:dyDescent="0.4"/>
    <row r="19359" s="5" customFormat="1" x14ac:dyDescent="0.4"/>
    <row r="19360" s="5" customFormat="1" x14ac:dyDescent="0.4"/>
    <row r="19361" s="5" customFormat="1" x14ac:dyDescent="0.4"/>
    <row r="19362" s="5" customFormat="1" x14ac:dyDescent="0.4"/>
    <row r="19363" s="5" customFormat="1" x14ac:dyDescent="0.4"/>
    <row r="19364" s="5" customFormat="1" x14ac:dyDescent="0.4"/>
    <row r="19365" s="5" customFormat="1" x14ac:dyDescent="0.4"/>
    <row r="19366" s="5" customFormat="1" x14ac:dyDescent="0.4"/>
    <row r="19367" s="5" customFormat="1" x14ac:dyDescent="0.4"/>
    <row r="19368" s="5" customFormat="1" x14ac:dyDescent="0.4"/>
    <row r="19369" s="5" customFormat="1" x14ac:dyDescent="0.4"/>
    <row r="19370" s="5" customFormat="1" x14ac:dyDescent="0.4"/>
    <row r="19371" s="5" customFormat="1" x14ac:dyDescent="0.4"/>
    <row r="19372" s="5" customFormat="1" x14ac:dyDescent="0.4"/>
    <row r="19373" s="5" customFormat="1" x14ac:dyDescent="0.4"/>
    <row r="19374" s="5" customFormat="1" x14ac:dyDescent="0.4"/>
    <row r="19375" s="5" customFormat="1" x14ac:dyDescent="0.4"/>
    <row r="19376" s="5" customFormat="1" x14ac:dyDescent="0.4"/>
    <row r="19377" s="5" customFormat="1" x14ac:dyDescent="0.4"/>
    <row r="19378" s="5" customFormat="1" x14ac:dyDescent="0.4"/>
    <row r="19379" s="5" customFormat="1" x14ac:dyDescent="0.4"/>
    <row r="19380" s="5" customFormat="1" x14ac:dyDescent="0.4"/>
    <row r="19381" s="5" customFormat="1" x14ac:dyDescent="0.4"/>
    <row r="19382" s="5" customFormat="1" x14ac:dyDescent="0.4"/>
    <row r="19383" s="5" customFormat="1" x14ac:dyDescent="0.4"/>
    <row r="19384" s="5" customFormat="1" x14ac:dyDescent="0.4"/>
    <row r="19385" s="5" customFormat="1" x14ac:dyDescent="0.4"/>
    <row r="19386" s="5" customFormat="1" x14ac:dyDescent="0.4"/>
    <row r="19387" s="5" customFormat="1" x14ac:dyDescent="0.4"/>
    <row r="19388" s="5" customFormat="1" x14ac:dyDescent="0.4"/>
    <row r="19389" s="5" customFormat="1" x14ac:dyDescent="0.4"/>
    <row r="19390" s="5" customFormat="1" x14ac:dyDescent="0.4"/>
    <row r="19391" s="5" customFormat="1" x14ac:dyDescent="0.4"/>
    <row r="19392" s="5" customFormat="1" x14ac:dyDescent="0.4"/>
    <row r="19393" s="5" customFormat="1" x14ac:dyDescent="0.4"/>
    <row r="19394" s="5" customFormat="1" x14ac:dyDescent="0.4"/>
    <row r="19395" s="5" customFormat="1" x14ac:dyDescent="0.4"/>
    <row r="19396" s="5" customFormat="1" x14ac:dyDescent="0.4"/>
    <row r="19397" s="5" customFormat="1" x14ac:dyDescent="0.4"/>
    <row r="19398" s="5" customFormat="1" x14ac:dyDescent="0.4"/>
    <row r="19399" s="5" customFormat="1" x14ac:dyDescent="0.4"/>
    <row r="19400" s="5" customFormat="1" x14ac:dyDescent="0.4"/>
    <row r="19401" s="5" customFormat="1" x14ac:dyDescent="0.4"/>
    <row r="19402" s="5" customFormat="1" x14ac:dyDescent="0.4"/>
    <row r="19403" s="5" customFormat="1" x14ac:dyDescent="0.4"/>
    <row r="19404" s="5" customFormat="1" x14ac:dyDescent="0.4"/>
    <row r="19405" s="5" customFormat="1" x14ac:dyDescent="0.4"/>
    <row r="19406" s="5" customFormat="1" x14ac:dyDescent="0.4"/>
    <row r="19407" s="5" customFormat="1" x14ac:dyDescent="0.4"/>
    <row r="19408" s="5" customFormat="1" x14ac:dyDescent="0.4"/>
    <row r="19409" s="5" customFormat="1" x14ac:dyDescent="0.4"/>
    <row r="19410" s="5" customFormat="1" x14ac:dyDescent="0.4"/>
    <row r="19411" s="5" customFormat="1" x14ac:dyDescent="0.4"/>
    <row r="19412" s="5" customFormat="1" x14ac:dyDescent="0.4"/>
    <row r="19413" s="5" customFormat="1" x14ac:dyDescent="0.4"/>
    <row r="19414" s="5" customFormat="1" x14ac:dyDescent="0.4"/>
    <row r="19415" s="5" customFormat="1" x14ac:dyDescent="0.4"/>
    <row r="19416" s="5" customFormat="1" x14ac:dyDescent="0.4"/>
    <row r="19417" s="5" customFormat="1" x14ac:dyDescent="0.4"/>
    <row r="19418" s="5" customFormat="1" x14ac:dyDescent="0.4"/>
    <row r="19419" s="5" customFormat="1" x14ac:dyDescent="0.4"/>
    <row r="19420" s="5" customFormat="1" x14ac:dyDescent="0.4"/>
    <row r="19421" s="5" customFormat="1" x14ac:dyDescent="0.4"/>
    <row r="19422" s="5" customFormat="1" x14ac:dyDescent="0.4"/>
    <row r="19423" s="5" customFormat="1" x14ac:dyDescent="0.4"/>
    <row r="19424" s="5" customFormat="1" x14ac:dyDescent="0.4"/>
    <row r="19425" s="5" customFormat="1" x14ac:dyDescent="0.4"/>
    <row r="19426" s="5" customFormat="1" x14ac:dyDescent="0.4"/>
    <row r="19427" s="5" customFormat="1" x14ac:dyDescent="0.4"/>
    <row r="19428" s="5" customFormat="1" x14ac:dyDescent="0.4"/>
    <row r="19429" s="5" customFormat="1" x14ac:dyDescent="0.4"/>
    <row r="19430" s="5" customFormat="1" x14ac:dyDescent="0.4"/>
    <row r="19431" s="5" customFormat="1" x14ac:dyDescent="0.4"/>
    <row r="19432" s="5" customFormat="1" x14ac:dyDescent="0.4"/>
    <row r="19433" s="5" customFormat="1" x14ac:dyDescent="0.4"/>
    <row r="19434" s="5" customFormat="1" x14ac:dyDescent="0.4"/>
    <row r="19435" s="5" customFormat="1" x14ac:dyDescent="0.4"/>
    <row r="19436" s="5" customFormat="1" x14ac:dyDescent="0.4"/>
    <row r="19437" s="5" customFormat="1" x14ac:dyDescent="0.4"/>
    <row r="19438" s="5" customFormat="1" x14ac:dyDescent="0.4"/>
    <row r="19439" s="5" customFormat="1" x14ac:dyDescent="0.4"/>
    <row r="19440" s="5" customFormat="1" x14ac:dyDescent="0.4"/>
    <row r="19441" s="5" customFormat="1" x14ac:dyDescent="0.4"/>
    <row r="19442" s="5" customFormat="1" x14ac:dyDescent="0.4"/>
    <row r="19443" s="5" customFormat="1" x14ac:dyDescent="0.4"/>
    <row r="19444" s="5" customFormat="1" x14ac:dyDescent="0.4"/>
    <row r="19445" s="5" customFormat="1" x14ac:dyDescent="0.4"/>
    <row r="19446" s="5" customFormat="1" x14ac:dyDescent="0.4"/>
    <row r="19447" s="5" customFormat="1" x14ac:dyDescent="0.4"/>
    <row r="19448" s="5" customFormat="1" x14ac:dyDescent="0.4"/>
    <row r="19449" s="5" customFormat="1" x14ac:dyDescent="0.4"/>
    <row r="19450" s="5" customFormat="1" x14ac:dyDescent="0.4"/>
    <row r="19451" s="5" customFormat="1" x14ac:dyDescent="0.4"/>
    <row r="19452" s="5" customFormat="1" x14ac:dyDescent="0.4"/>
    <row r="19453" s="5" customFormat="1" x14ac:dyDescent="0.4"/>
    <row r="19454" s="5" customFormat="1" x14ac:dyDescent="0.4"/>
    <row r="19455" s="5" customFormat="1" x14ac:dyDescent="0.4"/>
    <row r="19456" s="5" customFormat="1" x14ac:dyDescent="0.4"/>
    <row r="19457" s="5" customFormat="1" x14ac:dyDescent="0.4"/>
    <row r="19458" s="5" customFormat="1" x14ac:dyDescent="0.4"/>
    <row r="19459" s="5" customFormat="1" x14ac:dyDescent="0.4"/>
    <row r="19460" s="5" customFormat="1" x14ac:dyDescent="0.4"/>
    <row r="19461" s="5" customFormat="1" x14ac:dyDescent="0.4"/>
    <row r="19462" s="5" customFormat="1" x14ac:dyDescent="0.4"/>
    <row r="19463" s="5" customFormat="1" x14ac:dyDescent="0.4"/>
    <row r="19464" s="5" customFormat="1" x14ac:dyDescent="0.4"/>
    <row r="19465" s="5" customFormat="1" x14ac:dyDescent="0.4"/>
    <row r="19466" s="5" customFormat="1" x14ac:dyDescent="0.4"/>
    <row r="19467" s="5" customFormat="1" x14ac:dyDescent="0.4"/>
    <row r="19468" s="5" customFormat="1" x14ac:dyDescent="0.4"/>
    <row r="19469" s="5" customFormat="1" x14ac:dyDescent="0.4"/>
    <row r="19470" s="5" customFormat="1" x14ac:dyDescent="0.4"/>
    <row r="19471" s="5" customFormat="1" x14ac:dyDescent="0.4"/>
    <row r="19472" s="5" customFormat="1" x14ac:dyDescent="0.4"/>
    <row r="19473" s="5" customFormat="1" x14ac:dyDescent="0.4"/>
    <row r="19474" s="5" customFormat="1" x14ac:dyDescent="0.4"/>
    <row r="19475" s="5" customFormat="1" x14ac:dyDescent="0.4"/>
    <row r="19476" s="5" customFormat="1" x14ac:dyDescent="0.4"/>
    <row r="19477" s="5" customFormat="1" x14ac:dyDescent="0.4"/>
    <row r="19478" s="5" customFormat="1" x14ac:dyDescent="0.4"/>
    <row r="19479" s="5" customFormat="1" x14ac:dyDescent="0.4"/>
    <row r="19480" s="5" customFormat="1" x14ac:dyDescent="0.4"/>
    <row r="19481" s="5" customFormat="1" x14ac:dyDescent="0.4"/>
    <row r="19482" s="5" customFormat="1" x14ac:dyDescent="0.4"/>
    <row r="19483" s="5" customFormat="1" x14ac:dyDescent="0.4"/>
    <row r="19484" s="5" customFormat="1" x14ac:dyDescent="0.4"/>
    <row r="19485" s="5" customFormat="1" x14ac:dyDescent="0.4"/>
    <row r="19486" s="5" customFormat="1" x14ac:dyDescent="0.4"/>
    <row r="19487" s="5" customFormat="1" x14ac:dyDescent="0.4"/>
    <row r="19488" s="5" customFormat="1" x14ac:dyDescent="0.4"/>
    <row r="19489" s="5" customFormat="1" x14ac:dyDescent="0.4"/>
    <row r="19490" s="5" customFormat="1" x14ac:dyDescent="0.4"/>
    <row r="19491" s="5" customFormat="1" x14ac:dyDescent="0.4"/>
    <row r="19492" s="5" customFormat="1" x14ac:dyDescent="0.4"/>
    <row r="19493" s="5" customFormat="1" x14ac:dyDescent="0.4"/>
    <row r="19494" s="5" customFormat="1" x14ac:dyDescent="0.4"/>
    <row r="19495" s="5" customFormat="1" x14ac:dyDescent="0.4"/>
    <row r="19496" s="5" customFormat="1" x14ac:dyDescent="0.4"/>
    <row r="19497" s="5" customFormat="1" x14ac:dyDescent="0.4"/>
    <row r="19498" s="5" customFormat="1" x14ac:dyDescent="0.4"/>
    <row r="19499" s="5" customFormat="1" x14ac:dyDescent="0.4"/>
    <row r="19500" s="5" customFormat="1" x14ac:dyDescent="0.4"/>
    <row r="19501" s="5" customFormat="1" x14ac:dyDescent="0.4"/>
    <row r="19502" s="5" customFormat="1" x14ac:dyDescent="0.4"/>
    <row r="19503" s="5" customFormat="1" x14ac:dyDescent="0.4"/>
    <row r="19504" s="5" customFormat="1" x14ac:dyDescent="0.4"/>
    <row r="19505" s="5" customFormat="1" x14ac:dyDescent="0.4"/>
    <row r="19506" s="5" customFormat="1" x14ac:dyDescent="0.4"/>
    <row r="19507" s="5" customFormat="1" x14ac:dyDescent="0.4"/>
    <row r="19508" s="5" customFormat="1" x14ac:dyDescent="0.4"/>
    <row r="19509" s="5" customFormat="1" x14ac:dyDescent="0.4"/>
    <row r="19510" s="5" customFormat="1" x14ac:dyDescent="0.4"/>
    <row r="19511" s="5" customFormat="1" x14ac:dyDescent="0.4"/>
    <row r="19512" s="5" customFormat="1" x14ac:dyDescent="0.4"/>
    <row r="19513" s="5" customFormat="1" x14ac:dyDescent="0.4"/>
    <row r="19514" s="5" customFormat="1" x14ac:dyDescent="0.4"/>
    <row r="19515" s="5" customFormat="1" x14ac:dyDescent="0.4"/>
    <row r="19516" s="5" customFormat="1" x14ac:dyDescent="0.4"/>
    <row r="19517" s="5" customFormat="1" x14ac:dyDescent="0.4"/>
    <row r="19518" s="5" customFormat="1" x14ac:dyDescent="0.4"/>
    <row r="19519" s="5" customFormat="1" x14ac:dyDescent="0.4"/>
    <row r="19520" s="5" customFormat="1" x14ac:dyDescent="0.4"/>
    <row r="19521" s="5" customFormat="1" x14ac:dyDescent="0.4"/>
    <row r="19522" s="5" customFormat="1" x14ac:dyDescent="0.4"/>
    <row r="19523" s="5" customFormat="1" x14ac:dyDescent="0.4"/>
    <row r="19524" s="5" customFormat="1" x14ac:dyDescent="0.4"/>
    <row r="19525" s="5" customFormat="1" x14ac:dyDescent="0.4"/>
    <row r="19526" s="5" customFormat="1" x14ac:dyDescent="0.4"/>
    <row r="19527" s="5" customFormat="1" x14ac:dyDescent="0.4"/>
    <row r="19528" s="5" customFormat="1" x14ac:dyDescent="0.4"/>
    <row r="19529" s="5" customFormat="1" x14ac:dyDescent="0.4"/>
    <row r="19530" s="5" customFormat="1" x14ac:dyDescent="0.4"/>
    <row r="19531" s="5" customFormat="1" x14ac:dyDescent="0.4"/>
    <row r="19532" s="5" customFormat="1" x14ac:dyDescent="0.4"/>
    <row r="19533" s="5" customFormat="1" x14ac:dyDescent="0.4"/>
    <row r="19534" s="5" customFormat="1" x14ac:dyDescent="0.4"/>
    <row r="19535" s="5" customFormat="1" x14ac:dyDescent="0.4"/>
    <row r="19536" s="5" customFormat="1" x14ac:dyDescent="0.4"/>
    <row r="19537" s="5" customFormat="1" x14ac:dyDescent="0.4"/>
    <row r="19538" s="5" customFormat="1" x14ac:dyDescent="0.4"/>
    <row r="19539" s="5" customFormat="1" x14ac:dyDescent="0.4"/>
    <row r="19540" s="5" customFormat="1" x14ac:dyDescent="0.4"/>
    <row r="19541" s="5" customFormat="1" x14ac:dyDescent="0.4"/>
    <row r="19542" s="5" customFormat="1" x14ac:dyDescent="0.4"/>
    <row r="19543" s="5" customFormat="1" x14ac:dyDescent="0.4"/>
    <row r="19544" s="5" customFormat="1" x14ac:dyDescent="0.4"/>
    <row r="19545" s="5" customFormat="1" x14ac:dyDescent="0.4"/>
    <row r="19546" s="5" customFormat="1" x14ac:dyDescent="0.4"/>
    <row r="19547" s="5" customFormat="1" x14ac:dyDescent="0.4"/>
    <row r="19548" s="5" customFormat="1" x14ac:dyDescent="0.4"/>
    <row r="19549" s="5" customFormat="1" x14ac:dyDescent="0.4"/>
    <row r="19550" s="5" customFormat="1" x14ac:dyDescent="0.4"/>
    <row r="19551" s="5" customFormat="1" x14ac:dyDescent="0.4"/>
    <row r="19552" s="5" customFormat="1" x14ac:dyDescent="0.4"/>
    <row r="19553" s="5" customFormat="1" x14ac:dyDescent="0.4"/>
    <row r="19554" s="5" customFormat="1" x14ac:dyDescent="0.4"/>
    <row r="19555" s="5" customFormat="1" x14ac:dyDescent="0.4"/>
    <row r="19556" s="5" customFormat="1" x14ac:dyDescent="0.4"/>
    <row r="19557" s="5" customFormat="1" x14ac:dyDescent="0.4"/>
    <row r="19558" s="5" customFormat="1" x14ac:dyDescent="0.4"/>
    <row r="19559" s="5" customFormat="1" x14ac:dyDescent="0.4"/>
    <row r="19560" s="5" customFormat="1" x14ac:dyDescent="0.4"/>
    <row r="19561" s="5" customFormat="1" x14ac:dyDescent="0.4"/>
    <row r="19562" s="5" customFormat="1" x14ac:dyDescent="0.4"/>
    <row r="19563" s="5" customFormat="1" x14ac:dyDescent="0.4"/>
    <row r="19564" s="5" customFormat="1" x14ac:dyDescent="0.4"/>
    <row r="19565" s="5" customFormat="1" x14ac:dyDescent="0.4"/>
    <row r="19566" s="5" customFormat="1" x14ac:dyDescent="0.4"/>
    <row r="19567" s="5" customFormat="1" x14ac:dyDescent="0.4"/>
    <row r="19568" s="5" customFormat="1" x14ac:dyDescent="0.4"/>
    <row r="19569" s="5" customFormat="1" x14ac:dyDescent="0.4"/>
    <row r="19570" s="5" customFormat="1" x14ac:dyDescent="0.4"/>
    <row r="19571" s="5" customFormat="1" x14ac:dyDescent="0.4"/>
    <row r="19572" s="5" customFormat="1" x14ac:dyDescent="0.4"/>
    <row r="19573" s="5" customFormat="1" x14ac:dyDescent="0.4"/>
    <row r="19574" s="5" customFormat="1" x14ac:dyDescent="0.4"/>
    <row r="19575" s="5" customFormat="1" x14ac:dyDescent="0.4"/>
    <row r="19576" s="5" customFormat="1" x14ac:dyDescent="0.4"/>
    <row r="19577" s="5" customFormat="1" x14ac:dyDescent="0.4"/>
    <row r="19578" s="5" customFormat="1" x14ac:dyDescent="0.4"/>
    <row r="19579" s="5" customFormat="1" x14ac:dyDescent="0.4"/>
    <row r="19580" s="5" customFormat="1" x14ac:dyDescent="0.4"/>
    <row r="19581" s="5" customFormat="1" x14ac:dyDescent="0.4"/>
    <row r="19582" s="5" customFormat="1" x14ac:dyDescent="0.4"/>
    <row r="19583" s="5" customFormat="1" x14ac:dyDescent="0.4"/>
    <row r="19584" s="5" customFormat="1" x14ac:dyDescent="0.4"/>
    <row r="19585" s="5" customFormat="1" x14ac:dyDescent="0.4"/>
    <row r="19586" s="5" customFormat="1" x14ac:dyDescent="0.4"/>
    <row r="19587" s="5" customFormat="1" x14ac:dyDescent="0.4"/>
    <row r="19588" s="5" customFormat="1" x14ac:dyDescent="0.4"/>
    <row r="19589" s="5" customFormat="1" x14ac:dyDescent="0.4"/>
    <row r="19590" s="5" customFormat="1" x14ac:dyDescent="0.4"/>
    <row r="19591" s="5" customFormat="1" x14ac:dyDescent="0.4"/>
    <row r="19592" s="5" customFormat="1" x14ac:dyDescent="0.4"/>
    <row r="19593" s="5" customFormat="1" x14ac:dyDescent="0.4"/>
    <row r="19594" s="5" customFormat="1" x14ac:dyDescent="0.4"/>
    <row r="19595" s="5" customFormat="1" x14ac:dyDescent="0.4"/>
    <row r="19596" s="5" customFormat="1" x14ac:dyDescent="0.4"/>
    <row r="19597" s="5" customFormat="1" x14ac:dyDescent="0.4"/>
    <row r="19598" s="5" customFormat="1" x14ac:dyDescent="0.4"/>
    <row r="19599" s="5" customFormat="1" x14ac:dyDescent="0.4"/>
    <row r="19600" s="5" customFormat="1" x14ac:dyDescent="0.4"/>
    <row r="19601" s="5" customFormat="1" x14ac:dyDescent="0.4"/>
    <row r="19602" s="5" customFormat="1" x14ac:dyDescent="0.4"/>
    <row r="19603" s="5" customFormat="1" x14ac:dyDescent="0.4"/>
    <row r="19604" s="5" customFormat="1" x14ac:dyDescent="0.4"/>
    <row r="19605" s="5" customFormat="1" x14ac:dyDescent="0.4"/>
    <row r="19606" s="5" customFormat="1" x14ac:dyDescent="0.4"/>
    <row r="19607" s="5" customFormat="1" x14ac:dyDescent="0.4"/>
    <row r="19608" s="5" customFormat="1" x14ac:dyDescent="0.4"/>
    <row r="19609" s="5" customFormat="1" x14ac:dyDescent="0.4"/>
    <row r="19610" s="5" customFormat="1" x14ac:dyDescent="0.4"/>
    <row r="19611" s="5" customFormat="1" x14ac:dyDescent="0.4"/>
    <row r="19612" s="5" customFormat="1" x14ac:dyDescent="0.4"/>
    <row r="19613" s="5" customFormat="1" x14ac:dyDescent="0.4"/>
    <row r="19614" s="5" customFormat="1" x14ac:dyDescent="0.4"/>
    <row r="19615" s="5" customFormat="1" x14ac:dyDescent="0.4"/>
    <row r="19616" s="5" customFormat="1" x14ac:dyDescent="0.4"/>
    <row r="19617" s="5" customFormat="1" x14ac:dyDescent="0.4"/>
    <row r="19618" s="5" customFormat="1" x14ac:dyDescent="0.4"/>
    <row r="19619" s="5" customFormat="1" x14ac:dyDescent="0.4"/>
    <row r="19620" s="5" customFormat="1" x14ac:dyDescent="0.4"/>
    <row r="19621" s="5" customFormat="1" x14ac:dyDescent="0.4"/>
    <row r="19622" s="5" customFormat="1" x14ac:dyDescent="0.4"/>
    <row r="19623" s="5" customFormat="1" x14ac:dyDescent="0.4"/>
    <row r="19624" s="5" customFormat="1" x14ac:dyDescent="0.4"/>
    <row r="19625" s="5" customFormat="1" x14ac:dyDescent="0.4"/>
    <row r="19626" s="5" customFormat="1" x14ac:dyDescent="0.4"/>
    <row r="19627" s="5" customFormat="1" x14ac:dyDescent="0.4"/>
    <row r="19628" s="5" customFormat="1" x14ac:dyDescent="0.4"/>
    <row r="19629" s="5" customFormat="1" x14ac:dyDescent="0.4"/>
    <row r="19630" s="5" customFormat="1" x14ac:dyDescent="0.4"/>
    <row r="19631" s="5" customFormat="1" x14ac:dyDescent="0.4"/>
    <row r="19632" s="5" customFormat="1" x14ac:dyDescent="0.4"/>
    <row r="19633" s="5" customFormat="1" x14ac:dyDescent="0.4"/>
    <row r="19634" s="5" customFormat="1" x14ac:dyDescent="0.4"/>
    <row r="19635" s="5" customFormat="1" x14ac:dyDescent="0.4"/>
    <row r="19636" s="5" customFormat="1" x14ac:dyDescent="0.4"/>
    <row r="19637" s="5" customFormat="1" x14ac:dyDescent="0.4"/>
    <row r="19638" s="5" customFormat="1" x14ac:dyDescent="0.4"/>
    <row r="19639" s="5" customFormat="1" x14ac:dyDescent="0.4"/>
    <row r="19640" s="5" customFormat="1" x14ac:dyDescent="0.4"/>
    <row r="19641" s="5" customFormat="1" x14ac:dyDescent="0.4"/>
    <row r="19642" s="5" customFormat="1" x14ac:dyDescent="0.4"/>
    <row r="19643" s="5" customFormat="1" x14ac:dyDescent="0.4"/>
    <row r="19644" s="5" customFormat="1" x14ac:dyDescent="0.4"/>
    <row r="19645" s="5" customFormat="1" x14ac:dyDescent="0.4"/>
    <row r="19646" s="5" customFormat="1" x14ac:dyDescent="0.4"/>
    <row r="19647" s="5" customFormat="1" x14ac:dyDescent="0.4"/>
    <row r="19648" s="5" customFormat="1" x14ac:dyDescent="0.4"/>
    <row r="19649" s="5" customFormat="1" x14ac:dyDescent="0.4"/>
    <row r="19650" s="5" customFormat="1" x14ac:dyDescent="0.4"/>
    <row r="19651" s="5" customFormat="1" x14ac:dyDescent="0.4"/>
    <row r="19652" s="5" customFormat="1" x14ac:dyDescent="0.4"/>
    <row r="19653" s="5" customFormat="1" x14ac:dyDescent="0.4"/>
    <row r="19654" s="5" customFormat="1" x14ac:dyDescent="0.4"/>
    <row r="19655" s="5" customFormat="1" x14ac:dyDescent="0.4"/>
    <row r="19656" s="5" customFormat="1" x14ac:dyDescent="0.4"/>
    <row r="19657" s="5" customFormat="1" x14ac:dyDescent="0.4"/>
    <row r="19658" s="5" customFormat="1" x14ac:dyDescent="0.4"/>
    <row r="19659" s="5" customFormat="1" x14ac:dyDescent="0.4"/>
    <row r="19660" s="5" customFormat="1" x14ac:dyDescent="0.4"/>
    <row r="19661" s="5" customFormat="1" x14ac:dyDescent="0.4"/>
    <row r="19662" s="5" customFormat="1" x14ac:dyDescent="0.4"/>
    <row r="19663" s="5" customFormat="1" x14ac:dyDescent="0.4"/>
    <row r="19664" s="5" customFormat="1" x14ac:dyDescent="0.4"/>
    <row r="19665" s="5" customFormat="1" x14ac:dyDescent="0.4"/>
    <row r="19666" s="5" customFormat="1" x14ac:dyDescent="0.4"/>
    <row r="19667" s="5" customFormat="1" x14ac:dyDescent="0.4"/>
    <row r="19668" s="5" customFormat="1" x14ac:dyDescent="0.4"/>
    <row r="19669" s="5" customFormat="1" x14ac:dyDescent="0.4"/>
    <row r="19670" s="5" customFormat="1" x14ac:dyDescent="0.4"/>
    <row r="19671" s="5" customFormat="1" x14ac:dyDescent="0.4"/>
    <row r="19672" s="5" customFormat="1" x14ac:dyDescent="0.4"/>
    <row r="19673" s="5" customFormat="1" x14ac:dyDescent="0.4"/>
    <row r="19674" s="5" customFormat="1" x14ac:dyDescent="0.4"/>
    <row r="19675" s="5" customFormat="1" x14ac:dyDescent="0.4"/>
    <row r="19676" s="5" customFormat="1" x14ac:dyDescent="0.4"/>
    <row r="19677" s="5" customFormat="1" x14ac:dyDescent="0.4"/>
    <row r="19678" s="5" customFormat="1" x14ac:dyDescent="0.4"/>
    <row r="19679" s="5" customFormat="1" x14ac:dyDescent="0.4"/>
    <row r="19680" s="5" customFormat="1" x14ac:dyDescent="0.4"/>
    <row r="19681" s="5" customFormat="1" x14ac:dyDescent="0.4"/>
    <row r="19682" s="5" customFormat="1" x14ac:dyDescent="0.4"/>
    <row r="19683" s="5" customFormat="1" x14ac:dyDescent="0.4"/>
    <row r="19684" s="5" customFormat="1" x14ac:dyDescent="0.4"/>
    <row r="19685" s="5" customFormat="1" x14ac:dyDescent="0.4"/>
    <row r="19686" s="5" customFormat="1" x14ac:dyDescent="0.4"/>
    <row r="19687" s="5" customFormat="1" x14ac:dyDescent="0.4"/>
    <row r="19688" s="5" customFormat="1" x14ac:dyDescent="0.4"/>
    <row r="19689" s="5" customFormat="1" x14ac:dyDescent="0.4"/>
    <row r="19690" s="5" customFormat="1" x14ac:dyDescent="0.4"/>
    <row r="19691" s="5" customFormat="1" x14ac:dyDescent="0.4"/>
    <row r="19692" s="5" customFormat="1" x14ac:dyDescent="0.4"/>
    <row r="19693" s="5" customFormat="1" x14ac:dyDescent="0.4"/>
    <row r="19694" s="5" customFormat="1" x14ac:dyDescent="0.4"/>
    <row r="19695" s="5" customFormat="1" x14ac:dyDescent="0.4"/>
    <row r="19696" s="5" customFormat="1" x14ac:dyDescent="0.4"/>
    <row r="19697" s="5" customFormat="1" x14ac:dyDescent="0.4"/>
    <row r="19698" s="5" customFormat="1" x14ac:dyDescent="0.4"/>
    <row r="19699" s="5" customFormat="1" x14ac:dyDescent="0.4"/>
    <row r="19700" s="5" customFormat="1" x14ac:dyDescent="0.4"/>
    <row r="19701" s="5" customFormat="1" x14ac:dyDescent="0.4"/>
    <row r="19702" s="5" customFormat="1" x14ac:dyDescent="0.4"/>
    <row r="19703" s="5" customFormat="1" x14ac:dyDescent="0.4"/>
    <row r="19704" s="5" customFormat="1" x14ac:dyDescent="0.4"/>
    <row r="19705" s="5" customFormat="1" x14ac:dyDescent="0.4"/>
    <row r="19706" s="5" customFormat="1" x14ac:dyDescent="0.4"/>
    <row r="19707" s="5" customFormat="1" x14ac:dyDescent="0.4"/>
    <row r="19708" s="5" customFormat="1" x14ac:dyDescent="0.4"/>
    <row r="19709" s="5" customFormat="1" x14ac:dyDescent="0.4"/>
    <row r="19710" s="5" customFormat="1" x14ac:dyDescent="0.4"/>
    <row r="19711" s="5" customFormat="1" x14ac:dyDescent="0.4"/>
    <row r="19712" s="5" customFormat="1" x14ac:dyDescent="0.4"/>
    <row r="19713" s="5" customFormat="1" x14ac:dyDescent="0.4"/>
    <row r="19714" s="5" customFormat="1" x14ac:dyDescent="0.4"/>
    <row r="19715" s="5" customFormat="1" x14ac:dyDescent="0.4"/>
    <row r="19716" s="5" customFormat="1" x14ac:dyDescent="0.4"/>
    <row r="19717" s="5" customFormat="1" x14ac:dyDescent="0.4"/>
    <row r="19718" s="5" customFormat="1" x14ac:dyDescent="0.4"/>
    <row r="19719" s="5" customFormat="1" x14ac:dyDescent="0.4"/>
    <row r="19720" s="5" customFormat="1" x14ac:dyDescent="0.4"/>
    <row r="19721" s="5" customFormat="1" x14ac:dyDescent="0.4"/>
    <row r="19722" s="5" customFormat="1" x14ac:dyDescent="0.4"/>
    <row r="19723" s="5" customFormat="1" x14ac:dyDescent="0.4"/>
    <row r="19724" s="5" customFormat="1" x14ac:dyDescent="0.4"/>
    <row r="19725" s="5" customFormat="1" x14ac:dyDescent="0.4"/>
    <row r="19726" s="5" customFormat="1" x14ac:dyDescent="0.4"/>
    <row r="19727" s="5" customFormat="1" x14ac:dyDescent="0.4"/>
    <row r="19728" s="5" customFormat="1" x14ac:dyDescent="0.4"/>
    <row r="19729" s="5" customFormat="1" x14ac:dyDescent="0.4"/>
    <row r="19730" s="5" customFormat="1" x14ac:dyDescent="0.4"/>
    <row r="19731" s="5" customFormat="1" x14ac:dyDescent="0.4"/>
    <row r="19732" s="5" customFormat="1" x14ac:dyDescent="0.4"/>
    <row r="19733" s="5" customFormat="1" x14ac:dyDescent="0.4"/>
    <row r="19734" s="5" customFormat="1" x14ac:dyDescent="0.4"/>
    <row r="19735" s="5" customFormat="1" x14ac:dyDescent="0.4"/>
    <row r="19736" s="5" customFormat="1" x14ac:dyDescent="0.4"/>
    <row r="19737" s="5" customFormat="1" x14ac:dyDescent="0.4"/>
    <row r="19738" s="5" customFormat="1" x14ac:dyDescent="0.4"/>
    <row r="19739" s="5" customFormat="1" x14ac:dyDescent="0.4"/>
    <row r="19740" s="5" customFormat="1" x14ac:dyDescent="0.4"/>
    <row r="19741" s="5" customFormat="1" x14ac:dyDescent="0.4"/>
    <row r="19742" s="5" customFormat="1" x14ac:dyDescent="0.4"/>
    <row r="19743" s="5" customFormat="1" x14ac:dyDescent="0.4"/>
    <row r="19744" s="5" customFormat="1" x14ac:dyDescent="0.4"/>
    <row r="19745" s="5" customFormat="1" x14ac:dyDescent="0.4"/>
    <row r="19746" s="5" customFormat="1" x14ac:dyDescent="0.4"/>
    <row r="19747" s="5" customFormat="1" x14ac:dyDescent="0.4"/>
    <row r="19748" s="5" customFormat="1" x14ac:dyDescent="0.4"/>
    <row r="19749" s="5" customFormat="1" x14ac:dyDescent="0.4"/>
    <row r="19750" s="5" customFormat="1" x14ac:dyDescent="0.4"/>
    <row r="19751" s="5" customFormat="1" x14ac:dyDescent="0.4"/>
    <row r="19752" s="5" customFormat="1" x14ac:dyDescent="0.4"/>
    <row r="19753" s="5" customFormat="1" x14ac:dyDescent="0.4"/>
    <row r="19754" s="5" customFormat="1" x14ac:dyDescent="0.4"/>
    <row r="19755" s="5" customFormat="1" x14ac:dyDescent="0.4"/>
    <row r="19756" s="5" customFormat="1" x14ac:dyDescent="0.4"/>
    <row r="19757" s="5" customFormat="1" x14ac:dyDescent="0.4"/>
    <row r="19758" s="5" customFormat="1" x14ac:dyDescent="0.4"/>
    <row r="19759" s="5" customFormat="1" x14ac:dyDescent="0.4"/>
    <row r="19760" s="5" customFormat="1" x14ac:dyDescent="0.4"/>
    <row r="19761" s="5" customFormat="1" x14ac:dyDescent="0.4"/>
    <row r="19762" s="5" customFormat="1" x14ac:dyDescent="0.4"/>
    <row r="19763" s="5" customFormat="1" x14ac:dyDescent="0.4"/>
    <row r="19764" s="5" customFormat="1" x14ac:dyDescent="0.4"/>
    <row r="19765" s="5" customFormat="1" x14ac:dyDescent="0.4"/>
    <row r="19766" s="5" customFormat="1" x14ac:dyDescent="0.4"/>
    <row r="19767" s="5" customFormat="1" x14ac:dyDescent="0.4"/>
    <row r="19768" s="5" customFormat="1" x14ac:dyDescent="0.4"/>
    <row r="19769" s="5" customFormat="1" x14ac:dyDescent="0.4"/>
    <row r="19770" s="5" customFormat="1" x14ac:dyDescent="0.4"/>
    <row r="19771" s="5" customFormat="1" x14ac:dyDescent="0.4"/>
    <row r="19772" s="5" customFormat="1" x14ac:dyDescent="0.4"/>
    <row r="19773" s="5" customFormat="1" x14ac:dyDescent="0.4"/>
    <row r="19774" s="5" customFormat="1" x14ac:dyDescent="0.4"/>
    <row r="19775" s="5" customFormat="1" x14ac:dyDescent="0.4"/>
    <row r="19776" s="5" customFormat="1" x14ac:dyDescent="0.4"/>
    <row r="19777" s="5" customFormat="1" x14ac:dyDescent="0.4"/>
    <row r="19778" s="5" customFormat="1" x14ac:dyDescent="0.4"/>
    <row r="19779" s="5" customFormat="1" x14ac:dyDescent="0.4"/>
    <row r="19780" s="5" customFormat="1" x14ac:dyDescent="0.4"/>
    <row r="19781" s="5" customFormat="1" x14ac:dyDescent="0.4"/>
    <row r="19782" s="5" customFormat="1" x14ac:dyDescent="0.4"/>
    <row r="19783" s="5" customFormat="1" x14ac:dyDescent="0.4"/>
    <row r="19784" s="5" customFormat="1" x14ac:dyDescent="0.4"/>
    <row r="19785" s="5" customFormat="1" x14ac:dyDescent="0.4"/>
    <row r="19786" s="5" customFormat="1" x14ac:dyDescent="0.4"/>
    <row r="19787" s="5" customFormat="1" x14ac:dyDescent="0.4"/>
    <row r="19788" s="5" customFormat="1" x14ac:dyDescent="0.4"/>
    <row r="19789" s="5" customFormat="1" x14ac:dyDescent="0.4"/>
    <row r="19790" s="5" customFormat="1" x14ac:dyDescent="0.4"/>
    <row r="19791" s="5" customFormat="1" x14ac:dyDescent="0.4"/>
    <row r="19792" s="5" customFormat="1" x14ac:dyDescent="0.4"/>
    <row r="19793" s="5" customFormat="1" x14ac:dyDescent="0.4"/>
    <row r="19794" s="5" customFormat="1" x14ac:dyDescent="0.4"/>
    <row r="19795" s="5" customFormat="1" x14ac:dyDescent="0.4"/>
    <row r="19796" s="5" customFormat="1" x14ac:dyDescent="0.4"/>
    <row r="19797" s="5" customFormat="1" x14ac:dyDescent="0.4"/>
    <row r="19798" s="5" customFormat="1" x14ac:dyDescent="0.4"/>
    <row r="19799" s="5" customFormat="1" x14ac:dyDescent="0.4"/>
    <row r="19800" s="5" customFormat="1" x14ac:dyDescent="0.4"/>
    <row r="19801" s="5" customFormat="1" x14ac:dyDescent="0.4"/>
    <row r="19802" s="5" customFormat="1" x14ac:dyDescent="0.4"/>
    <row r="19803" s="5" customFormat="1" x14ac:dyDescent="0.4"/>
    <row r="19804" s="5" customFormat="1" x14ac:dyDescent="0.4"/>
    <row r="19805" s="5" customFormat="1" x14ac:dyDescent="0.4"/>
    <row r="19806" s="5" customFormat="1" x14ac:dyDescent="0.4"/>
    <row r="19807" s="5" customFormat="1" x14ac:dyDescent="0.4"/>
    <row r="19808" s="5" customFormat="1" x14ac:dyDescent="0.4"/>
    <row r="19809" s="5" customFormat="1" x14ac:dyDescent="0.4"/>
    <row r="19810" s="5" customFormat="1" x14ac:dyDescent="0.4"/>
    <row r="19811" s="5" customFormat="1" x14ac:dyDescent="0.4"/>
    <row r="19812" s="5" customFormat="1" x14ac:dyDescent="0.4"/>
    <row r="19813" s="5" customFormat="1" x14ac:dyDescent="0.4"/>
    <row r="19814" s="5" customFormat="1" x14ac:dyDescent="0.4"/>
    <row r="19815" s="5" customFormat="1" x14ac:dyDescent="0.4"/>
    <row r="19816" s="5" customFormat="1" x14ac:dyDescent="0.4"/>
    <row r="19817" s="5" customFormat="1" x14ac:dyDescent="0.4"/>
    <row r="19818" s="5" customFormat="1" x14ac:dyDescent="0.4"/>
    <row r="19819" s="5" customFormat="1" x14ac:dyDescent="0.4"/>
    <row r="19820" s="5" customFormat="1" x14ac:dyDescent="0.4"/>
    <row r="19821" s="5" customFormat="1" x14ac:dyDescent="0.4"/>
    <row r="19822" s="5" customFormat="1" x14ac:dyDescent="0.4"/>
    <row r="19823" s="5" customFormat="1" x14ac:dyDescent="0.4"/>
    <row r="19824" s="5" customFormat="1" x14ac:dyDescent="0.4"/>
    <row r="19825" s="5" customFormat="1" x14ac:dyDescent="0.4"/>
    <row r="19826" s="5" customFormat="1" x14ac:dyDescent="0.4"/>
    <row r="19827" s="5" customFormat="1" x14ac:dyDescent="0.4"/>
    <row r="19828" s="5" customFormat="1" x14ac:dyDescent="0.4"/>
    <row r="19829" s="5" customFormat="1" x14ac:dyDescent="0.4"/>
    <row r="19830" s="5" customFormat="1" x14ac:dyDescent="0.4"/>
    <row r="19831" s="5" customFormat="1" x14ac:dyDescent="0.4"/>
    <row r="19832" s="5" customFormat="1" x14ac:dyDescent="0.4"/>
    <row r="19833" s="5" customFormat="1" x14ac:dyDescent="0.4"/>
    <row r="19834" s="5" customFormat="1" x14ac:dyDescent="0.4"/>
    <row r="19835" s="5" customFormat="1" x14ac:dyDescent="0.4"/>
    <row r="19836" s="5" customFormat="1" x14ac:dyDescent="0.4"/>
    <row r="19837" s="5" customFormat="1" x14ac:dyDescent="0.4"/>
    <row r="19838" s="5" customFormat="1" x14ac:dyDescent="0.4"/>
    <row r="19839" s="5" customFormat="1" x14ac:dyDescent="0.4"/>
    <row r="19840" s="5" customFormat="1" x14ac:dyDescent="0.4"/>
    <row r="19841" s="5" customFormat="1" x14ac:dyDescent="0.4"/>
    <row r="19842" s="5" customFormat="1" x14ac:dyDescent="0.4"/>
    <row r="19843" s="5" customFormat="1" x14ac:dyDescent="0.4"/>
    <row r="19844" s="5" customFormat="1" x14ac:dyDescent="0.4"/>
    <row r="19845" s="5" customFormat="1" x14ac:dyDescent="0.4"/>
    <row r="19846" s="5" customFormat="1" x14ac:dyDescent="0.4"/>
    <row r="19847" s="5" customFormat="1" x14ac:dyDescent="0.4"/>
    <row r="19848" s="5" customFormat="1" x14ac:dyDescent="0.4"/>
    <row r="19849" s="5" customFormat="1" x14ac:dyDescent="0.4"/>
    <row r="19850" s="5" customFormat="1" x14ac:dyDescent="0.4"/>
    <row r="19851" s="5" customFormat="1" x14ac:dyDescent="0.4"/>
    <row r="19852" s="5" customFormat="1" x14ac:dyDescent="0.4"/>
    <row r="19853" s="5" customFormat="1" x14ac:dyDescent="0.4"/>
    <row r="19854" s="5" customFormat="1" x14ac:dyDescent="0.4"/>
    <row r="19855" s="5" customFormat="1" x14ac:dyDescent="0.4"/>
    <row r="19856" s="5" customFormat="1" x14ac:dyDescent="0.4"/>
    <row r="19857" s="5" customFormat="1" x14ac:dyDescent="0.4"/>
    <row r="19858" s="5" customFormat="1" x14ac:dyDescent="0.4"/>
    <row r="19859" s="5" customFormat="1" x14ac:dyDescent="0.4"/>
    <row r="19860" s="5" customFormat="1" x14ac:dyDescent="0.4"/>
    <row r="19861" s="5" customFormat="1" x14ac:dyDescent="0.4"/>
    <row r="19862" s="5" customFormat="1" x14ac:dyDescent="0.4"/>
    <row r="19863" s="5" customFormat="1" x14ac:dyDescent="0.4"/>
    <row r="19864" s="5" customFormat="1" x14ac:dyDescent="0.4"/>
    <row r="19865" s="5" customFormat="1" x14ac:dyDescent="0.4"/>
    <row r="19866" s="5" customFormat="1" x14ac:dyDescent="0.4"/>
    <row r="19867" s="5" customFormat="1" x14ac:dyDescent="0.4"/>
    <row r="19868" s="5" customFormat="1" x14ac:dyDescent="0.4"/>
    <row r="19869" s="5" customFormat="1" x14ac:dyDescent="0.4"/>
    <row r="19870" s="5" customFormat="1" x14ac:dyDescent="0.4"/>
    <row r="19871" s="5" customFormat="1" x14ac:dyDescent="0.4"/>
    <row r="19872" s="5" customFormat="1" x14ac:dyDescent="0.4"/>
    <row r="19873" s="5" customFormat="1" x14ac:dyDescent="0.4"/>
    <row r="19874" s="5" customFormat="1" x14ac:dyDescent="0.4"/>
    <row r="19875" s="5" customFormat="1" x14ac:dyDescent="0.4"/>
    <row r="19876" s="5" customFormat="1" x14ac:dyDescent="0.4"/>
    <row r="19877" s="5" customFormat="1" x14ac:dyDescent="0.4"/>
    <row r="19878" s="5" customFormat="1" x14ac:dyDescent="0.4"/>
    <row r="19879" s="5" customFormat="1" x14ac:dyDescent="0.4"/>
    <row r="19880" s="5" customFormat="1" x14ac:dyDescent="0.4"/>
    <row r="19881" s="5" customFormat="1" x14ac:dyDescent="0.4"/>
    <row r="19882" s="5" customFormat="1" x14ac:dyDescent="0.4"/>
    <row r="19883" s="5" customFormat="1" x14ac:dyDescent="0.4"/>
    <row r="19884" s="5" customFormat="1" x14ac:dyDescent="0.4"/>
    <row r="19885" s="5" customFormat="1" x14ac:dyDescent="0.4"/>
    <row r="19886" s="5" customFormat="1" x14ac:dyDescent="0.4"/>
    <row r="19887" s="5" customFormat="1" x14ac:dyDescent="0.4"/>
    <row r="19888" s="5" customFormat="1" x14ac:dyDescent="0.4"/>
    <row r="19889" s="5" customFormat="1" x14ac:dyDescent="0.4"/>
    <row r="19890" s="5" customFormat="1" x14ac:dyDescent="0.4"/>
    <row r="19891" s="5" customFormat="1" x14ac:dyDescent="0.4"/>
    <row r="19892" s="5" customFormat="1" x14ac:dyDescent="0.4"/>
    <row r="19893" s="5" customFormat="1" x14ac:dyDescent="0.4"/>
    <row r="19894" s="5" customFormat="1" x14ac:dyDescent="0.4"/>
    <row r="19895" s="5" customFormat="1" x14ac:dyDescent="0.4"/>
    <row r="19896" s="5" customFormat="1" x14ac:dyDescent="0.4"/>
    <row r="19897" s="5" customFormat="1" x14ac:dyDescent="0.4"/>
    <row r="19898" s="5" customFormat="1" x14ac:dyDescent="0.4"/>
    <row r="19899" s="5" customFormat="1" x14ac:dyDescent="0.4"/>
    <row r="19900" s="5" customFormat="1" x14ac:dyDescent="0.4"/>
    <row r="19901" s="5" customFormat="1" x14ac:dyDescent="0.4"/>
    <row r="19902" s="5" customFormat="1" x14ac:dyDescent="0.4"/>
    <row r="19903" s="5" customFormat="1" x14ac:dyDescent="0.4"/>
    <row r="19904" s="5" customFormat="1" x14ac:dyDescent="0.4"/>
    <row r="19905" s="5" customFormat="1" x14ac:dyDescent="0.4"/>
    <row r="19906" s="5" customFormat="1" x14ac:dyDescent="0.4"/>
    <row r="19907" s="5" customFormat="1" x14ac:dyDescent="0.4"/>
    <row r="19908" s="5" customFormat="1" x14ac:dyDescent="0.4"/>
    <row r="19909" s="5" customFormat="1" x14ac:dyDescent="0.4"/>
    <row r="19910" s="5" customFormat="1" x14ac:dyDescent="0.4"/>
    <row r="19911" s="5" customFormat="1" x14ac:dyDescent="0.4"/>
    <row r="19912" s="5" customFormat="1" x14ac:dyDescent="0.4"/>
    <row r="19913" s="5" customFormat="1" x14ac:dyDescent="0.4"/>
    <row r="19914" s="5" customFormat="1" x14ac:dyDescent="0.4"/>
    <row r="19915" s="5" customFormat="1" x14ac:dyDescent="0.4"/>
    <row r="19916" s="5" customFormat="1" x14ac:dyDescent="0.4"/>
    <row r="19917" s="5" customFormat="1" x14ac:dyDescent="0.4"/>
    <row r="19918" s="5" customFormat="1" x14ac:dyDescent="0.4"/>
    <row r="19919" s="5" customFormat="1" x14ac:dyDescent="0.4"/>
    <row r="19920" s="5" customFormat="1" x14ac:dyDescent="0.4"/>
    <row r="19921" s="5" customFormat="1" x14ac:dyDescent="0.4"/>
    <row r="19922" s="5" customFormat="1" x14ac:dyDescent="0.4"/>
    <row r="19923" s="5" customFormat="1" x14ac:dyDescent="0.4"/>
    <row r="19924" s="5" customFormat="1" x14ac:dyDescent="0.4"/>
    <row r="19925" s="5" customFormat="1" x14ac:dyDescent="0.4"/>
    <row r="19926" s="5" customFormat="1" x14ac:dyDescent="0.4"/>
    <row r="19927" s="5" customFormat="1" x14ac:dyDescent="0.4"/>
    <row r="19928" s="5" customFormat="1" x14ac:dyDescent="0.4"/>
    <row r="19929" s="5" customFormat="1" x14ac:dyDescent="0.4"/>
    <row r="19930" s="5" customFormat="1" x14ac:dyDescent="0.4"/>
    <row r="19931" s="5" customFormat="1" x14ac:dyDescent="0.4"/>
    <row r="19932" s="5" customFormat="1" x14ac:dyDescent="0.4"/>
    <row r="19933" s="5" customFormat="1" x14ac:dyDescent="0.4"/>
    <row r="19934" s="5" customFormat="1" x14ac:dyDescent="0.4"/>
    <row r="19935" s="5" customFormat="1" x14ac:dyDescent="0.4"/>
    <row r="19936" s="5" customFormat="1" x14ac:dyDescent="0.4"/>
    <row r="19937" s="5" customFormat="1" x14ac:dyDescent="0.4"/>
    <row r="19938" s="5" customFormat="1" x14ac:dyDescent="0.4"/>
    <row r="19939" s="5" customFormat="1" x14ac:dyDescent="0.4"/>
    <row r="19940" s="5" customFormat="1" x14ac:dyDescent="0.4"/>
    <row r="19941" s="5" customFormat="1" x14ac:dyDescent="0.4"/>
    <row r="19942" s="5" customFormat="1" x14ac:dyDescent="0.4"/>
    <row r="19943" s="5" customFormat="1" x14ac:dyDescent="0.4"/>
    <row r="19944" s="5" customFormat="1" x14ac:dyDescent="0.4"/>
    <row r="19945" s="5" customFormat="1" x14ac:dyDescent="0.4"/>
    <row r="19946" s="5" customFormat="1" x14ac:dyDescent="0.4"/>
    <row r="19947" s="5" customFormat="1" x14ac:dyDescent="0.4"/>
    <row r="19948" s="5" customFormat="1" x14ac:dyDescent="0.4"/>
    <row r="19949" s="5" customFormat="1" x14ac:dyDescent="0.4"/>
    <row r="19950" s="5" customFormat="1" x14ac:dyDescent="0.4"/>
    <row r="19951" s="5" customFormat="1" x14ac:dyDescent="0.4"/>
    <row r="19952" s="5" customFormat="1" x14ac:dyDescent="0.4"/>
    <row r="19953" s="5" customFormat="1" x14ac:dyDescent="0.4"/>
    <row r="19954" s="5" customFormat="1" x14ac:dyDescent="0.4"/>
    <row r="19955" s="5" customFormat="1" x14ac:dyDescent="0.4"/>
    <row r="19956" s="5" customFormat="1" x14ac:dyDescent="0.4"/>
    <row r="19957" s="5" customFormat="1" x14ac:dyDescent="0.4"/>
    <row r="19958" s="5" customFormat="1" x14ac:dyDescent="0.4"/>
    <row r="19959" s="5" customFormat="1" x14ac:dyDescent="0.4"/>
    <row r="19960" s="5" customFormat="1" x14ac:dyDescent="0.4"/>
    <row r="19961" s="5" customFormat="1" x14ac:dyDescent="0.4"/>
    <row r="19962" s="5" customFormat="1" x14ac:dyDescent="0.4"/>
    <row r="19963" s="5" customFormat="1" x14ac:dyDescent="0.4"/>
    <row r="19964" s="5" customFormat="1" x14ac:dyDescent="0.4"/>
    <row r="19965" s="5" customFormat="1" x14ac:dyDescent="0.4"/>
    <row r="19966" s="5" customFormat="1" x14ac:dyDescent="0.4"/>
    <row r="19967" s="5" customFormat="1" x14ac:dyDescent="0.4"/>
    <row r="19968" s="5" customFormat="1" x14ac:dyDescent="0.4"/>
    <row r="19969" s="5" customFormat="1" x14ac:dyDescent="0.4"/>
    <row r="19970" s="5" customFormat="1" x14ac:dyDescent="0.4"/>
    <row r="19971" s="5" customFormat="1" x14ac:dyDescent="0.4"/>
    <row r="19972" s="5" customFormat="1" x14ac:dyDescent="0.4"/>
    <row r="19973" s="5" customFormat="1" x14ac:dyDescent="0.4"/>
    <row r="19974" s="5" customFormat="1" x14ac:dyDescent="0.4"/>
    <row r="19975" s="5" customFormat="1" x14ac:dyDescent="0.4"/>
    <row r="19976" s="5" customFormat="1" x14ac:dyDescent="0.4"/>
    <row r="19977" s="5" customFormat="1" x14ac:dyDescent="0.4"/>
    <row r="19978" s="5" customFormat="1" x14ac:dyDescent="0.4"/>
    <row r="19979" s="5" customFormat="1" x14ac:dyDescent="0.4"/>
    <row r="19980" s="5" customFormat="1" x14ac:dyDescent="0.4"/>
    <row r="19981" s="5" customFormat="1" x14ac:dyDescent="0.4"/>
    <row r="19982" s="5" customFormat="1" x14ac:dyDescent="0.4"/>
    <row r="19983" s="5" customFormat="1" x14ac:dyDescent="0.4"/>
    <row r="19984" s="5" customFormat="1" x14ac:dyDescent="0.4"/>
    <row r="19985" s="5" customFormat="1" x14ac:dyDescent="0.4"/>
    <row r="19986" s="5" customFormat="1" x14ac:dyDescent="0.4"/>
    <row r="19987" s="5" customFormat="1" x14ac:dyDescent="0.4"/>
    <row r="19988" s="5" customFormat="1" x14ac:dyDescent="0.4"/>
    <row r="19989" s="5" customFormat="1" x14ac:dyDescent="0.4"/>
    <row r="19990" s="5" customFormat="1" x14ac:dyDescent="0.4"/>
    <row r="19991" s="5" customFormat="1" x14ac:dyDescent="0.4"/>
    <row r="19992" s="5" customFormat="1" x14ac:dyDescent="0.4"/>
    <row r="19993" s="5" customFormat="1" x14ac:dyDescent="0.4"/>
    <row r="19994" s="5" customFormat="1" x14ac:dyDescent="0.4"/>
    <row r="19995" s="5" customFormat="1" x14ac:dyDescent="0.4"/>
    <row r="19996" s="5" customFormat="1" x14ac:dyDescent="0.4"/>
    <row r="19997" s="5" customFormat="1" x14ac:dyDescent="0.4"/>
    <row r="19998" s="5" customFormat="1" x14ac:dyDescent="0.4"/>
    <row r="19999" s="5" customFormat="1" x14ac:dyDescent="0.4"/>
    <row r="20000" s="5" customFormat="1" x14ac:dyDescent="0.4"/>
    <row r="20001" s="5" customFormat="1" x14ac:dyDescent="0.4"/>
    <row r="20002" s="5" customFormat="1" x14ac:dyDescent="0.4"/>
    <row r="20003" s="5" customFormat="1" x14ac:dyDescent="0.4"/>
    <row r="20004" s="5" customFormat="1" x14ac:dyDescent="0.4"/>
    <row r="20005" s="5" customFormat="1" x14ac:dyDescent="0.4"/>
    <row r="20006" s="5" customFormat="1" x14ac:dyDescent="0.4"/>
    <row r="20007" s="5" customFormat="1" x14ac:dyDescent="0.4"/>
    <row r="20008" s="5" customFormat="1" x14ac:dyDescent="0.4"/>
    <row r="20009" s="5" customFormat="1" x14ac:dyDescent="0.4"/>
    <row r="20010" s="5" customFormat="1" x14ac:dyDescent="0.4"/>
    <row r="20011" s="5" customFormat="1" x14ac:dyDescent="0.4"/>
    <row r="20012" s="5" customFormat="1" x14ac:dyDescent="0.4"/>
    <row r="20013" s="5" customFormat="1" x14ac:dyDescent="0.4"/>
    <row r="20014" s="5" customFormat="1" x14ac:dyDescent="0.4"/>
    <row r="20015" s="5" customFormat="1" x14ac:dyDescent="0.4"/>
    <row r="20016" s="5" customFormat="1" x14ac:dyDescent="0.4"/>
    <row r="20017" s="5" customFormat="1" x14ac:dyDescent="0.4"/>
    <row r="20018" s="5" customFormat="1" x14ac:dyDescent="0.4"/>
    <row r="20019" s="5" customFormat="1" x14ac:dyDescent="0.4"/>
    <row r="20020" s="5" customFormat="1" x14ac:dyDescent="0.4"/>
    <row r="20021" s="5" customFormat="1" x14ac:dyDescent="0.4"/>
    <row r="20022" s="5" customFormat="1" x14ac:dyDescent="0.4"/>
    <row r="20023" s="5" customFormat="1" x14ac:dyDescent="0.4"/>
    <row r="20024" s="5" customFormat="1" x14ac:dyDescent="0.4"/>
    <row r="20025" s="5" customFormat="1" x14ac:dyDescent="0.4"/>
    <row r="20026" s="5" customFormat="1" x14ac:dyDescent="0.4"/>
    <row r="20027" s="5" customFormat="1" x14ac:dyDescent="0.4"/>
    <row r="20028" s="5" customFormat="1" x14ac:dyDescent="0.4"/>
    <row r="20029" s="5" customFormat="1" x14ac:dyDescent="0.4"/>
    <row r="20030" s="5" customFormat="1" x14ac:dyDescent="0.4"/>
    <row r="20031" s="5" customFormat="1" x14ac:dyDescent="0.4"/>
    <row r="20032" s="5" customFormat="1" x14ac:dyDescent="0.4"/>
    <row r="20033" s="5" customFormat="1" x14ac:dyDescent="0.4"/>
    <row r="20034" s="5" customFormat="1" x14ac:dyDescent="0.4"/>
    <row r="20035" s="5" customFormat="1" x14ac:dyDescent="0.4"/>
    <row r="20036" s="5" customFormat="1" x14ac:dyDescent="0.4"/>
    <row r="20037" s="5" customFormat="1" x14ac:dyDescent="0.4"/>
    <row r="20038" s="5" customFormat="1" x14ac:dyDescent="0.4"/>
    <row r="20039" s="5" customFormat="1" x14ac:dyDescent="0.4"/>
    <row r="20040" s="5" customFormat="1" x14ac:dyDescent="0.4"/>
    <row r="20041" s="5" customFormat="1" x14ac:dyDescent="0.4"/>
    <row r="20042" s="5" customFormat="1" x14ac:dyDescent="0.4"/>
    <row r="20043" s="5" customFormat="1" x14ac:dyDescent="0.4"/>
    <row r="20044" s="5" customFormat="1" x14ac:dyDescent="0.4"/>
    <row r="20045" s="5" customFormat="1" x14ac:dyDescent="0.4"/>
    <row r="20046" s="5" customFormat="1" x14ac:dyDescent="0.4"/>
    <row r="20047" s="5" customFormat="1" x14ac:dyDescent="0.4"/>
    <row r="20048" s="5" customFormat="1" x14ac:dyDescent="0.4"/>
    <row r="20049" s="5" customFormat="1" x14ac:dyDescent="0.4"/>
    <row r="20050" s="5" customFormat="1" x14ac:dyDescent="0.4"/>
    <row r="20051" s="5" customFormat="1" x14ac:dyDescent="0.4"/>
    <row r="20052" s="5" customFormat="1" x14ac:dyDescent="0.4"/>
    <row r="20053" s="5" customFormat="1" x14ac:dyDescent="0.4"/>
    <row r="20054" s="5" customFormat="1" x14ac:dyDescent="0.4"/>
    <row r="20055" s="5" customFormat="1" x14ac:dyDescent="0.4"/>
    <row r="20056" s="5" customFormat="1" x14ac:dyDescent="0.4"/>
    <row r="20057" s="5" customFormat="1" x14ac:dyDescent="0.4"/>
    <row r="20058" s="5" customFormat="1" x14ac:dyDescent="0.4"/>
    <row r="20059" s="5" customFormat="1" x14ac:dyDescent="0.4"/>
    <row r="20060" s="5" customFormat="1" x14ac:dyDescent="0.4"/>
    <row r="20061" s="5" customFormat="1" x14ac:dyDescent="0.4"/>
    <row r="20062" s="5" customFormat="1" x14ac:dyDescent="0.4"/>
    <row r="20063" s="5" customFormat="1" x14ac:dyDescent="0.4"/>
    <row r="20064" s="5" customFormat="1" x14ac:dyDescent="0.4"/>
    <row r="20065" s="5" customFormat="1" x14ac:dyDescent="0.4"/>
    <row r="20066" s="5" customFormat="1" x14ac:dyDescent="0.4"/>
    <row r="20067" s="5" customFormat="1" x14ac:dyDescent="0.4"/>
    <row r="20068" s="5" customFormat="1" x14ac:dyDescent="0.4"/>
    <row r="20069" s="5" customFormat="1" x14ac:dyDescent="0.4"/>
    <row r="20070" s="5" customFormat="1" x14ac:dyDescent="0.4"/>
    <row r="20071" s="5" customFormat="1" x14ac:dyDescent="0.4"/>
    <row r="20072" s="5" customFormat="1" x14ac:dyDescent="0.4"/>
    <row r="20073" s="5" customFormat="1" x14ac:dyDescent="0.4"/>
    <row r="20074" s="5" customFormat="1" x14ac:dyDescent="0.4"/>
    <row r="20075" s="5" customFormat="1" x14ac:dyDescent="0.4"/>
    <row r="20076" s="5" customFormat="1" x14ac:dyDescent="0.4"/>
    <row r="20077" s="5" customFormat="1" x14ac:dyDescent="0.4"/>
    <row r="20078" s="5" customFormat="1" x14ac:dyDescent="0.4"/>
    <row r="20079" s="5" customFormat="1" x14ac:dyDescent="0.4"/>
    <row r="20080" s="5" customFormat="1" x14ac:dyDescent="0.4"/>
    <row r="20081" s="5" customFormat="1" x14ac:dyDescent="0.4"/>
    <row r="20082" s="5" customFormat="1" x14ac:dyDescent="0.4"/>
    <row r="20083" s="5" customFormat="1" x14ac:dyDescent="0.4"/>
    <row r="20084" s="5" customFormat="1" x14ac:dyDescent="0.4"/>
    <row r="20085" s="5" customFormat="1" x14ac:dyDescent="0.4"/>
    <row r="20086" s="5" customFormat="1" x14ac:dyDescent="0.4"/>
    <row r="20087" s="5" customFormat="1" x14ac:dyDescent="0.4"/>
    <row r="20088" s="5" customFormat="1" x14ac:dyDescent="0.4"/>
    <row r="20089" s="5" customFormat="1" x14ac:dyDescent="0.4"/>
    <row r="20090" s="5" customFormat="1" x14ac:dyDescent="0.4"/>
    <row r="20091" s="5" customFormat="1" x14ac:dyDescent="0.4"/>
    <row r="20092" s="5" customFormat="1" x14ac:dyDescent="0.4"/>
    <row r="20093" s="5" customFormat="1" x14ac:dyDescent="0.4"/>
    <row r="20094" s="5" customFormat="1" x14ac:dyDescent="0.4"/>
    <row r="20095" s="5" customFormat="1" x14ac:dyDescent="0.4"/>
    <row r="20096" s="5" customFormat="1" x14ac:dyDescent="0.4"/>
    <row r="20097" s="5" customFormat="1" x14ac:dyDescent="0.4"/>
    <row r="20098" s="5" customFormat="1" x14ac:dyDescent="0.4"/>
    <row r="20099" s="5" customFormat="1" x14ac:dyDescent="0.4"/>
    <row r="20100" s="5" customFormat="1" x14ac:dyDescent="0.4"/>
    <row r="20101" s="5" customFormat="1" x14ac:dyDescent="0.4"/>
    <row r="20102" s="5" customFormat="1" x14ac:dyDescent="0.4"/>
    <row r="20103" s="5" customFormat="1" x14ac:dyDescent="0.4"/>
    <row r="20104" s="5" customFormat="1" x14ac:dyDescent="0.4"/>
    <row r="20105" s="5" customFormat="1" x14ac:dyDescent="0.4"/>
    <row r="20106" s="5" customFormat="1" x14ac:dyDescent="0.4"/>
    <row r="20107" s="5" customFormat="1" x14ac:dyDescent="0.4"/>
    <row r="20108" s="5" customFormat="1" x14ac:dyDescent="0.4"/>
    <row r="20109" s="5" customFormat="1" x14ac:dyDescent="0.4"/>
    <row r="20110" s="5" customFormat="1" x14ac:dyDescent="0.4"/>
    <row r="20111" s="5" customFormat="1" x14ac:dyDescent="0.4"/>
    <row r="20112" s="5" customFormat="1" x14ac:dyDescent="0.4"/>
    <row r="20113" s="5" customFormat="1" x14ac:dyDescent="0.4"/>
    <row r="20114" s="5" customFormat="1" x14ac:dyDescent="0.4"/>
    <row r="20115" s="5" customFormat="1" x14ac:dyDescent="0.4"/>
    <row r="20116" s="5" customFormat="1" x14ac:dyDescent="0.4"/>
    <row r="20117" s="5" customFormat="1" x14ac:dyDescent="0.4"/>
    <row r="20118" s="5" customFormat="1" x14ac:dyDescent="0.4"/>
    <row r="20119" s="5" customFormat="1" x14ac:dyDescent="0.4"/>
    <row r="20120" s="5" customFormat="1" x14ac:dyDescent="0.4"/>
    <row r="20121" s="5" customFormat="1" x14ac:dyDescent="0.4"/>
    <row r="20122" s="5" customFormat="1" x14ac:dyDescent="0.4"/>
    <row r="20123" s="5" customFormat="1" x14ac:dyDescent="0.4"/>
    <row r="20124" s="5" customFormat="1" x14ac:dyDescent="0.4"/>
    <row r="20125" s="5" customFormat="1" x14ac:dyDescent="0.4"/>
    <row r="20126" s="5" customFormat="1" x14ac:dyDescent="0.4"/>
    <row r="20127" s="5" customFormat="1" x14ac:dyDescent="0.4"/>
    <row r="20128" s="5" customFormat="1" x14ac:dyDescent="0.4"/>
    <row r="20129" s="5" customFormat="1" x14ac:dyDescent="0.4"/>
    <row r="20130" s="5" customFormat="1" x14ac:dyDescent="0.4"/>
    <row r="20131" s="5" customFormat="1" x14ac:dyDescent="0.4"/>
    <row r="20132" s="5" customFormat="1" x14ac:dyDescent="0.4"/>
    <row r="20133" s="5" customFormat="1" x14ac:dyDescent="0.4"/>
    <row r="20134" s="5" customFormat="1" x14ac:dyDescent="0.4"/>
    <row r="20135" s="5" customFormat="1" x14ac:dyDescent="0.4"/>
    <row r="20136" s="5" customFormat="1" x14ac:dyDescent="0.4"/>
    <row r="20137" s="5" customFormat="1" x14ac:dyDescent="0.4"/>
    <row r="20138" s="5" customFormat="1" x14ac:dyDescent="0.4"/>
    <row r="20139" s="5" customFormat="1" x14ac:dyDescent="0.4"/>
    <row r="20140" s="5" customFormat="1" x14ac:dyDescent="0.4"/>
    <row r="20141" s="5" customFormat="1" x14ac:dyDescent="0.4"/>
    <row r="20142" s="5" customFormat="1" x14ac:dyDescent="0.4"/>
    <row r="20143" s="5" customFormat="1" x14ac:dyDescent="0.4"/>
    <row r="20144" s="5" customFormat="1" x14ac:dyDescent="0.4"/>
    <row r="20145" s="5" customFormat="1" x14ac:dyDescent="0.4"/>
    <row r="20146" s="5" customFormat="1" x14ac:dyDescent="0.4"/>
    <row r="20147" s="5" customFormat="1" x14ac:dyDescent="0.4"/>
    <row r="20148" s="5" customFormat="1" x14ac:dyDescent="0.4"/>
    <row r="20149" s="5" customFormat="1" x14ac:dyDescent="0.4"/>
    <row r="20150" s="5" customFormat="1" x14ac:dyDescent="0.4"/>
    <row r="20151" s="5" customFormat="1" x14ac:dyDescent="0.4"/>
    <row r="20152" s="5" customFormat="1" x14ac:dyDescent="0.4"/>
    <row r="20153" s="5" customFormat="1" x14ac:dyDescent="0.4"/>
    <row r="20154" s="5" customFormat="1" x14ac:dyDescent="0.4"/>
    <row r="20155" s="5" customFormat="1" x14ac:dyDescent="0.4"/>
    <row r="20156" s="5" customFormat="1" x14ac:dyDescent="0.4"/>
    <row r="20157" s="5" customFormat="1" x14ac:dyDescent="0.4"/>
    <row r="20158" s="5" customFormat="1" x14ac:dyDescent="0.4"/>
    <row r="20159" s="5" customFormat="1" x14ac:dyDescent="0.4"/>
    <row r="20160" s="5" customFormat="1" x14ac:dyDescent="0.4"/>
    <row r="20161" s="5" customFormat="1" x14ac:dyDescent="0.4"/>
    <row r="20162" s="5" customFormat="1" x14ac:dyDescent="0.4"/>
    <row r="20163" s="5" customFormat="1" x14ac:dyDescent="0.4"/>
    <row r="20164" s="5" customFormat="1" x14ac:dyDescent="0.4"/>
    <row r="20165" s="5" customFormat="1" x14ac:dyDescent="0.4"/>
    <row r="20166" s="5" customFormat="1" x14ac:dyDescent="0.4"/>
    <row r="20167" s="5" customFormat="1" x14ac:dyDescent="0.4"/>
    <row r="20168" s="5" customFormat="1" x14ac:dyDescent="0.4"/>
    <row r="20169" s="5" customFormat="1" x14ac:dyDescent="0.4"/>
    <row r="20170" s="5" customFormat="1" x14ac:dyDescent="0.4"/>
    <row r="20171" s="5" customFormat="1" x14ac:dyDescent="0.4"/>
    <row r="20172" s="5" customFormat="1" x14ac:dyDescent="0.4"/>
    <row r="20173" s="5" customFormat="1" x14ac:dyDescent="0.4"/>
    <row r="20174" s="5" customFormat="1" x14ac:dyDescent="0.4"/>
    <row r="20175" s="5" customFormat="1" x14ac:dyDescent="0.4"/>
    <row r="20176" s="5" customFormat="1" x14ac:dyDescent="0.4"/>
    <row r="20177" s="5" customFormat="1" x14ac:dyDescent="0.4"/>
    <row r="20178" s="5" customFormat="1" x14ac:dyDescent="0.4"/>
    <row r="20179" s="5" customFormat="1" x14ac:dyDescent="0.4"/>
    <row r="20180" s="5" customFormat="1" x14ac:dyDescent="0.4"/>
    <row r="20181" s="5" customFormat="1" x14ac:dyDescent="0.4"/>
    <row r="20182" s="5" customFormat="1" x14ac:dyDescent="0.4"/>
    <row r="20183" s="5" customFormat="1" x14ac:dyDescent="0.4"/>
    <row r="20184" s="5" customFormat="1" x14ac:dyDescent="0.4"/>
    <row r="20185" s="5" customFormat="1" x14ac:dyDescent="0.4"/>
    <row r="20186" s="5" customFormat="1" x14ac:dyDescent="0.4"/>
    <row r="20187" s="5" customFormat="1" x14ac:dyDescent="0.4"/>
    <row r="20188" s="5" customFormat="1" x14ac:dyDescent="0.4"/>
    <row r="20189" s="5" customFormat="1" x14ac:dyDescent="0.4"/>
    <row r="20190" s="5" customFormat="1" x14ac:dyDescent="0.4"/>
    <row r="20191" s="5" customFormat="1" x14ac:dyDescent="0.4"/>
    <row r="20192" s="5" customFormat="1" x14ac:dyDescent="0.4"/>
    <row r="20193" s="5" customFormat="1" x14ac:dyDescent="0.4"/>
    <row r="20194" s="5" customFormat="1" x14ac:dyDescent="0.4"/>
    <row r="20195" s="5" customFormat="1" x14ac:dyDescent="0.4"/>
    <row r="20196" s="5" customFormat="1" x14ac:dyDescent="0.4"/>
    <row r="20197" s="5" customFormat="1" x14ac:dyDescent="0.4"/>
    <row r="20198" s="5" customFormat="1" x14ac:dyDescent="0.4"/>
    <row r="20199" s="5" customFormat="1" x14ac:dyDescent="0.4"/>
    <row r="20200" s="5" customFormat="1" x14ac:dyDescent="0.4"/>
    <row r="20201" s="5" customFormat="1" x14ac:dyDescent="0.4"/>
    <row r="20202" s="5" customFormat="1" x14ac:dyDescent="0.4"/>
    <row r="20203" s="5" customFormat="1" x14ac:dyDescent="0.4"/>
    <row r="20204" s="5" customFormat="1" x14ac:dyDescent="0.4"/>
    <row r="20205" s="5" customFormat="1" x14ac:dyDescent="0.4"/>
    <row r="20206" s="5" customFormat="1" x14ac:dyDescent="0.4"/>
    <row r="20207" s="5" customFormat="1" x14ac:dyDescent="0.4"/>
    <row r="20208" s="5" customFormat="1" x14ac:dyDescent="0.4"/>
    <row r="20209" s="5" customFormat="1" x14ac:dyDescent="0.4"/>
    <row r="20210" s="5" customFormat="1" x14ac:dyDescent="0.4"/>
    <row r="20211" s="5" customFormat="1" x14ac:dyDescent="0.4"/>
    <row r="20212" s="5" customFormat="1" x14ac:dyDescent="0.4"/>
    <row r="20213" s="5" customFormat="1" x14ac:dyDescent="0.4"/>
    <row r="20214" s="5" customFormat="1" x14ac:dyDescent="0.4"/>
    <row r="20215" s="5" customFormat="1" x14ac:dyDescent="0.4"/>
    <row r="20216" s="5" customFormat="1" x14ac:dyDescent="0.4"/>
    <row r="20217" s="5" customFormat="1" x14ac:dyDescent="0.4"/>
    <row r="20218" s="5" customFormat="1" x14ac:dyDescent="0.4"/>
    <row r="20219" s="5" customFormat="1" x14ac:dyDescent="0.4"/>
    <row r="20220" s="5" customFormat="1" x14ac:dyDescent="0.4"/>
    <row r="20221" s="5" customFormat="1" x14ac:dyDescent="0.4"/>
    <row r="20222" s="5" customFormat="1" x14ac:dyDescent="0.4"/>
    <row r="20223" s="5" customFormat="1" x14ac:dyDescent="0.4"/>
    <row r="20224" s="5" customFormat="1" x14ac:dyDescent="0.4"/>
    <row r="20225" s="5" customFormat="1" x14ac:dyDescent="0.4"/>
    <row r="20226" s="5" customFormat="1" x14ac:dyDescent="0.4"/>
    <row r="20227" s="5" customFormat="1" x14ac:dyDescent="0.4"/>
    <row r="20228" s="5" customFormat="1" x14ac:dyDescent="0.4"/>
    <row r="20229" s="5" customFormat="1" x14ac:dyDescent="0.4"/>
    <row r="20230" s="5" customFormat="1" x14ac:dyDescent="0.4"/>
    <row r="20231" s="5" customFormat="1" x14ac:dyDescent="0.4"/>
    <row r="20232" s="5" customFormat="1" x14ac:dyDescent="0.4"/>
    <row r="20233" s="5" customFormat="1" x14ac:dyDescent="0.4"/>
    <row r="20234" s="5" customFormat="1" x14ac:dyDescent="0.4"/>
    <row r="20235" s="5" customFormat="1" x14ac:dyDescent="0.4"/>
    <row r="20236" s="5" customFormat="1" x14ac:dyDescent="0.4"/>
    <row r="20237" s="5" customFormat="1" x14ac:dyDescent="0.4"/>
    <row r="20238" s="5" customFormat="1" x14ac:dyDescent="0.4"/>
    <row r="20239" s="5" customFormat="1" x14ac:dyDescent="0.4"/>
    <row r="20240" s="5" customFormat="1" x14ac:dyDescent="0.4"/>
    <row r="20241" s="5" customFormat="1" x14ac:dyDescent="0.4"/>
    <row r="20242" s="5" customFormat="1" x14ac:dyDescent="0.4"/>
    <row r="20243" s="5" customFormat="1" x14ac:dyDescent="0.4"/>
    <row r="20244" s="5" customFormat="1" x14ac:dyDescent="0.4"/>
    <row r="20245" s="5" customFormat="1" x14ac:dyDescent="0.4"/>
    <row r="20246" s="5" customFormat="1" x14ac:dyDescent="0.4"/>
    <row r="20247" s="5" customFormat="1" x14ac:dyDescent="0.4"/>
    <row r="20248" s="5" customFormat="1" x14ac:dyDescent="0.4"/>
    <row r="20249" s="5" customFormat="1" x14ac:dyDescent="0.4"/>
    <row r="20250" s="5" customFormat="1" x14ac:dyDescent="0.4"/>
    <row r="20251" s="5" customFormat="1" x14ac:dyDescent="0.4"/>
    <row r="20252" s="5" customFormat="1" x14ac:dyDescent="0.4"/>
    <row r="20253" s="5" customFormat="1" x14ac:dyDescent="0.4"/>
    <row r="20254" s="5" customFormat="1" x14ac:dyDescent="0.4"/>
    <row r="20255" s="5" customFormat="1" x14ac:dyDescent="0.4"/>
    <row r="20256" s="5" customFormat="1" x14ac:dyDescent="0.4"/>
    <row r="20257" s="5" customFormat="1" x14ac:dyDescent="0.4"/>
    <row r="20258" s="5" customFormat="1" x14ac:dyDescent="0.4"/>
    <row r="20259" s="5" customFormat="1" x14ac:dyDescent="0.4"/>
    <row r="20260" s="5" customFormat="1" x14ac:dyDescent="0.4"/>
    <row r="20261" s="5" customFormat="1" x14ac:dyDescent="0.4"/>
    <row r="20262" s="5" customFormat="1" x14ac:dyDescent="0.4"/>
    <row r="20263" s="5" customFormat="1" x14ac:dyDescent="0.4"/>
    <row r="20264" s="5" customFormat="1" x14ac:dyDescent="0.4"/>
    <row r="20265" s="5" customFormat="1" x14ac:dyDescent="0.4"/>
    <row r="20266" s="5" customFormat="1" x14ac:dyDescent="0.4"/>
    <row r="20267" s="5" customFormat="1" x14ac:dyDescent="0.4"/>
    <row r="20268" s="5" customFormat="1" x14ac:dyDescent="0.4"/>
    <row r="20269" s="5" customFormat="1" x14ac:dyDescent="0.4"/>
    <row r="20270" s="5" customFormat="1" x14ac:dyDescent="0.4"/>
    <row r="20271" s="5" customFormat="1" x14ac:dyDescent="0.4"/>
    <row r="20272" s="5" customFormat="1" x14ac:dyDescent="0.4"/>
    <row r="20273" s="5" customFormat="1" x14ac:dyDescent="0.4"/>
    <row r="20274" s="5" customFormat="1" x14ac:dyDescent="0.4"/>
    <row r="20275" s="5" customFormat="1" x14ac:dyDescent="0.4"/>
    <row r="20276" s="5" customFormat="1" x14ac:dyDescent="0.4"/>
    <row r="20277" s="5" customFormat="1" x14ac:dyDescent="0.4"/>
    <row r="20278" s="5" customFormat="1" x14ac:dyDescent="0.4"/>
    <row r="20279" s="5" customFormat="1" x14ac:dyDescent="0.4"/>
    <row r="20280" s="5" customFormat="1" x14ac:dyDescent="0.4"/>
    <row r="20281" s="5" customFormat="1" x14ac:dyDescent="0.4"/>
    <row r="20282" s="5" customFormat="1" x14ac:dyDescent="0.4"/>
    <row r="20283" s="5" customFormat="1" x14ac:dyDescent="0.4"/>
    <row r="20284" s="5" customFormat="1" x14ac:dyDescent="0.4"/>
    <row r="20285" s="5" customFormat="1" x14ac:dyDescent="0.4"/>
    <row r="20286" s="5" customFormat="1" x14ac:dyDescent="0.4"/>
    <row r="20287" s="5" customFormat="1" x14ac:dyDescent="0.4"/>
    <row r="20288" s="5" customFormat="1" x14ac:dyDescent="0.4"/>
    <row r="20289" s="5" customFormat="1" x14ac:dyDescent="0.4"/>
    <row r="20290" s="5" customFormat="1" x14ac:dyDescent="0.4"/>
    <row r="20291" s="5" customFormat="1" x14ac:dyDescent="0.4"/>
    <row r="20292" s="5" customFormat="1" x14ac:dyDescent="0.4"/>
    <row r="20293" s="5" customFormat="1" x14ac:dyDescent="0.4"/>
    <row r="20294" s="5" customFormat="1" x14ac:dyDescent="0.4"/>
    <row r="20295" s="5" customFormat="1" x14ac:dyDescent="0.4"/>
    <row r="20296" s="5" customFormat="1" x14ac:dyDescent="0.4"/>
    <row r="20297" s="5" customFormat="1" x14ac:dyDescent="0.4"/>
    <row r="20298" s="5" customFormat="1" x14ac:dyDescent="0.4"/>
    <row r="20299" s="5" customFormat="1" x14ac:dyDescent="0.4"/>
    <row r="20300" s="5" customFormat="1" x14ac:dyDescent="0.4"/>
    <row r="20301" s="5" customFormat="1" x14ac:dyDescent="0.4"/>
    <row r="20302" s="5" customFormat="1" x14ac:dyDescent="0.4"/>
    <row r="20303" s="5" customFormat="1" x14ac:dyDescent="0.4"/>
    <row r="20304" s="5" customFormat="1" x14ac:dyDescent="0.4"/>
    <row r="20305" s="5" customFormat="1" x14ac:dyDescent="0.4"/>
    <row r="20306" s="5" customFormat="1" x14ac:dyDescent="0.4"/>
    <row r="20307" s="5" customFormat="1" x14ac:dyDescent="0.4"/>
    <row r="20308" s="5" customFormat="1" x14ac:dyDescent="0.4"/>
    <row r="20309" s="5" customFormat="1" x14ac:dyDescent="0.4"/>
    <row r="20310" s="5" customFormat="1" x14ac:dyDescent="0.4"/>
    <row r="20311" s="5" customFormat="1" x14ac:dyDescent="0.4"/>
    <row r="20312" s="5" customFormat="1" x14ac:dyDescent="0.4"/>
    <row r="20313" s="5" customFormat="1" x14ac:dyDescent="0.4"/>
    <row r="20314" s="5" customFormat="1" x14ac:dyDescent="0.4"/>
    <row r="20315" s="5" customFormat="1" x14ac:dyDescent="0.4"/>
    <row r="20316" s="5" customFormat="1" x14ac:dyDescent="0.4"/>
    <row r="20317" s="5" customFormat="1" x14ac:dyDescent="0.4"/>
    <row r="20318" s="5" customFormat="1" x14ac:dyDescent="0.4"/>
    <row r="20319" s="5" customFormat="1" x14ac:dyDescent="0.4"/>
    <row r="20320" s="5" customFormat="1" x14ac:dyDescent="0.4"/>
    <row r="20321" s="5" customFormat="1" x14ac:dyDescent="0.4"/>
    <row r="20322" s="5" customFormat="1" x14ac:dyDescent="0.4"/>
    <row r="20323" s="5" customFormat="1" x14ac:dyDescent="0.4"/>
    <row r="20324" s="5" customFormat="1" x14ac:dyDescent="0.4"/>
    <row r="20325" s="5" customFormat="1" x14ac:dyDescent="0.4"/>
    <row r="20326" s="5" customFormat="1" x14ac:dyDescent="0.4"/>
    <row r="20327" s="5" customFormat="1" x14ac:dyDescent="0.4"/>
    <row r="20328" s="5" customFormat="1" x14ac:dyDescent="0.4"/>
    <row r="20329" s="5" customFormat="1" x14ac:dyDescent="0.4"/>
    <row r="20330" s="5" customFormat="1" x14ac:dyDescent="0.4"/>
    <row r="20331" s="5" customFormat="1" x14ac:dyDescent="0.4"/>
    <row r="20332" s="5" customFormat="1" x14ac:dyDescent="0.4"/>
    <row r="20333" s="5" customFormat="1" x14ac:dyDescent="0.4"/>
    <row r="20334" s="5" customFormat="1" x14ac:dyDescent="0.4"/>
    <row r="20335" s="5" customFormat="1" x14ac:dyDescent="0.4"/>
    <row r="20336" s="5" customFormat="1" x14ac:dyDescent="0.4"/>
    <row r="20337" s="5" customFormat="1" x14ac:dyDescent="0.4"/>
    <row r="20338" s="5" customFormat="1" x14ac:dyDescent="0.4"/>
    <row r="20339" s="5" customFormat="1" x14ac:dyDescent="0.4"/>
    <row r="20340" s="5" customFormat="1" x14ac:dyDescent="0.4"/>
    <row r="20341" s="5" customFormat="1" x14ac:dyDescent="0.4"/>
    <row r="20342" s="5" customFormat="1" x14ac:dyDescent="0.4"/>
    <row r="20343" s="5" customFormat="1" x14ac:dyDescent="0.4"/>
    <row r="20344" s="5" customFormat="1" x14ac:dyDescent="0.4"/>
    <row r="20345" s="5" customFormat="1" x14ac:dyDescent="0.4"/>
    <row r="20346" s="5" customFormat="1" x14ac:dyDescent="0.4"/>
    <row r="20347" s="5" customFormat="1" x14ac:dyDescent="0.4"/>
    <row r="20348" s="5" customFormat="1" x14ac:dyDescent="0.4"/>
    <row r="20349" s="5" customFormat="1" x14ac:dyDescent="0.4"/>
    <row r="20350" s="5" customFormat="1" x14ac:dyDescent="0.4"/>
    <row r="20351" s="5" customFormat="1" x14ac:dyDescent="0.4"/>
    <row r="20352" s="5" customFormat="1" x14ac:dyDescent="0.4"/>
    <row r="20353" s="5" customFormat="1" x14ac:dyDescent="0.4"/>
    <row r="20354" s="5" customFormat="1" x14ac:dyDescent="0.4"/>
    <row r="20355" s="5" customFormat="1" x14ac:dyDescent="0.4"/>
    <row r="20356" s="5" customFormat="1" x14ac:dyDescent="0.4"/>
    <row r="20357" s="5" customFormat="1" x14ac:dyDescent="0.4"/>
    <row r="20358" s="5" customFormat="1" x14ac:dyDescent="0.4"/>
    <row r="20359" s="5" customFormat="1" x14ac:dyDescent="0.4"/>
    <row r="20360" s="5" customFormat="1" x14ac:dyDescent="0.4"/>
    <row r="20361" s="5" customFormat="1" x14ac:dyDescent="0.4"/>
    <row r="20362" s="5" customFormat="1" x14ac:dyDescent="0.4"/>
    <row r="20363" s="5" customFormat="1" x14ac:dyDescent="0.4"/>
    <row r="20364" s="5" customFormat="1" x14ac:dyDescent="0.4"/>
    <row r="20365" s="5" customFormat="1" x14ac:dyDescent="0.4"/>
    <row r="20366" s="5" customFormat="1" x14ac:dyDescent="0.4"/>
    <row r="20367" s="5" customFormat="1" x14ac:dyDescent="0.4"/>
    <row r="20368" s="5" customFormat="1" x14ac:dyDescent="0.4"/>
    <row r="20369" s="5" customFormat="1" x14ac:dyDescent="0.4"/>
    <row r="20370" s="5" customFormat="1" x14ac:dyDescent="0.4"/>
    <row r="20371" s="5" customFormat="1" x14ac:dyDescent="0.4"/>
    <row r="20372" s="5" customFormat="1" x14ac:dyDescent="0.4"/>
    <row r="20373" s="5" customFormat="1" x14ac:dyDescent="0.4"/>
    <row r="20374" s="5" customFormat="1" x14ac:dyDescent="0.4"/>
    <row r="20375" s="5" customFormat="1" x14ac:dyDescent="0.4"/>
    <row r="20376" s="5" customFormat="1" x14ac:dyDescent="0.4"/>
    <row r="20377" s="5" customFormat="1" x14ac:dyDescent="0.4"/>
    <row r="20378" s="5" customFormat="1" x14ac:dyDescent="0.4"/>
    <row r="20379" s="5" customFormat="1" x14ac:dyDescent="0.4"/>
    <row r="20380" s="5" customFormat="1" x14ac:dyDescent="0.4"/>
    <row r="20381" s="5" customFormat="1" x14ac:dyDescent="0.4"/>
    <row r="20382" s="5" customFormat="1" x14ac:dyDescent="0.4"/>
    <row r="20383" s="5" customFormat="1" x14ac:dyDescent="0.4"/>
    <row r="20384" s="5" customFormat="1" x14ac:dyDescent="0.4"/>
    <row r="20385" s="5" customFormat="1" x14ac:dyDescent="0.4"/>
    <row r="20386" s="5" customFormat="1" x14ac:dyDescent="0.4"/>
    <row r="20387" s="5" customFormat="1" x14ac:dyDescent="0.4"/>
    <row r="20388" s="5" customFormat="1" x14ac:dyDescent="0.4"/>
    <row r="20389" s="5" customFormat="1" x14ac:dyDescent="0.4"/>
    <row r="20390" s="5" customFormat="1" x14ac:dyDescent="0.4"/>
    <row r="20391" s="5" customFormat="1" x14ac:dyDescent="0.4"/>
    <row r="20392" s="5" customFormat="1" x14ac:dyDescent="0.4"/>
    <row r="20393" s="5" customFormat="1" x14ac:dyDescent="0.4"/>
    <row r="20394" s="5" customFormat="1" x14ac:dyDescent="0.4"/>
    <row r="20395" s="5" customFormat="1" x14ac:dyDescent="0.4"/>
    <row r="20396" s="5" customFormat="1" x14ac:dyDescent="0.4"/>
    <row r="20397" s="5" customFormat="1" x14ac:dyDescent="0.4"/>
    <row r="20398" s="5" customFormat="1" x14ac:dyDescent="0.4"/>
    <row r="20399" s="5" customFormat="1" x14ac:dyDescent="0.4"/>
    <row r="20400" s="5" customFormat="1" x14ac:dyDescent="0.4"/>
    <row r="20401" s="5" customFormat="1" x14ac:dyDescent="0.4"/>
    <row r="20402" s="5" customFormat="1" x14ac:dyDescent="0.4"/>
    <row r="20403" s="5" customFormat="1" x14ac:dyDescent="0.4"/>
    <row r="20404" s="5" customFormat="1" x14ac:dyDescent="0.4"/>
    <row r="20405" s="5" customFormat="1" x14ac:dyDescent="0.4"/>
    <row r="20406" s="5" customFormat="1" x14ac:dyDescent="0.4"/>
    <row r="20407" s="5" customFormat="1" x14ac:dyDescent="0.4"/>
    <row r="20408" s="5" customFormat="1" x14ac:dyDescent="0.4"/>
    <row r="20409" s="5" customFormat="1" x14ac:dyDescent="0.4"/>
    <row r="20410" s="5" customFormat="1" x14ac:dyDescent="0.4"/>
    <row r="20411" s="5" customFormat="1" x14ac:dyDescent="0.4"/>
    <row r="20412" s="5" customFormat="1" x14ac:dyDescent="0.4"/>
    <row r="20413" s="5" customFormat="1" x14ac:dyDescent="0.4"/>
    <row r="20414" s="5" customFormat="1" x14ac:dyDescent="0.4"/>
    <row r="20415" s="5" customFormat="1" x14ac:dyDescent="0.4"/>
    <row r="20416" s="5" customFormat="1" x14ac:dyDescent="0.4"/>
    <row r="20417" s="5" customFormat="1" x14ac:dyDescent="0.4"/>
    <row r="20418" s="5" customFormat="1" x14ac:dyDescent="0.4"/>
    <row r="20419" s="5" customFormat="1" x14ac:dyDescent="0.4"/>
    <row r="20420" s="5" customFormat="1" x14ac:dyDescent="0.4"/>
    <row r="20421" s="5" customFormat="1" x14ac:dyDescent="0.4"/>
    <row r="20422" s="5" customFormat="1" x14ac:dyDescent="0.4"/>
    <row r="20423" s="5" customFormat="1" x14ac:dyDescent="0.4"/>
    <row r="20424" s="5" customFormat="1" x14ac:dyDescent="0.4"/>
    <row r="20425" s="5" customFormat="1" x14ac:dyDescent="0.4"/>
    <row r="20426" s="5" customFormat="1" x14ac:dyDescent="0.4"/>
    <row r="20427" s="5" customFormat="1" x14ac:dyDescent="0.4"/>
    <row r="20428" s="5" customFormat="1" x14ac:dyDescent="0.4"/>
    <row r="20429" s="5" customFormat="1" x14ac:dyDescent="0.4"/>
    <row r="20430" s="5" customFormat="1" x14ac:dyDescent="0.4"/>
    <row r="20431" s="5" customFormat="1" x14ac:dyDescent="0.4"/>
    <row r="20432" s="5" customFormat="1" x14ac:dyDescent="0.4"/>
    <row r="20433" s="5" customFormat="1" x14ac:dyDescent="0.4"/>
    <row r="20434" s="5" customFormat="1" x14ac:dyDescent="0.4"/>
    <row r="20435" s="5" customFormat="1" x14ac:dyDescent="0.4"/>
    <row r="20436" s="5" customFormat="1" x14ac:dyDescent="0.4"/>
    <row r="20437" s="5" customFormat="1" x14ac:dyDescent="0.4"/>
    <row r="20438" s="5" customFormat="1" x14ac:dyDescent="0.4"/>
    <row r="20439" s="5" customFormat="1" x14ac:dyDescent="0.4"/>
    <row r="20440" s="5" customFormat="1" x14ac:dyDescent="0.4"/>
    <row r="20441" s="5" customFormat="1" x14ac:dyDescent="0.4"/>
    <row r="20442" s="5" customFormat="1" x14ac:dyDescent="0.4"/>
    <row r="20443" s="5" customFormat="1" x14ac:dyDescent="0.4"/>
    <row r="20444" s="5" customFormat="1" x14ac:dyDescent="0.4"/>
    <row r="20445" s="5" customFormat="1" x14ac:dyDescent="0.4"/>
    <row r="20446" s="5" customFormat="1" x14ac:dyDescent="0.4"/>
    <row r="20447" s="5" customFormat="1" x14ac:dyDescent="0.4"/>
    <row r="20448" s="5" customFormat="1" x14ac:dyDescent="0.4"/>
    <row r="20449" s="5" customFormat="1" x14ac:dyDescent="0.4"/>
    <row r="20450" s="5" customFormat="1" x14ac:dyDescent="0.4"/>
    <row r="20451" s="5" customFormat="1" x14ac:dyDescent="0.4"/>
    <row r="20452" s="5" customFormat="1" x14ac:dyDescent="0.4"/>
    <row r="20453" s="5" customFormat="1" x14ac:dyDescent="0.4"/>
    <row r="20454" s="5" customFormat="1" x14ac:dyDescent="0.4"/>
    <row r="20455" s="5" customFormat="1" x14ac:dyDescent="0.4"/>
    <row r="20456" s="5" customFormat="1" x14ac:dyDescent="0.4"/>
    <row r="20457" s="5" customFormat="1" x14ac:dyDescent="0.4"/>
    <row r="20458" s="5" customFormat="1" x14ac:dyDescent="0.4"/>
    <row r="20459" s="5" customFormat="1" x14ac:dyDescent="0.4"/>
    <row r="20460" s="5" customFormat="1" x14ac:dyDescent="0.4"/>
    <row r="20461" s="5" customFormat="1" x14ac:dyDescent="0.4"/>
    <row r="20462" s="5" customFormat="1" x14ac:dyDescent="0.4"/>
    <row r="20463" s="5" customFormat="1" x14ac:dyDescent="0.4"/>
    <row r="20464" s="5" customFormat="1" x14ac:dyDescent="0.4"/>
    <row r="20465" s="5" customFormat="1" x14ac:dyDescent="0.4"/>
    <row r="20466" s="5" customFormat="1" x14ac:dyDescent="0.4"/>
    <row r="20467" s="5" customFormat="1" x14ac:dyDescent="0.4"/>
    <row r="20468" s="5" customFormat="1" x14ac:dyDescent="0.4"/>
    <row r="20469" s="5" customFormat="1" x14ac:dyDescent="0.4"/>
    <row r="20470" s="5" customFormat="1" x14ac:dyDescent="0.4"/>
    <row r="20471" s="5" customFormat="1" x14ac:dyDescent="0.4"/>
    <row r="20472" s="5" customFormat="1" x14ac:dyDescent="0.4"/>
    <row r="20473" s="5" customFormat="1" x14ac:dyDescent="0.4"/>
    <row r="20474" s="5" customFormat="1" x14ac:dyDescent="0.4"/>
    <row r="20475" s="5" customFormat="1" x14ac:dyDescent="0.4"/>
    <row r="20476" s="5" customFormat="1" x14ac:dyDescent="0.4"/>
    <row r="20477" s="5" customFormat="1" x14ac:dyDescent="0.4"/>
    <row r="20478" s="5" customFormat="1" x14ac:dyDescent="0.4"/>
    <row r="20479" s="5" customFormat="1" x14ac:dyDescent="0.4"/>
    <row r="20480" s="5" customFormat="1" x14ac:dyDescent="0.4"/>
    <row r="20481" s="5" customFormat="1" x14ac:dyDescent="0.4"/>
    <row r="20482" s="5" customFormat="1" x14ac:dyDescent="0.4"/>
    <row r="20483" s="5" customFormat="1" x14ac:dyDescent="0.4"/>
    <row r="20484" s="5" customFormat="1" x14ac:dyDescent="0.4"/>
    <row r="20485" s="5" customFormat="1" x14ac:dyDescent="0.4"/>
    <row r="20486" s="5" customFormat="1" x14ac:dyDescent="0.4"/>
    <row r="20487" s="5" customFormat="1" x14ac:dyDescent="0.4"/>
    <row r="20488" s="5" customFormat="1" x14ac:dyDescent="0.4"/>
    <row r="20489" s="5" customFormat="1" x14ac:dyDescent="0.4"/>
    <row r="20490" s="5" customFormat="1" x14ac:dyDescent="0.4"/>
    <row r="20491" s="5" customFormat="1" x14ac:dyDescent="0.4"/>
    <row r="20492" s="5" customFormat="1" x14ac:dyDescent="0.4"/>
    <row r="20493" s="5" customFormat="1" x14ac:dyDescent="0.4"/>
    <row r="20494" s="5" customFormat="1" x14ac:dyDescent="0.4"/>
    <row r="20495" s="5" customFormat="1" x14ac:dyDescent="0.4"/>
    <row r="20496" s="5" customFormat="1" x14ac:dyDescent="0.4"/>
    <row r="20497" s="5" customFormat="1" x14ac:dyDescent="0.4"/>
    <row r="20498" s="5" customFormat="1" x14ac:dyDescent="0.4"/>
    <row r="20499" s="5" customFormat="1" x14ac:dyDescent="0.4"/>
    <row r="20500" s="5" customFormat="1" x14ac:dyDescent="0.4"/>
    <row r="20501" s="5" customFormat="1" x14ac:dyDescent="0.4"/>
    <row r="20502" s="5" customFormat="1" x14ac:dyDescent="0.4"/>
    <row r="20503" s="5" customFormat="1" x14ac:dyDescent="0.4"/>
    <row r="20504" s="5" customFormat="1" x14ac:dyDescent="0.4"/>
    <row r="20505" s="5" customFormat="1" x14ac:dyDescent="0.4"/>
    <row r="20506" s="5" customFormat="1" x14ac:dyDescent="0.4"/>
    <row r="20507" s="5" customFormat="1" x14ac:dyDescent="0.4"/>
    <row r="20508" s="5" customFormat="1" x14ac:dyDescent="0.4"/>
    <row r="20509" s="5" customFormat="1" x14ac:dyDescent="0.4"/>
    <row r="20510" s="5" customFormat="1" x14ac:dyDescent="0.4"/>
    <row r="20511" s="5" customFormat="1" x14ac:dyDescent="0.4"/>
    <row r="20512" s="5" customFormat="1" x14ac:dyDescent="0.4"/>
    <row r="20513" s="5" customFormat="1" x14ac:dyDescent="0.4"/>
    <row r="20514" s="5" customFormat="1" x14ac:dyDescent="0.4"/>
    <row r="20515" s="5" customFormat="1" x14ac:dyDescent="0.4"/>
    <row r="20516" s="5" customFormat="1" x14ac:dyDescent="0.4"/>
    <row r="20517" s="5" customFormat="1" x14ac:dyDescent="0.4"/>
    <row r="20518" s="5" customFormat="1" x14ac:dyDescent="0.4"/>
    <row r="20519" s="5" customFormat="1" x14ac:dyDescent="0.4"/>
    <row r="20520" s="5" customFormat="1" x14ac:dyDescent="0.4"/>
    <row r="20521" s="5" customFormat="1" x14ac:dyDescent="0.4"/>
    <row r="20522" s="5" customFormat="1" x14ac:dyDescent="0.4"/>
    <row r="20523" s="5" customFormat="1" x14ac:dyDescent="0.4"/>
    <row r="20524" s="5" customFormat="1" x14ac:dyDescent="0.4"/>
    <row r="20525" s="5" customFormat="1" x14ac:dyDescent="0.4"/>
    <row r="20526" s="5" customFormat="1" x14ac:dyDescent="0.4"/>
    <row r="20527" s="5" customFormat="1" x14ac:dyDescent="0.4"/>
    <row r="20528" s="5" customFormat="1" x14ac:dyDescent="0.4"/>
    <row r="20529" s="5" customFormat="1" x14ac:dyDescent="0.4"/>
    <row r="20530" s="5" customFormat="1" x14ac:dyDescent="0.4"/>
    <row r="20531" s="5" customFormat="1" x14ac:dyDescent="0.4"/>
    <row r="20532" s="5" customFormat="1" x14ac:dyDescent="0.4"/>
    <row r="20533" s="5" customFormat="1" x14ac:dyDescent="0.4"/>
    <row r="20534" s="5" customFormat="1" x14ac:dyDescent="0.4"/>
    <row r="20535" s="5" customFormat="1" x14ac:dyDescent="0.4"/>
    <row r="20536" s="5" customFormat="1" x14ac:dyDescent="0.4"/>
    <row r="20537" s="5" customFormat="1" x14ac:dyDescent="0.4"/>
    <row r="20538" s="5" customFormat="1" x14ac:dyDescent="0.4"/>
    <row r="20539" s="5" customFormat="1" x14ac:dyDescent="0.4"/>
    <row r="20540" s="5" customFormat="1" x14ac:dyDescent="0.4"/>
    <row r="20541" s="5" customFormat="1" x14ac:dyDescent="0.4"/>
    <row r="20542" s="5" customFormat="1" x14ac:dyDescent="0.4"/>
    <row r="20543" s="5" customFormat="1" x14ac:dyDescent="0.4"/>
    <row r="20544" s="5" customFormat="1" x14ac:dyDescent="0.4"/>
    <row r="20545" s="5" customFormat="1" x14ac:dyDescent="0.4"/>
    <row r="20546" s="5" customFormat="1" x14ac:dyDescent="0.4"/>
    <row r="20547" s="5" customFormat="1" x14ac:dyDescent="0.4"/>
    <row r="20548" s="5" customFormat="1" x14ac:dyDescent="0.4"/>
    <row r="20549" s="5" customFormat="1" x14ac:dyDescent="0.4"/>
    <row r="20550" s="5" customFormat="1" x14ac:dyDescent="0.4"/>
    <row r="20551" s="5" customFormat="1" x14ac:dyDescent="0.4"/>
    <row r="20552" s="5" customFormat="1" x14ac:dyDescent="0.4"/>
    <row r="20553" s="5" customFormat="1" x14ac:dyDescent="0.4"/>
    <row r="20554" s="5" customFormat="1" x14ac:dyDescent="0.4"/>
    <row r="20555" s="5" customFormat="1" x14ac:dyDescent="0.4"/>
    <row r="20556" s="5" customFormat="1" x14ac:dyDescent="0.4"/>
    <row r="20557" s="5" customFormat="1" x14ac:dyDescent="0.4"/>
    <row r="20558" s="5" customFormat="1" x14ac:dyDescent="0.4"/>
    <row r="20559" s="5" customFormat="1" x14ac:dyDescent="0.4"/>
    <row r="20560" s="5" customFormat="1" x14ac:dyDescent="0.4"/>
    <row r="20561" s="5" customFormat="1" x14ac:dyDescent="0.4"/>
    <row r="20562" s="5" customFormat="1" x14ac:dyDescent="0.4"/>
    <row r="20563" s="5" customFormat="1" x14ac:dyDescent="0.4"/>
    <row r="20564" s="5" customFormat="1" x14ac:dyDescent="0.4"/>
    <row r="20565" s="5" customFormat="1" x14ac:dyDescent="0.4"/>
    <row r="20566" s="5" customFormat="1" x14ac:dyDescent="0.4"/>
    <row r="20567" s="5" customFormat="1" x14ac:dyDescent="0.4"/>
    <row r="20568" s="5" customFormat="1" x14ac:dyDescent="0.4"/>
    <row r="20569" s="5" customFormat="1" x14ac:dyDescent="0.4"/>
    <row r="20570" s="5" customFormat="1" x14ac:dyDescent="0.4"/>
    <row r="20571" s="5" customFormat="1" x14ac:dyDescent="0.4"/>
    <row r="20572" s="5" customFormat="1" x14ac:dyDescent="0.4"/>
    <row r="20573" s="5" customFormat="1" x14ac:dyDescent="0.4"/>
    <row r="20574" s="5" customFormat="1" x14ac:dyDescent="0.4"/>
    <row r="20575" s="5" customFormat="1" x14ac:dyDescent="0.4"/>
    <row r="20576" s="5" customFormat="1" x14ac:dyDescent="0.4"/>
    <row r="20577" s="5" customFormat="1" x14ac:dyDescent="0.4"/>
    <row r="20578" s="5" customFormat="1" x14ac:dyDescent="0.4"/>
    <row r="20579" s="5" customFormat="1" x14ac:dyDescent="0.4"/>
    <row r="20580" s="5" customFormat="1" x14ac:dyDescent="0.4"/>
    <row r="20581" s="5" customFormat="1" x14ac:dyDescent="0.4"/>
    <row r="20582" s="5" customFormat="1" x14ac:dyDescent="0.4"/>
    <row r="20583" s="5" customFormat="1" x14ac:dyDescent="0.4"/>
    <row r="20584" s="5" customFormat="1" x14ac:dyDescent="0.4"/>
    <row r="20585" s="5" customFormat="1" x14ac:dyDescent="0.4"/>
    <row r="20586" s="5" customFormat="1" x14ac:dyDescent="0.4"/>
    <row r="20587" s="5" customFormat="1" x14ac:dyDescent="0.4"/>
    <row r="20588" s="5" customFormat="1" x14ac:dyDescent="0.4"/>
    <row r="20589" s="5" customFormat="1" x14ac:dyDescent="0.4"/>
    <row r="20590" s="5" customFormat="1" x14ac:dyDescent="0.4"/>
    <row r="20591" s="5" customFormat="1" x14ac:dyDescent="0.4"/>
    <row r="20592" s="5" customFormat="1" x14ac:dyDescent="0.4"/>
    <row r="20593" s="5" customFormat="1" x14ac:dyDescent="0.4"/>
    <row r="20594" s="5" customFormat="1" x14ac:dyDescent="0.4"/>
    <row r="20595" s="5" customFormat="1" x14ac:dyDescent="0.4"/>
    <row r="20596" s="5" customFormat="1" x14ac:dyDescent="0.4"/>
    <row r="20597" s="5" customFormat="1" x14ac:dyDescent="0.4"/>
    <row r="20598" s="5" customFormat="1" x14ac:dyDescent="0.4"/>
    <row r="20599" s="5" customFormat="1" x14ac:dyDescent="0.4"/>
    <row r="20600" s="5" customFormat="1" x14ac:dyDescent="0.4"/>
    <row r="20601" s="5" customFormat="1" x14ac:dyDescent="0.4"/>
    <row r="20602" s="5" customFormat="1" x14ac:dyDescent="0.4"/>
    <row r="20603" s="5" customFormat="1" x14ac:dyDescent="0.4"/>
    <row r="20604" s="5" customFormat="1" x14ac:dyDescent="0.4"/>
    <row r="20605" s="5" customFormat="1" x14ac:dyDescent="0.4"/>
    <row r="20606" s="5" customFormat="1" x14ac:dyDescent="0.4"/>
    <row r="20607" s="5" customFormat="1" x14ac:dyDescent="0.4"/>
    <row r="20608" s="5" customFormat="1" x14ac:dyDescent="0.4"/>
    <row r="20609" s="5" customFormat="1" x14ac:dyDescent="0.4"/>
    <row r="20610" s="5" customFormat="1" x14ac:dyDescent="0.4"/>
    <row r="20611" s="5" customFormat="1" x14ac:dyDescent="0.4"/>
    <row r="20612" s="5" customFormat="1" x14ac:dyDescent="0.4"/>
    <row r="20613" s="5" customFormat="1" x14ac:dyDescent="0.4"/>
    <row r="20614" s="5" customFormat="1" x14ac:dyDescent="0.4"/>
    <row r="20615" s="5" customFormat="1" x14ac:dyDescent="0.4"/>
    <row r="20616" s="5" customFormat="1" x14ac:dyDescent="0.4"/>
    <row r="20617" s="5" customFormat="1" x14ac:dyDescent="0.4"/>
    <row r="20618" s="5" customFormat="1" x14ac:dyDescent="0.4"/>
    <row r="20619" s="5" customFormat="1" x14ac:dyDescent="0.4"/>
    <row r="20620" s="5" customFormat="1" x14ac:dyDescent="0.4"/>
    <row r="20621" s="5" customFormat="1" x14ac:dyDescent="0.4"/>
    <row r="20622" s="5" customFormat="1" x14ac:dyDescent="0.4"/>
    <row r="20623" s="5" customFormat="1" x14ac:dyDescent="0.4"/>
    <row r="20624" s="5" customFormat="1" x14ac:dyDescent="0.4"/>
    <row r="20625" s="5" customFormat="1" x14ac:dyDescent="0.4"/>
    <row r="20626" s="5" customFormat="1" x14ac:dyDescent="0.4"/>
    <row r="20627" s="5" customFormat="1" x14ac:dyDescent="0.4"/>
    <row r="20628" s="5" customFormat="1" x14ac:dyDescent="0.4"/>
    <row r="20629" s="5" customFormat="1" x14ac:dyDescent="0.4"/>
    <row r="20630" s="5" customFormat="1" x14ac:dyDescent="0.4"/>
    <row r="20631" s="5" customFormat="1" x14ac:dyDescent="0.4"/>
    <row r="20632" s="5" customFormat="1" x14ac:dyDescent="0.4"/>
    <row r="20633" s="5" customFormat="1" x14ac:dyDescent="0.4"/>
    <row r="20634" s="5" customFormat="1" x14ac:dyDescent="0.4"/>
    <row r="20635" s="5" customFormat="1" x14ac:dyDescent="0.4"/>
    <row r="20636" s="5" customFormat="1" x14ac:dyDescent="0.4"/>
    <row r="20637" s="5" customFormat="1" x14ac:dyDescent="0.4"/>
    <row r="20638" s="5" customFormat="1" x14ac:dyDescent="0.4"/>
    <row r="20639" s="5" customFormat="1" x14ac:dyDescent="0.4"/>
    <row r="20640" s="5" customFormat="1" x14ac:dyDescent="0.4"/>
    <row r="20641" s="5" customFormat="1" x14ac:dyDescent="0.4"/>
    <row r="20642" s="5" customFormat="1" x14ac:dyDescent="0.4"/>
    <row r="20643" s="5" customFormat="1" x14ac:dyDescent="0.4"/>
    <row r="20644" s="5" customFormat="1" x14ac:dyDescent="0.4"/>
    <row r="20645" s="5" customFormat="1" x14ac:dyDescent="0.4"/>
    <row r="20646" s="5" customFormat="1" x14ac:dyDescent="0.4"/>
    <row r="20647" s="5" customFormat="1" x14ac:dyDescent="0.4"/>
    <row r="20648" s="5" customFormat="1" x14ac:dyDescent="0.4"/>
    <row r="20649" s="5" customFormat="1" x14ac:dyDescent="0.4"/>
    <row r="20650" s="5" customFormat="1" x14ac:dyDescent="0.4"/>
    <row r="20651" s="5" customFormat="1" x14ac:dyDescent="0.4"/>
    <row r="20652" s="5" customFormat="1" x14ac:dyDescent="0.4"/>
    <row r="20653" s="5" customFormat="1" x14ac:dyDescent="0.4"/>
    <row r="20654" s="5" customFormat="1" x14ac:dyDescent="0.4"/>
    <row r="20655" s="5" customFormat="1" x14ac:dyDescent="0.4"/>
    <row r="20656" s="5" customFormat="1" x14ac:dyDescent="0.4"/>
    <row r="20657" s="5" customFormat="1" x14ac:dyDescent="0.4"/>
    <row r="20658" s="5" customFormat="1" x14ac:dyDescent="0.4"/>
    <row r="20659" s="5" customFormat="1" x14ac:dyDescent="0.4"/>
    <row r="20660" s="5" customFormat="1" x14ac:dyDescent="0.4"/>
    <row r="20661" s="5" customFormat="1" x14ac:dyDescent="0.4"/>
    <row r="20662" s="5" customFormat="1" x14ac:dyDescent="0.4"/>
    <row r="20663" s="5" customFormat="1" x14ac:dyDescent="0.4"/>
    <row r="20664" s="5" customFormat="1" x14ac:dyDescent="0.4"/>
    <row r="20665" s="5" customFormat="1" x14ac:dyDescent="0.4"/>
    <row r="20666" s="5" customFormat="1" x14ac:dyDescent="0.4"/>
    <row r="20667" s="5" customFormat="1" x14ac:dyDescent="0.4"/>
    <row r="20668" s="5" customFormat="1" x14ac:dyDescent="0.4"/>
    <row r="20669" s="5" customFormat="1" x14ac:dyDescent="0.4"/>
    <row r="20670" s="5" customFormat="1" x14ac:dyDescent="0.4"/>
    <row r="20671" s="5" customFormat="1" x14ac:dyDescent="0.4"/>
    <row r="20672" s="5" customFormat="1" x14ac:dyDescent="0.4"/>
    <row r="20673" s="5" customFormat="1" x14ac:dyDescent="0.4"/>
    <row r="20674" s="5" customFormat="1" x14ac:dyDescent="0.4"/>
    <row r="20675" s="5" customFormat="1" x14ac:dyDescent="0.4"/>
    <row r="20676" s="5" customFormat="1" x14ac:dyDescent="0.4"/>
    <row r="20677" s="5" customFormat="1" x14ac:dyDescent="0.4"/>
    <row r="20678" s="5" customFormat="1" x14ac:dyDescent="0.4"/>
    <row r="20679" s="5" customFormat="1" x14ac:dyDescent="0.4"/>
    <row r="20680" s="5" customFormat="1" x14ac:dyDescent="0.4"/>
    <row r="20681" s="5" customFormat="1" x14ac:dyDescent="0.4"/>
    <row r="20682" s="5" customFormat="1" x14ac:dyDescent="0.4"/>
    <row r="20683" s="5" customFormat="1" x14ac:dyDescent="0.4"/>
    <row r="20684" s="5" customFormat="1" x14ac:dyDescent="0.4"/>
    <row r="20685" s="5" customFormat="1" x14ac:dyDescent="0.4"/>
    <row r="20686" s="5" customFormat="1" x14ac:dyDescent="0.4"/>
    <row r="20687" s="5" customFormat="1" x14ac:dyDescent="0.4"/>
    <row r="20688" s="5" customFormat="1" x14ac:dyDescent="0.4"/>
    <row r="20689" s="5" customFormat="1" x14ac:dyDescent="0.4"/>
    <row r="20690" s="5" customFormat="1" x14ac:dyDescent="0.4"/>
    <row r="20691" s="5" customFormat="1" x14ac:dyDescent="0.4"/>
    <row r="20692" s="5" customFormat="1" x14ac:dyDescent="0.4"/>
    <row r="20693" s="5" customFormat="1" x14ac:dyDescent="0.4"/>
    <row r="20694" s="5" customFormat="1" x14ac:dyDescent="0.4"/>
    <row r="20695" s="5" customFormat="1" x14ac:dyDescent="0.4"/>
    <row r="20696" s="5" customFormat="1" x14ac:dyDescent="0.4"/>
    <row r="20697" s="5" customFormat="1" x14ac:dyDescent="0.4"/>
    <row r="20698" s="5" customFormat="1" x14ac:dyDescent="0.4"/>
    <row r="20699" s="5" customFormat="1" x14ac:dyDescent="0.4"/>
    <row r="20700" s="5" customFormat="1" x14ac:dyDescent="0.4"/>
    <row r="20701" s="5" customFormat="1" x14ac:dyDescent="0.4"/>
    <row r="20702" s="5" customFormat="1" x14ac:dyDescent="0.4"/>
    <row r="20703" s="5" customFormat="1" x14ac:dyDescent="0.4"/>
    <row r="20704" s="5" customFormat="1" x14ac:dyDescent="0.4"/>
    <row r="20705" s="5" customFormat="1" x14ac:dyDescent="0.4"/>
    <row r="20706" s="5" customFormat="1" x14ac:dyDescent="0.4"/>
    <row r="20707" s="5" customFormat="1" x14ac:dyDescent="0.4"/>
    <row r="20708" s="5" customFormat="1" x14ac:dyDescent="0.4"/>
    <row r="20709" s="5" customFormat="1" x14ac:dyDescent="0.4"/>
    <row r="20710" s="5" customFormat="1" x14ac:dyDescent="0.4"/>
    <row r="20711" s="5" customFormat="1" x14ac:dyDescent="0.4"/>
    <row r="20712" s="5" customFormat="1" x14ac:dyDescent="0.4"/>
    <row r="20713" s="5" customFormat="1" x14ac:dyDescent="0.4"/>
    <row r="20714" s="5" customFormat="1" x14ac:dyDescent="0.4"/>
    <row r="20715" s="5" customFormat="1" x14ac:dyDescent="0.4"/>
    <row r="20716" s="5" customFormat="1" x14ac:dyDescent="0.4"/>
    <row r="20717" s="5" customFormat="1" x14ac:dyDescent="0.4"/>
    <row r="20718" s="5" customFormat="1" x14ac:dyDescent="0.4"/>
    <row r="20719" s="5" customFormat="1" x14ac:dyDescent="0.4"/>
    <row r="20720" s="5" customFormat="1" x14ac:dyDescent="0.4"/>
    <row r="20721" s="5" customFormat="1" x14ac:dyDescent="0.4"/>
    <row r="20722" s="5" customFormat="1" x14ac:dyDescent="0.4"/>
    <row r="20723" s="5" customFormat="1" x14ac:dyDescent="0.4"/>
    <row r="20724" s="5" customFormat="1" x14ac:dyDescent="0.4"/>
    <row r="20725" s="5" customFormat="1" x14ac:dyDescent="0.4"/>
    <row r="20726" s="5" customFormat="1" x14ac:dyDescent="0.4"/>
    <row r="20727" s="5" customFormat="1" x14ac:dyDescent="0.4"/>
    <row r="20728" s="5" customFormat="1" x14ac:dyDescent="0.4"/>
    <row r="20729" s="5" customFormat="1" x14ac:dyDescent="0.4"/>
    <row r="20730" s="5" customFormat="1" x14ac:dyDescent="0.4"/>
    <row r="20731" s="5" customFormat="1" x14ac:dyDescent="0.4"/>
    <row r="20732" s="5" customFormat="1" x14ac:dyDescent="0.4"/>
    <row r="20733" s="5" customFormat="1" x14ac:dyDescent="0.4"/>
    <row r="20734" s="5" customFormat="1" x14ac:dyDescent="0.4"/>
    <row r="20735" s="5" customFormat="1" x14ac:dyDescent="0.4"/>
    <row r="20736" s="5" customFormat="1" x14ac:dyDescent="0.4"/>
    <row r="20737" s="5" customFormat="1" x14ac:dyDescent="0.4"/>
    <row r="20738" s="5" customFormat="1" x14ac:dyDescent="0.4"/>
    <row r="20739" s="5" customFormat="1" x14ac:dyDescent="0.4"/>
    <row r="20740" s="5" customFormat="1" x14ac:dyDescent="0.4"/>
    <row r="20741" s="5" customFormat="1" x14ac:dyDescent="0.4"/>
    <row r="20742" s="5" customFormat="1" x14ac:dyDescent="0.4"/>
    <row r="20743" s="5" customFormat="1" x14ac:dyDescent="0.4"/>
    <row r="20744" s="5" customFormat="1" x14ac:dyDescent="0.4"/>
    <row r="20745" s="5" customFormat="1" x14ac:dyDescent="0.4"/>
    <row r="20746" s="5" customFormat="1" x14ac:dyDescent="0.4"/>
    <row r="20747" s="5" customFormat="1" x14ac:dyDescent="0.4"/>
    <row r="20748" s="5" customFormat="1" x14ac:dyDescent="0.4"/>
    <row r="20749" s="5" customFormat="1" x14ac:dyDescent="0.4"/>
    <row r="20750" s="5" customFormat="1" x14ac:dyDescent="0.4"/>
    <row r="20751" s="5" customFormat="1" x14ac:dyDescent="0.4"/>
    <row r="20752" s="5" customFormat="1" x14ac:dyDescent="0.4"/>
    <row r="20753" s="5" customFormat="1" x14ac:dyDescent="0.4"/>
    <row r="20754" s="5" customFormat="1" x14ac:dyDescent="0.4"/>
    <row r="20755" s="5" customFormat="1" x14ac:dyDescent="0.4"/>
    <row r="20756" s="5" customFormat="1" x14ac:dyDescent="0.4"/>
    <row r="20757" s="5" customFormat="1" x14ac:dyDescent="0.4"/>
    <row r="20758" s="5" customFormat="1" x14ac:dyDescent="0.4"/>
    <row r="20759" s="5" customFormat="1" x14ac:dyDescent="0.4"/>
    <row r="20760" s="5" customFormat="1" x14ac:dyDescent="0.4"/>
    <row r="20761" s="5" customFormat="1" x14ac:dyDescent="0.4"/>
    <row r="20762" s="5" customFormat="1" x14ac:dyDescent="0.4"/>
    <row r="20763" s="5" customFormat="1" x14ac:dyDescent="0.4"/>
    <row r="20764" s="5" customFormat="1" x14ac:dyDescent="0.4"/>
    <row r="20765" s="5" customFormat="1" x14ac:dyDescent="0.4"/>
    <row r="20766" s="5" customFormat="1" x14ac:dyDescent="0.4"/>
    <row r="20767" s="5" customFormat="1" x14ac:dyDescent="0.4"/>
    <row r="20768" s="5" customFormat="1" x14ac:dyDescent="0.4"/>
    <row r="20769" s="5" customFormat="1" x14ac:dyDescent="0.4"/>
    <row r="20770" s="5" customFormat="1" x14ac:dyDescent="0.4"/>
    <row r="20771" s="5" customFormat="1" x14ac:dyDescent="0.4"/>
    <row r="20772" s="5" customFormat="1" x14ac:dyDescent="0.4"/>
    <row r="20773" s="5" customFormat="1" x14ac:dyDescent="0.4"/>
    <row r="20774" s="5" customFormat="1" x14ac:dyDescent="0.4"/>
    <row r="20775" s="5" customFormat="1" x14ac:dyDescent="0.4"/>
    <row r="20776" s="5" customFormat="1" x14ac:dyDescent="0.4"/>
    <row r="20777" s="5" customFormat="1" x14ac:dyDescent="0.4"/>
    <row r="20778" s="5" customFormat="1" x14ac:dyDescent="0.4"/>
    <row r="20779" s="5" customFormat="1" x14ac:dyDescent="0.4"/>
    <row r="20780" s="5" customFormat="1" x14ac:dyDescent="0.4"/>
    <row r="20781" s="5" customFormat="1" x14ac:dyDescent="0.4"/>
    <row r="20782" s="5" customFormat="1" x14ac:dyDescent="0.4"/>
    <row r="20783" s="5" customFormat="1" x14ac:dyDescent="0.4"/>
    <row r="20784" s="5" customFormat="1" x14ac:dyDescent="0.4"/>
    <row r="20785" s="5" customFormat="1" x14ac:dyDescent="0.4"/>
    <row r="20786" s="5" customFormat="1" x14ac:dyDescent="0.4"/>
    <row r="20787" s="5" customFormat="1" x14ac:dyDescent="0.4"/>
    <row r="20788" s="5" customFormat="1" x14ac:dyDescent="0.4"/>
    <row r="20789" s="5" customFormat="1" x14ac:dyDescent="0.4"/>
    <row r="20790" s="5" customFormat="1" x14ac:dyDescent="0.4"/>
    <row r="20791" s="5" customFormat="1" x14ac:dyDescent="0.4"/>
    <row r="20792" s="5" customFormat="1" x14ac:dyDescent="0.4"/>
    <row r="20793" s="5" customFormat="1" x14ac:dyDescent="0.4"/>
    <row r="20794" s="5" customFormat="1" x14ac:dyDescent="0.4"/>
    <row r="20795" s="5" customFormat="1" x14ac:dyDescent="0.4"/>
    <row r="20796" s="5" customFormat="1" x14ac:dyDescent="0.4"/>
    <row r="20797" s="5" customFormat="1" x14ac:dyDescent="0.4"/>
    <row r="20798" s="5" customFormat="1" x14ac:dyDescent="0.4"/>
    <row r="20799" s="5" customFormat="1" x14ac:dyDescent="0.4"/>
    <row r="20800" s="5" customFormat="1" x14ac:dyDescent="0.4"/>
    <row r="20801" s="5" customFormat="1" x14ac:dyDescent="0.4"/>
    <row r="20802" s="5" customFormat="1" x14ac:dyDescent="0.4"/>
    <row r="20803" s="5" customFormat="1" x14ac:dyDescent="0.4"/>
    <row r="20804" s="5" customFormat="1" x14ac:dyDescent="0.4"/>
    <row r="20805" s="5" customFormat="1" x14ac:dyDescent="0.4"/>
    <row r="20806" s="5" customFormat="1" x14ac:dyDescent="0.4"/>
    <row r="20807" s="5" customFormat="1" x14ac:dyDescent="0.4"/>
    <row r="20808" s="5" customFormat="1" x14ac:dyDescent="0.4"/>
    <row r="20809" s="5" customFormat="1" x14ac:dyDescent="0.4"/>
    <row r="20810" s="5" customFormat="1" x14ac:dyDescent="0.4"/>
    <row r="20811" s="5" customFormat="1" x14ac:dyDescent="0.4"/>
    <row r="20812" s="5" customFormat="1" x14ac:dyDescent="0.4"/>
    <row r="20813" s="5" customFormat="1" x14ac:dyDescent="0.4"/>
    <row r="20814" s="5" customFormat="1" x14ac:dyDescent="0.4"/>
    <row r="20815" s="5" customFormat="1" x14ac:dyDescent="0.4"/>
    <row r="20816" s="5" customFormat="1" x14ac:dyDescent="0.4"/>
    <row r="20817" s="5" customFormat="1" x14ac:dyDescent="0.4"/>
    <row r="20818" s="5" customFormat="1" x14ac:dyDescent="0.4"/>
    <row r="20819" s="5" customFormat="1" x14ac:dyDescent="0.4"/>
    <row r="20820" s="5" customFormat="1" x14ac:dyDescent="0.4"/>
    <row r="20821" s="5" customFormat="1" x14ac:dyDescent="0.4"/>
    <row r="20822" s="5" customFormat="1" x14ac:dyDescent="0.4"/>
    <row r="20823" s="5" customFormat="1" x14ac:dyDescent="0.4"/>
    <row r="20824" s="5" customFormat="1" x14ac:dyDescent="0.4"/>
    <row r="20825" s="5" customFormat="1" x14ac:dyDescent="0.4"/>
    <row r="20826" s="5" customFormat="1" x14ac:dyDescent="0.4"/>
    <row r="20827" s="5" customFormat="1" x14ac:dyDescent="0.4"/>
    <row r="20828" s="5" customFormat="1" x14ac:dyDescent="0.4"/>
    <row r="20829" s="5" customFormat="1" x14ac:dyDescent="0.4"/>
    <row r="20830" s="5" customFormat="1" x14ac:dyDescent="0.4"/>
    <row r="20831" s="5" customFormat="1" x14ac:dyDescent="0.4"/>
    <row r="20832" s="5" customFormat="1" x14ac:dyDescent="0.4"/>
    <row r="20833" s="5" customFormat="1" x14ac:dyDescent="0.4"/>
    <row r="20834" s="5" customFormat="1" x14ac:dyDescent="0.4"/>
    <row r="20835" s="5" customFormat="1" x14ac:dyDescent="0.4"/>
    <row r="20836" s="5" customFormat="1" x14ac:dyDescent="0.4"/>
    <row r="20837" s="5" customFormat="1" x14ac:dyDescent="0.4"/>
    <row r="20838" s="5" customFormat="1" x14ac:dyDescent="0.4"/>
    <row r="20839" s="5" customFormat="1" x14ac:dyDescent="0.4"/>
    <row r="20840" s="5" customFormat="1" x14ac:dyDescent="0.4"/>
    <row r="20841" s="5" customFormat="1" x14ac:dyDescent="0.4"/>
    <row r="20842" s="5" customFormat="1" x14ac:dyDescent="0.4"/>
    <row r="20843" s="5" customFormat="1" x14ac:dyDescent="0.4"/>
    <row r="20844" s="5" customFormat="1" x14ac:dyDescent="0.4"/>
    <row r="20845" s="5" customFormat="1" x14ac:dyDescent="0.4"/>
    <row r="20846" s="5" customFormat="1" x14ac:dyDescent="0.4"/>
    <row r="20847" s="5" customFormat="1" x14ac:dyDescent="0.4"/>
    <row r="20848" s="5" customFormat="1" x14ac:dyDescent="0.4"/>
    <row r="20849" s="5" customFormat="1" x14ac:dyDescent="0.4"/>
    <row r="20850" s="5" customFormat="1" x14ac:dyDescent="0.4"/>
    <row r="20851" s="5" customFormat="1" x14ac:dyDescent="0.4"/>
    <row r="20852" s="5" customFormat="1" x14ac:dyDescent="0.4"/>
    <row r="20853" s="5" customFormat="1" x14ac:dyDescent="0.4"/>
    <row r="20854" s="5" customFormat="1" x14ac:dyDescent="0.4"/>
    <row r="20855" s="5" customFormat="1" x14ac:dyDescent="0.4"/>
    <row r="20856" s="5" customFormat="1" x14ac:dyDescent="0.4"/>
    <row r="20857" s="5" customFormat="1" x14ac:dyDescent="0.4"/>
    <row r="20858" s="5" customFormat="1" x14ac:dyDescent="0.4"/>
    <row r="20859" s="5" customFormat="1" x14ac:dyDescent="0.4"/>
    <row r="20860" s="5" customFormat="1" x14ac:dyDescent="0.4"/>
    <row r="20861" s="5" customFormat="1" x14ac:dyDescent="0.4"/>
    <row r="20862" s="5" customFormat="1" x14ac:dyDescent="0.4"/>
    <row r="20863" s="5" customFormat="1" x14ac:dyDescent="0.4"/>
    <row r="20864" s="5" customFormat="1" x14ac:dyDescent="0.4"/>
    <row r="20865" s="5" customFormat="1" x14ac:dyDescent="0.4"/>
    <row r="20866" s="5" customFormat="1" x14ac:dyDescent="0.4"/>
    <row r="20867" s="5" customFormat="1" x14ac:dyDescent="0.4"/>
    <row r="20868" s="5" customFormat="1" x14ac:dyDescent="0.4"/>
    <row r="20869" s="5" customFormat="1" x14ac:dyDescent="0.4"/>
    <row r="20870" s="5" customFormat="1" x14ac:dyDescent="0.4"/>
    <row r="20871" s="5" customFormat="1" x14ac:dyDescent="0.4"/>
    <row r="20872" s="5" customFormat="1" x14ac:dyDescent="0.4"/>
    <row r="20873" s="5" customFormat="1" x14ac:dyDescent="0.4"/>
    <row r="20874" s="5" customFormat="1" x14ac:dyDescent="0.4"/>
    <row r="20875" s="5" customFormat="1" x14ac:dyDescent="0.4"/>
    <row r="20876" s="5" customFormat="1" x14ac:dyDescent="0.4"/>
    <row r="20877" s="5" customFormat="1" x14ac:dyDescent="0.4"/>
    <row r="20878" s="5" customFormat="1" x14ac:dyDescent="0.4"/>
    <row r="20879" s="5" customFormat="1" x14ac:dyDescent="0.4"/>
    <row r="20880" s="5" customFormat="1" x14ac:dyDescent="0.4"/>
    <row r="20881" s="5" customFormat="1" x14ac:dyDescent="0.4"/>
    <row r="20882" s="5" customFormat="1" x14ac:dyDescent="0.4"/>
    <row r="20883" s="5" customFormat="1" x14ac:dyDescent="0.4"/>
    <row r="20884" s="5" customFormat="1" x14ac:dyDescent="0.4"/>
    <row r="20885" s="5" customFormat="1" x14ac:dyDescent="0.4"/>
    <row r="20886" s="5" customFormat="1" x14ac:dyDescent="0.4"/>
    <row r="20887" s="5" customFormat="1" x14ac:dyDescent="0.4"/>
    <row r="20888" s="5" customFormat="1" x14ac:dyDescent="0.4"/>
    <row r="20889" s="5" customFormat="1" x14ac:dyDescent="0.4"/>
    <row r="20890" s="5" customFormat="1" x14ac:dyDescent="0.4"/>
    <row r="20891" s="5" customFormat="1" x14ac:dyDescent="0.4"/>
    <row r="20892" s="5" customFormat="1" x14ac:dyDescent="0.4"/>
    <row r="20893" s="5" customFormat="1" x14ac:dyDescent="0.4"/>
    <row r="20894" s="5" customFormat="1" x14ac:dyDescent="0.4"/>
    <row r="20895" s="5" customFormat="1" x14ac:dyDescent="0.4"/>
    <row r="20896" s="5" customFormat="1" x14ac:dyDescent="0.4"/>
    <row r="20897" s="5" customFormat="1" x14ac:dyDescent="0.4"/>
    <row r="20898" s="5" customFormat="1" x14ac:dyDescent="0.4"/>
    <row r="20899" s="5" customFormat="1" x14ac:dyDescent="0.4"/>
    <row r="20900" s="5" customFormat="1" x14ac:dyDescent="0.4"/>
    <row r="20901" s="5" customFormat="1" x14ac:dyDescent="0.4"/>
    <row r="20902" s="5" customFormat="1" x14ac:dyDescent="0.4"/>
    <row r="20903" s="5" customFormat="1" x14ac:dyDescent="0.4"/>
    <row r="20904" s="5" customFormat="1" x14ac:dyDescent="0.4"/>
    <row r="20905" s="5" customFormat="1" x14ac:dyDescent="0.4"/>
    <row r="20906" s="5" customFormat="1" x14ac:dyDescent="0.4"/>
    <row r="20907" s="5" customFormat="1" x14ac:dyDescent="0.4"/>
    <row r="20908" s="5" customFormat="1" x14ac:dyDescent="0.4"/>
    <row r="20909" s="5" customFormat="1" x14ac:dyDescent="0.4"/>
    <row r="20910" s="5" customFormat="1" x14ac:dyDescent="0.4"/>
    <row r="20911" s="5" customFormat="1" x14ac:dyDescent="0.4"/>
    <row r="20912" s="5" customFormat="1" x14ac:dyDescent="0.4"/>
    <row r="20913" s="5" customFormat="1" x14ac:dyDescent="0.4"/>
    <row r="20914" s="5" customFormat="1" x14ac:dyDescent="0.4"/>
    <row r="20915" s="5" customFormat="1" x14ac:dyDescent="0.4"/>
    <row r="20916" s="5" customFormat="1" x14ac:dyDescent="0.4"/>
    <row r="20917" s="5" customFormat="1" x14ac:dyDescent="0.4"/>
    <row r="20918" s="5" customFormat="1" x14ac:dyDescent="0.4"/>
    <row r="20919" s="5" customFormat="1" x14ac:dyDescent="0.4"/>
    <row r="20920" s="5" customFormat="1" x14ac:dyDescent="0.4"/>
    <row r="20921" s="5" customFormat="1" x14ac:dyDescent="0.4"/>
    <row r="20922" s="5" customFormat="1" x14ac:dyDescent="0.4"/>
    <row r="20923" s="5" customFormat="1" x14ac:dyDescent="0.4"/>
    <row r="20924" s="5" customFormat="1" x14ac:dyDescent="0.4"/>
    <row r="20925" s="5" customFormat="1" x14ac:dyDescent="0.4"/>
    <row r="20926" s="5" customFormat="1" x14ac:dyDescent="0.4"/>
    <row r="20927" s="5" customFormat="1" x14ac:dyDescent="0.4"/>
    <row r="20928" s="5" customFormat="1" x14ac:dyDescent="0.4"/>
    <row r="20929" s="5" customFormat="1" x14ac:dyDescent="0.4"/>
    <row r="20930" s="5" customFormat="1" x14ac:dyDescent="0.4"/>
    <row r="20931" s="5" customFormat="1" x14ac:dyDescent="0.4"/>
    <row r="20932" s="5" customFormat="1" x14ac:dyDescent="0.4"/>
    <row r="20933" s="5" customFormat="1" x14ac:dyDescent="0.4"/>
    <row r="20934" s="5" customFormat="1" x14ac:dyDescent="0.4"/>
    <row r="20935" s="5" customFormat="1" x14ac:dyDescent="0.4"/>
    <row r="20936" s="5" customFormat="1" x14ac:dyDescent="0.4"/>
    <row r="20937" s="5" customFormat="1" x14ac:dyDescent="0.4"/>
    <row r="20938" s="5" customFormat="1" x14ac:dyDescent="0.4"/>
    <row r="20939" s="5" customFormat="1" x14ac:dyDescent="0.4"/>
    <row r="20940" s="5" customFormat="1" x14ac:dyDescent="0.4"/>
    <row r="20941" s="5" customFormat="1" x14ac:dyDescent="0.4"/>
    <row r="20942" s="5" customFormat="1" x14ac:dyDescent="0.4"/>
    <row r="20943" s="5" customFormat="1" x14ac:dyDescent="0.4"/>
    <row r="20944" s="5" customFormat="1" x14ac:dyDescent="0.4"/>
    <row r="20945" s="5" customFormat="1" x14ac:dyDescent="0.4"/>
    <row r="20946" s="5" customFormat="1" x14ac:dyDescent="0.4"/>
    <row r="20947" s="5" customFormat="1" x14ac:dyDescent="0.4"/>
    <row r="20948" s="5" customFormat="1" x14ac:dyDescent="0.4"/>
    <row r="20949" s="5" customFormat="1" x14ac:dyDescent="0.4"/>
    <row r="20950" s="5" customFormat="1" x14ac:dyDescent="0.4"/>
    <row r="20951" s="5" customFormat="1" x14ac:dyDescent="0.4"/>
    <row r="20952" s="5" customFormat="1" x14ac:dyDescent="0.4"/>
    <row r="20953" s="5" customFormat="1" x14ac:dyDescent="0.4"/>
    <row r="20954" s="5" customFormat="1" x14ac:dyDescent="0.4"/>
    <row r="20955" s="5" customFormat="1" x14ac:dyDescent="0.4"/>
    <row r="20956" s="5" customFormat="1" x14ac:dyDescent="0.4"/>
    <row r="20957" s="5" customFormat="1" x14ac:dyDescent="0.4"/>
    <row r="20958" s="5" customFormat="1" x14ac:dyDescent="0.4"/>
    <row r="20959" s="5" customFormat="1" x14ac:dyDescent="0.4"/>
    <row r="20960" s="5" customFormat="1" x14ac:dyDescent="0.4"/>
    <row r="20961" s="5" customFormat="1" x14ac:dyDescent="0.4"/>
    <row r="20962" s="5" customFormat="1" x14ac:dyDescent="0.4"/>
    <row r="20963" s="5" customFormat="1" x14ac:dyDescent="0.4"/>
    <row r="20964" s="5" customFormat="1" x14ac:dyDescent="0.4"/>
    <row r="20965" s="5" customFormat="1" x14ac:dyDescent="0.4"/>
    <row r="20966" s="5" customFormat="1" x14ac:dyDescent="0.4"/>
    <row r="20967" s="5" customFormat="1" x14ac:dyDescent="0.4"/>
    <row r="20968" s="5" customFormat="1" x14ac:dyDescent="0.4"/>
    <row r="20969" s="5" customFormat="1" x14ac:dyDescent="0.4"/>
    <row r="20970" s="5" customFormat="1" x14ac:dyDescent="0.4"/>
    <row r="20971" s="5" customFormat="1" x14ac:dyDescent="0.4"/>
    <row r="20972" s="5" customFormat="1" x14ac:dyDescent="0.4"/>
    <row r="20973" s="5" customFormat="1" x14ac:dyDescent="0.4"/>
    <row r="20974" s="5" customFormat="1" x14ac:dyDescent="0.4"/>
    <row r="20975" s="5" customFormat="1" x14ac:dyDescent="0.4"/>
    <row r="20976" s="5" customFormat="1" x14ac:dyDescent="0.4"/>
    <row r="20977" s="5" customFormat="1" x14ac:dyDescent="0.4"/>
    <row r="20978" s="5" customFormat="1" x14ac:dyDescent="0.4"/>
    <row r="20979" s="5" customFormat="1" x14ac:dyDescent="0.4"/>
    <row r="20980" s="5" customFormat="1" x14ac:dyDescent="0.4"/>
    <row r="20981" s="5" customFormat="1" x14ac:dyDescent="0.4"/>
    <row r="20982" s="5" customFormat="1" x14ac:dyDescent="0.4"/>
    <row r="20983" s="5" customFormat="1" x14ac:dyDescent="0.4"/>
    <row r="20984" s="5" customFormat="1" x14ac:dyDescent="0.4"/>
    <row r="20985" s="5" customFormat="1" x14ac:dyDescent="0.4"/>
    <row r="20986" s="5" customFormat="1" x14ac:dyDescent="0.4"/>
    <row r="20987" s="5" customFormat="1" x14ac:dyDescent="0.4"/>
    <row r="20988" s="5" customFormat="1" x14ac:dyDescent="0.4"/>
    <row r="20989" s="5" customFormat="1" x14ac:dyDescent="0.4"/>
    <row r="20990" s="5" customFormat="1" x14ac:dyDescent="0.4"/>
    <row r="20991" s="5" customFormat="1" x14ac:dyDescent="0.4"/>
    <row r="20992" s="5" customFormat="1" x14ac:dyDescent="0.4"/>
    <row r="20993" s="5" customFormat="1" x14ac:dyDescent="0.4"/>
    <row r="20994" s="5" customFormat="1" x14ac:dyDescent="0.4"/>
    <row r="20995" s="5" customFormat="1" x14ac:dyDescent="0.4"/>
    <row r="20996" s="5" customFormat="1" x14ac:dyDescent="0.4"/>
    <row r="20997" s="5" customFormat="1" x14ac:dyDescent="0.4"/>
    <row r="20998" s="5" customFormat="1" x14ac:dyDescent="0.4"/>
    <row r="20999" s="5" customFormat="1" x14ac:dyDescent="0.4"/>
    <row r="21000" s="5" customFormat="1" x14ac:dyDescent="0.4"/>
    <row r="21001" s="5" customFormat="1" x14ac:dyDescent="0.4"/>
    <row r="21002" s="5" customFormat="1" x14ac:dyDescent="0.4"/>
    <row r="21003" s="5" customFormat="1" x14ac:dyDescent="0.4"/>
    <row r="21004" s="5" customFormat="1" x14ac:dyDescent="0.4"/>
    <row r="21005" s="5" customFormat="1" x14ac:dyDescent="0.4"/>
    <row r="21006" s="5" customFormat="1" x14ac:dyDescent="0.4"/>
    <row r="21007" s="5" customFormat="1" x14ac:dyDescent="0.4"/>
    <row r="21008" s="5" customFormat="1" x14ac:dyDescent="0.4"/>
    <row r="21009" s="5" customFormat="1" x14ac:dyDescent="0.4"/>
    <row r="21010" s="5" customFormat="1" x14ac:dyDescent="0.4"/>
    <row r="21011" s="5" customFormat="1" x14ac:dyDescent="0.4"/>
    <row r="21012" s="5" customFormat="1" x14ac:dyDescent="0.4"/>
    <row r="21013" s="5" customFormat="1" x14ac:dyDescent="0.4"/>
    <row r="21014" s="5" customFormat="1" x14ac:dyDescent="0.4"/>
    <row r="21015" s="5" customFormat="1" x14ac:dyDescent="0.4"/>
    <row r="21016" s="5" customFormat="1" x14ac:dyDescent="0.4"/>
    <row r="21017" s="5" customFormat="1" x14ac:dyDescent="0.4"/>
    <row r="21018" s="5" customFormat="1" x14ac:dyDescent="0.4"/>
    <row r="21019" s="5" customFormat="1" x14ac:dyDescent="0.4"/>
    <row r="21020" s="5" customFormat="1" x14ac:dyDescent="0.4"/>
    <row r="21021" s="5" customFormat="1" x14ac:dyDescent="0.4"/>
    <row r="21022" s="5" customFormat="1" x14ac:dyDescent="0.4"/>
    <row r="21023" s="5" customFormat="1" x14ac:dyDescent="0.4"/>
    <row r="21024" s="5" customFormat="1" x14ac:dyDescent="0.4"/>
    <row r="21025" s="5" customFormat="1" x14ac:dyDescent="0.4"/>
    <row r="21026" s="5" customFormat="1" x14ac:dyDescent="0.4"/>
    <row r="21027" s="5" customFormat="1" x14ac:dyDescent="0.4"/>
    <row r="21028" s="5" customFormat="1" x14ac:dyDescent="0.4"/>
    <row r="21029" s="5" customFormat="1" x14ac:dyDescent="0.4"/>
    <row r="21030" s="5" customFormat="1" x14ac:dyDescent="0.4"/>
    <row r="21031" s="5" customFormat="1" x14ac:dyDescent="0.4"/>
    <row r="21032" s="5" customFormat="1" x14ac:dyDescent="0.4"/>
    <row r="21033" s="5" customFormat="1" x14ac:dyDescent="0.4"/>
    <row r="21034" s="5" customFormat="1" x14ac:dyDescent="0.4"/>
    <row r="21035" s="5" customFormat="1" x14ac:dyDescent="0.4"/>
    <row r="21036" s="5" customFormat="1" x14ac:dyDescent="0.4"/>
    <row r="21037" s="5" customFormat="1" x14ac:dyDescent="0.4"/>
    <row r="21038" s="5" customFormat="1" x14ac:dyDescent="0.4"/>
    <row r="21039" s="5" customFormat="1" x14ac:dyDescent="0.4"/>
    <row r="21040" s="5" customFormat="1" x14ac:dyDescent="0.4"/>
    <row r="21041" s="5" customFormat="1" x14ac:dyDescent="0.4"/>
    <row r="21042" s="5" customFormat="1" x14ac:dyDescent="0.4"/>
    <row r="21043" s="5" customFormat="1" x14ac:dyDescent="0.4"/>
    <row r="21044" s="5" customFormat="1" x14ac:dyDescent="0.4"/>
    <row r="21045" s="5" customFormat="1" x14ac:dyDescent="0.4"/>
    <row r="21046" s="5" customFormat="1" x14ac:dyDescent="0.4"/>
    <row r="21047" s="5" customFormat="1" x14ac:dyDescent="0.4"/>
    <row r="21048" s="5" customFormat="1" x14ac:dyDescent="0.4"/>
    <row r="21049" s="5" customFormat="1" x14ac:dyDescent="0.4"/>
    <row r="21050" s="5" customFormat="1" x14ac:dyDescent="0.4"/>
    <row r="21051" s="5" customFormat="1" x14ac:dyDescent="0.4"/>
    <row r="21052" s="5" customFormat="1" x14ac:dyDescent="0.4"/>
    <row r="21053" s="5" customFormat="1" x14ac:dyDescent="0.4"/>
    <row r="21054" s="5" customFormat="1" x14ac:dyDescent="0.4"/>
    <row r="21055" s="5" customFormat="1" x14ac:dyDescent="0.4"/>
    <row r="21056" s="5" customFormat="1" x14ac:dyDescent="0.4"/>
    <row r="21057" s="5" customFormat="1" x14ac:dyDescent="0.4"/>
    <row r="21058" s="5" customFormat="1" x14ac:dyDescent="0.4"/>
    <row r="21059" s="5" customFormat="1" x14ac:dyDescent="0.4"/>
    <row r="21060" s="5" customFormat="1" x14ac:dyDescent="0.4"/>
    <row r="21061" s="5" customFormat="1" x14ac:dyDescent="0.4"/>
    <row r="21062" s="5" customFormat="1" x14ac:dyDescent="0.4"/>
    <row r="21063" s="5" customFormat="1" x14ac:dyDescent="0.4"/>
    <row r="21064" s="5" customFormat="1" x14ac:dyDescent="0.4"/>
    <row r="21065" s="5" customFormat="1" x14ac:dyDescent="0.4"/>
    <row r="21066" s="5" customFormat="1" x14ac:dyDescent="0.4"/>
    <row r="21067" s="5" customFormat="1" x14ac:dyDescent="0.4"/>
    <row r="21068" s="5" customFormat="1" x14ac:dyDescent="0.4"/>
    <row r="21069" s="5" customFormat="1" x14ac:dyDescent="0.4"/>
    <row r="21070" s="5" customFormat="1" x14ac:dyDescent="0.4"/>
    <row r="21071" s="5" customFormat="1" x14ac:dyDescent="0.4"/>
    <row r="21072" s="5" customFormat="1" x14ac:dyDescent="0.4"/>
    <row r="21073" s="5" customFormat="1" x14ac:dyDescent="0.4"/>
    <row r="21074" s="5" customFormat="1" x14ac:dyDescent="0.4"/>
    <row r="21075" s="5" customFormat="1" x14ac:dyDescent="0.4"/>
    <row r="21076" s="5" customFormat="1" x14ac:dyDescent="0.4"/>
    <row r="21077" s="5" customFormat="1" x14ac:dyDescent="0.4"/>
    <row r="21078" s="5" customFormat="1" x14ac:dyDescent="0.4"/>
    <row r="21079" s="5" customFormat="1" x14ac:dyDescent="0.4"/>
    <row r="21080" s="5" customFormat="1" x14ac:dyDescent="0.4"/>
    <row r="21081" s="5" customFormat="1" x14ac:dyDescent="0.4"/>
    <row r="21082" s="5" customFormat="1" x14ac:dyDescent="0.4"/>
    <row r="21083" s="5" customFormat="1" x14ac:dyDescent="0.4"/>
    <row r="21084" s="5" customFormat="1" x14ac:dyDescent="0.4"/>
    <row r="21085" s="5" customFormat="1" x14ac:dyDescent="0.4"/>
    <row r="21086" s="5" customFormat="1" x14ac:dyDescent="0.4"/>
    <row r="21087" s="5" customFormat="1" x14ac:dyDescent="0.4"/>
    <row r="21088" s="5" customFormat="1" x14ac:dyDescent="0.4"/>
    <row r="21089" s="5" customFormat="1" x14ac:dyDescent="0.4"/>
    <row r="21090" s="5" customFormat="1" x14ac:dyDescent="0.4"/>
    <row r="21091" s="5" customFormat="1" x14ac:dyDescent="0.4"/>
    <row r="21092" s="5" customFormat="1" x14ac:dyDescent="0.4"/>
    <row r="21093" s="5" customFormat="1" x14ac:dyDescent="0.4"/>
    <row r="21094" s="5" customFormat="1" x14ac:dyDescent="0.4"/>
    <row r="21095" s="5" customFormat="1" x14ac:dyDescent="0.4"/>
    <row r="21096" s="5" customFormat="1" x14ac:dyDescent="0.4"/>
    <row r="21097" s="5" customFormat="1" x14ac:dyDescent="0.4"/>
    <row r="21098" s="5" customFormat="1" x14ac:dyDescent="0.4"/>
    <row r="21099" s="5" customFormat="1" x14ac:dyDescent="0.4"/>
    <row r="21100" s="5" customFormat="1" x14ac:dyDescent="0.4"/>
    <row r="21101" s="5" customFormat="1" x14ac:dyDescent="0.4"/>
    <row r="21102" s="5" customFormat="1" x14ac:dyDescent="0.4"/>
    <row r="21103" s="5" customFormat="1" x14ac:dyDescent="0.4"/>
    <row r="21104" s="5" customFormat="1" x14ac:dyDescent="0.4"/>
    <row r="21105" s="5" customFormat="1" x14ac:dyDescent="0.4"/>
    <row r="21106" s="5" customFormat="1" x14ac:dyDescent="0.4"/>
    <row r="21107" s="5" customFormat="1" x14ac:dyDescent="0.4"/>
    <row r="21108" s="5" customFormat="1" x14ac:dyDescent="0.4"/>
    <row r="21109" s="5" customFormat="1" x14ac:dyDescent="0.4"/>
    <row r="21110" s="5" customFormat="1" x14ac:dyDescent="0.4"/>
    <row r="21111" s="5" customFormat="1" x14ac:dyDescent="0.4"/>
    <row r="21112" s="5" customFormat="1" x14ac:dyDescent="0.4"/>
    <row r="21113" s="5" customFormat="1" x14ac:dyDescent="0.4"/>
    <row r="21114" s="5" customFormat="1" x14ac:dyDescent="0.4"/>
    <row r="21115" s="5" customFormat="1" x14ac:dyDescent="0.4"/>
    <row r="21116" s="5" customFormat="1" x14ac:dyDescent="0.4"/>
    <row r="21117" s="5" customFormat="1" x14ac:dyDescent="0.4"/>
    <row r="21118" s="5" customFormat="1" x14ac:dyDescent="0.4"/>
    <row r="21119" s="5" customFormat="1" x14ac:dyDescent="0.4"/>
    <row r="21120" s="5" customFormat="1" x14ac:dyDescent="0.4"/>
    <row r="21121" s="5" customFormat="1" x14ac:dyDescent="0.4"/>
    <row r="21122" s="5" customFormat="1" x14ac:dyDescent="0.4"/>
    <row r="21123" s="5" customFormat="1" x14ac:dyDescent="0.4"/>
    <row r="21124" s="5" customFormat="1" x14ac:dyDescent="0.4"/>
    <row r="21125" s="5" customFormat="1" x14ac:dyDescent="0.4"/>
    <row r="21126" s="5" customFormat="1" x14ac:dyDescent="0.4"/>
    <row r="21127" s="5" customFormat="1" x14ac:dyDescent="0.4"/>
    <row r="21128" s="5" customFormat="1" x14ac:dyDescent="0.4"/>
    <row r="21129" s="5" customFormat="1" x14ac:dyDescent="0.4"/>
    <row r="21130" s="5" customFormat="1" x14ac:dyDescent="0.4"/>
    <row r="21131" s="5" customFormat="1" x14ac:dyDescent="0.4"/>
    <row r="21132" s="5" customFormat="1" x14ac:dyDescent="0.4"/>
    <row r="21133" s="5" customFormat="1" x14ac:dyDescent="0.4"/>
    <row r="21134" s="5" customFormat="1" x14ac:dyDescent="0.4"/>
    <row r="21135" s="5" customFormat="1" x14ac:dyDescent="0.4"/>
    <row r="21136" s="5" customFormat="1" x14ac:dyDescent="0.4"/>
    <row r="21137" s="5" customFormat="1" x14ac:dyDescent="0.4"/>
    <row r="21138" s="5" customFormat="1" x14ac:dyDescent="0.4"/>
    <row r="21139" s="5" customFormat="1" x14ac:dyDescent="0.4"/>
    <row r="21140" s="5" customFormat="1" x14ac:dyDescent="0.4"/>
    <row r="21141" s="5" customFormat="1" x14ac:dyDescent="0.4"/>
    <row r="21142" s="5" customFormat="1" x14ac:dyDescent="0.4"/>
    <row r="21143" s="5" customFormat="1" x14ac:dyDescent="0.4"/>
    <row r="21144" s="5" customFormat="1" x14ac:dyDescent="0.4"/>
    <row r="21145" s="5" customFormat="1" x14ac:dyDescent="0.4"/>
    <row r="21146" s="5" customFormat="1" x14ac:dyDescent="0.4"/>
    <row r="21147" s="5" customFormat="1" x14ac:dyDescent="0.4"/>
    <row r="21148" s="5" customFormat="1" x14ac:dyDescent="0.4"/>
    <row r="21149" s="5" customFormat="1" x14ac:dyDescent="0.4"/>
    <row r="21150" s="5" customFormat="1" x14ac:dyDescent="0.4"/>
    <row r="21151" s="5" customFormat="1" x14ac:dyDescent="0.4"/>
    <row r="21152" s="5" customFormat="1" x14ac:dyDescent="0.4"/>
    <row r="21153" s="5" customFormat="1" x14ac:dyDescent="0.4"/>
    <row r="21154" s="5" customFormat="1" x14ac:dyDescent="0.4"/>
    <row r="21155" s="5" customFormat="1" x14ac:dyDescent="0.4"/>
    <row r="21156" s="5" customFormat="1" x14ac:dyDescent="0.4"/>
    <row r="21157" s="5" customFormat="1" x14ac:dyDescent="0.4"/>
    <row r="21158" s="5" customFormat="1" x14ac:dyDescent="0.4"/>
    <row r="21159" s="5" customFormat="1" x14ac:dyDescent="0.4"/>
    <row r="21160" s="5" customFormat="1" x14ac:dyDescent="0.4"/>
    <row r="21161" s="5" customFormat="1" x14ac:dyDescent="0.4"/>
    <row r="21162" s="5" customFormat="1" x14ac:dyDescent="0.4"/>
    <row r="21163" s="5" customFormat="1" x14ac:dyDescent="0.4"/>
    <row r="21164" s="5" customFormat="1" x14ac:dyDescent="0.4"/>
    <row r="21165" s="5" customFormat="1" x14ac:dyDescent="0.4"/>
    <row r="21166" s="5" customFormat="1" x14ac:dyDescent="0.4"/>
    <row r="21167" s="5" customFormat="1" x14ac:dyDescent="0.4"/>
    <row r="21168" s="5" customFormat="1" x14ac:dyDescent="0.4"/>
    <row r="21169" s="5" customFormat="1" x14ac:dyDescent="0.4"/>
    <row r="21170" s="5" customFormat="1" x14ac:dyDescent="0.4"/>
    <row r="21171" s="5" customFormat="1" x14ac:dyDescent="0.4"/>
    <row r="21172" s="5" customFormat="1" x14ac:dyDescent="0.4"/>
    <row r="21173" s="5" customFormat="1" x14ac:dyDescent="0.4"/>
    <row r="21174" s="5" customFormat="1" x14ac:dyDescent="0.4"/>
    <row r="21175" s="5" customFormat="1" x14ac:dyDescent="0.4"/>
    <row r="21176" s="5" customFormat="1" x14ac:dyDescent="0.4"/>
    <row r="21177" s="5" customFormat="1" x14ac:dyDescent="0.4"/>
    <row r="21178" s="5" customFormat="1" x14ac:dyDescent="0.4"/>
    <row r="21179" s="5" customFormat="1" x14ac:dyDescent="0.4"/>
    <row r="21180" s="5" customFormat="1" x14ac:dyDescent="0.4"/>
    <row r="21181" s="5" customFormat="1" x14ac:dyDescent="0.4"/>
    <row r="21182" s="5" customFormat="1" x14ac:dyDescent="0.4"/>
    <row r="21183" s="5" customFormat="1" x14ac:dyDescent="0.4"/>
    <row r="21184" s="5" customFormat="1" x14ac:dyDescent="0.4"/>
    <row r="21185" s="5" customFormat="1" x14ac:dyDescent="0.4"/>
    <row r="21186" s="5" customFormat="1" x14ac:dyDescent="0.4"/>
    <row r="21187" s="5" customFormat="1" x14ac:dyDescent="0.4"/>
    <row r="21188" s="5" customFormat="1" x14ac:dyDescent="0.4"/>
    <row r="21189" s="5" customFormat="1" x14ac:dyDescent="0.4"/>
    <row r="21190" s="5" customFormat="1" x14ac:dyDescent="0.4"/>
    <row r="21191" s="5" customFormat="1" x14ac:dyDescent="0.4"/>
    <row r="21192" s="5" customFormat="1" x14ac:dyDescent="0.4"/>
    <row r="21193" s="5" customFormat="1" x14ac:dyDescent="0.4"/>
    <row r="21194" s="5" customFormat="1" x14ac:dyDescent="0.4"/>
    <row r="21195" s="5" customFormat="1" x14ac:dyDescent="0.4"/>
    <row r="21196" s="5" customFormat="1" x14ac:dyDescent="0.4"/>
    <row r="21197" s="5" customFormat="1" x14ac:dyDescent="0.4"/>
    <row r="21198" s="5" customFormat="1" x14ac:dyDescent="0.4"/>
    <row r="21199" s="5" customFormat="1" x14ac:dyDescent="0.4"/>
    <row r="21200" s="5" customFormat="1" x14ac:dyDescent="0.4"/>
    <row r="21201" s="5" customFormat="1" x14ac:dyDescent="0.4"/>
    <row r="21202" s="5" customFormat="1" x14ac:dyDescent="0.4"/>
    <row r="21203" s="5" customFormat="1" x14ac:dyDescent="0.4"/>
    <row r="21204" s="5" customFormat="1" x14ac:dyDescent="0.4"/>
    <row r="21205" s="5" customFormat="1" x14ac:dyDescent="0.4"/>
    <row r="21206" s="5" customFormat="1" x14ac:dyDescent="0.4"/>
    <row r="21207" s="5" customFormat="1" x14ac:dyDescent="0.4"/>
    <row r="21208" s="5" customFormat="1" x14ac:dyDescent="0.4"/>
    <row r="21209" s="5" customFormat="1" x14ac:dyDescent="0.4"/>
    <row r="21210" s="5" customFormat="1" x14ac:dyDescent="0.4"/>
    <row r="21211" s="5" customFormat="1" x14ac:dyDescent="0.4"/>
    <row r="21212" s="5" customFormat="1" x14ac:dyDescent="0.4"/>
    <row r="21213" s="5" customFormat="1" x14ac:dyDescent="0.4"/>
    <row r="21214" s="5" customFormat="1" x14ac:dyDescent="0.4"/>
    <row r="21215" s="5" customFormat="1" x14ac:dyDescent="0.4"/>
    <row r="21216" s="5" customFormat="1" x14ac:dyDescent="0.4"/>
    <row r="21217" s="5" customFormat="1" x14ac:dyDescent="0.4"/>
    <row r="21218" s="5" customFormat="1" x14ac:dyDescent="0.4"/>
    <row r="21219" s="5" customFormat="1" x14ac:dyDescent="0.4"/>
    <row r="21220" s="5" customFormat="1" x14ac:dyDescent="0.4"/>
    <row r="21221" s="5" customFormat="1" x14ac:dyDescent="0.4"/>
    <row r="21222" s="5" customFormat="1" x14ac:dyDescent="0.4"/>
    <row r="21223" s="5" customFormat="1" x14ac:dyDescent="0.4"/>
    <row r="21224" s="5" customFormat="1" x14ac:dyDescent="0.4"/>
    <row r="21225" s="5" customFormat="1" x14ac:dyDescent="0.4"/>
    <row r="21226" s="5" customFormat="1" x14ac:dyDescent="0.4"/>
    <row r="21227" s="5" customFormat="1" x14ac:dyDescent="0.4"/>
    <row r="21228" s="5" customFormat="1" x14ac:dyDescent="0.4"/>
    <row r="21229" s="5" customFormat="1" x14ac:dyDescent="0.4"/>
    <row r="21230" s="5" customFormat="1" x14ac:dyDescent="0.4"/>
    <row r="21231" s="5" customFormat="1" x14ac:dyDescent="0.4"/>
    <row r="21232" s="5" customFormat="1" x14ac:dyDescent="0.4"/>
    <row r="21233" s="5" customFormat="1" x14ac:dyDescent="0.4"/>
    <row r="21234" s="5" customFormat="1" x14ac:dyDescent="0.4"/>
    <row r="21235" s="5" customFormat="1" x14ac:dyDescent="0.4"/>
    <row r="21236" s="5" customFormat="1" x14ac:dyDescent="0.4"/>
    <row r="21237" s="5" customFormat="1" x14ac:dyDescent="0.4"/>
    <row r="21238" s="5" customFormat="1" x14ac:dyDescent="0.4"/>
    <row r="21239" s="5" customFormat="1" x14ac:dyDescent="0.4"/>
    <row r="21240" s="5" customFormat="1" x14ac:dyDescent="0.4"/>
    <row r="21241" s="5" customFormat="1" x14ac:dyDescent="0.4"/>
    <row r="21242" s="5" customFormat="1" x14ac:dyDescent="0.4"/>
    <row r="21243" s="5" customFormat="1" x14ac:dyDescent="0.4"/>
    <row r="21244" s="5" customFormat="1" x14ac:dyDescent="0.4"/>
    <row r="21245" s="5" customFormat="1" x14ac:dyDescent="0.4"/>
    <row r="21246" s="5" customFormat="1" x14ac:dyDescent="0.4"/>
    <row r="21247" s="5" customFormat="1" x14ac:dyDescent="0.4"/>
    <row r="21248" s="5" customFormat="1" x14ac:dyDescent="0.4"/>
    <row r="21249" s="5" customFormat="1" x14ac:dyDescent="0.4"/>
    <row r="21250" s="5" customFormat="1" x14ac:dyDescent="0.4"/>
    <row r="21251" s="5" customFormat="1" x14ac:dyDescent="0.4"/>
    <row r="21252" s="5" customFormat="1" x14ac:dyDescent="0.4"/>
    <row r="21253" s="5" customFormat="1" x14ac:dyDescent="0.4"/>
    <row r="21254" s="5" customFormat="1" x14ac:dyDescent="0.4"/>
    <row r="21255" s="5" customFormat="1" x14ac:dyDescent="0.4"/>
    <row r="21256" s="5" customFormat="1" x14ac:dyDescent="0.4"/>
    <row r="21257" s="5" customFormat="1" x14ac:dyDescent="0.4"/>
    <row r="21258" s="5" customFormat="1" x14ac:dyDescent="0.4"/>
    <row r="21259" s="5" customFormat="1" x14ac:dyDescent="0.4"/>
    <row r="21260" s="5" customFormat="1" x14ac:dyDescent="0.4"/>
    <row r="21261" s="5" customFormat="1" x14ac:dyDescent="0.4"/>
    <row r="21262" s="5" customFormat="1" x14ac:dyDescent="0.4"/>
    <row r="21263" s="5" customFormat="1" x14ac:dyDescent="0.4"/>
    <row r="21264" s="5" customFormat="1" x14ac:dyDescent="0.4"/>
    <row r="21265" s="5" customFormat="1" x14ac:dyDescent="0.4"/>
    <row r="21266" s="5" customFormat="1" x14ac:dyDescent="0.4"/>
    <row r="21267" s="5" customFormat="1" x14ac:dyDescent="0.4"/>
    <row r="21268" s="5" customFormat="1" x14ac:dyDescent="0.4"/>
    <row r="21269" s="5" customFormat="1" x14ac:dyDescent="0.4"/>
    <row r="21270" s="5" customFormat="1" x14ac:dyDescent="0.4"/>
    <row r="21271" s="5" customFormat="1" x14ac:dyDescent="0.4"/>
    <row r="21272" s="5" customFormat="1" x14ac:dyDescent="0.4"/>
    <row r="21273" s="5" customFormat="1" x14ac:dyDescent="0.4"/>
    <row r="21274" s="5" customFormat="1" x14ac:dyDescent="0.4"/>
    <row r="21275" s="5" customFormat="1" x14ac:dyDescent="0.4"/>
    <row r="21276" s="5" customFormat="1" x14ac:dyDescent="0.4"/>
    <row r="21277" s="5" customFormat="1" x14ac:dyDescent="0.4"/>
    <row r="21278" s="5" customFormat="1" x14ac:dyDescent="0.4"/>
    <row r="21279" s="5" customFormat="1" x14ac:dyDescent="0.4"/>
    <row r="21280" s="5" customFormat="1" x14ac:dyDescent="0.4"/>
    <row r="21281" s="5" customFormat="1" x14ac:dyDescent="0.4"/>
    <row r="21282" s="5" customFormat="1" x14ac:dyDescent="0.4"/>
    <row r="21283" s="5" customFormat="1" x14ac:dyDescent="0.4"/>
    <row r="21284" s="5" customFormat="1" x14ac:dyDescent="0.4"/>
    <row r="21285" s="5" customFormat="1" x14ac:dyDescent="0.4"/>
    <row r="21286" s="5" customFormat="1" x14ac:dyDescent="0.4"/>
    <row r="21287" s="5" customFormat="1" x14ac:dyDescent="0.4"/>
    <row r="21288" s="5" customFormat="1" x14ac:dyDescent="0.4"/>
    <row r="21289" s="5" customFormat="1" x14ac:dyDescent="0.4"/>
    <row r="21290" s="5" customFormat="1" x14ac:dyDescent="0.4"/>
    <row r="21291" s="5" customFormat="1" x14ac:dyDescent="0.4"/>
    <row r="21292" s="5" customFormat="1" x14ac:dyDescent="0.4"/>
    <row r="21293" s="5" customFormat="1" x14ac:dyDescent="0.4"/>
    <row r="21294" s="5" customFormat="1" x14ac:dyDescent="0.4"/>
    <row r="21295" s="5" customFormat="1" x14ac:dyDescent="0.4"/>
    <row r="21296" s="5" customFormat="1" x14ac:dyDescent="0.4"/>
    <row r="21297" s="5" customFormat="1" x14ac:dyDescent="0.4"/>
    <row r="21298" s="5" customFormat="1" x14ac:dyDescent="0.4"/>
    <row r="21299" s="5" customFormat="1" x14ac:dyDescent="0.4"/>
    <row r="21300" s="5" customFormat="1" x14ac:dyDescent="0.4"/>
    <row r="21301" s="5" customFormat="1" x14ac:dyDescent="0.4"/>
    <row r="21302" s="5" customFormat="1" x14ac:dyDescent="0.4"/>
    <row r="21303" s="5" customFormat="1" x14ac:dyDescent="0.4"/>
    <row r="21304" s="5" customFormat="1" x14ac:dyDescent="0.4"/>
    <row r="21305" s="5" customFormat="1" x14ac:dyDescent="0.4"/>
    <row r="21306" s="5" customFormat="1" x14ac:dyDescent="0.4"/>
    <row r="21307" s="5" customFormat="1" x14ac:dyDescent="0.4"/>
    <row r="21308" s="5" customFormat="1" x14ac:dyDescent="0.4"/>
    <row r="21309" s="5" customFormat="1" x14ac:dyDescent="0.4"/>
    <row r="21310" s="5" customFormat="1" x14ac:dyDescent="0.4"/>
    <row r="21311" s="5" customFormat="1" x14ac:dyDescent="0.4"/>
    <row r="21312" s="5" customFormat="1" x14ac:dyDescent="0.4"/>
    <row r="21313" s="5" customFormat="1" x14ac:dyDescent="0.4"/>
    <row r="21314" s="5" customFormat="1" x14ac:dyDescent="0.4"/>
    <row r="21315" s="5" customFormat="1" x14ac:dyDescent="0.4"/>
    <row r="21316" s="5" customFormat="1" x14ac:dyDescent="0.4"/>
    <row r="21317" s="5" customFormat="1" x14ac:dyDescent="0.4"/>
    <row r="21318" s="5" customFormat="1" x14ac:dyDescent="0.4"/>
    <row r="21319" s="5" customFormat="1" x14ac:dyDescent="0.4"/>
    <row r="21320" s="5" customFormat="1" x14ac:dyDescent="0.4"/>
    <row r="21321" s="5" customFormat="1" x14ac:dyDescent="0.4"/>
    <row r="21322" s="5" customFormat="1" x14ac:dyDescent="0.4"/>
    <row r="21323" s="5" customFormat="1" x14ac:dyDescent="0.4"/>
    <row r="21324" s="5" customFormat="1" x14ac:dyDescent="0.4"/>
    <row r="21325" s="5" customFormat="1" x14ac:dyDescent="0.4"/>
    <row r="21326" s="5" customFormat="1" x14ac:dyDescent="0.4"/>
    <row r="21327" s="5" customFormat="1" x14ac:dyDescent="0.4"/>
    <row r="21328" s="5" customFormat="1" x14ac:dyDescent="0.4"/>
    <row r="21329" s="5" customFormat="1" x14ac:dyDescent="0.4"/>
    <row r="21330" s="5" customFormat="1" x14ac:dyDescent="0.4"/>
    <row r="21331" s="5" customFormat="1" x14ac:dyDescent="0.4"/>
    <row r="21332" s="5" customFormat="1" x14ac:dyDescent="0.4"/>
    <row r="21333" s="5" customFormat="1" x14ac:dyDescent="0.4"/>
    <row r="21334" s="5" customFormat="1" x14ac:dyDescent="0.4"/>
    <row r="21335" s="5" customFormat="1" x14ac:dyDescent="0.4"/>
    <row r="21336" s="5" customFormat="1" x14ac:dyDescent="0.4"/>
    <row r="21337" s="5" customFormat="1" x14ac:dyDescent="0.4"/>
    <row r="21338" s="5" customFormat="1" x14ac:dyDescent="0.4"/>
    <row r="21339" s="5" customFormat="1" x14ac:dyDescent="0.4"/>
    <row r="21340" s="5" customFormat="1" x14ac:dyDescent="0.4"/>
    <row r="21341" s="5" customFormat="1" x14ac:dyDescent="0.4"/>
    <row r="21342" s="5" customFormat="1" x14ac:dyDescent="0.4"/>
    <row r="21343" s="5" customFormat="1" x14ac:dyDescent="0.4"/>
    <row r="21344" s="5" customFormat="1" x14ac:dyDescent="0.4"/>
    <row r="21345" s="5" customFormat="1" x14ac:dyDescent="0.4"/>
    <row r="21346" s="5" customFormat="1" x14ac:dyDescent="0.4"/>
    <row r="21347" s="5" customFormat="1" x14ac:dyDescent="0.4"/>
    <row r="21348" s="5" customFormat="1" x14ac:dyDescent="0.4"/>
    <row r="21349" s="5" customFormat="1" x14ac:dyDescent="0.4"/>
    <row r="21350" s="5" customFormat="1" x14ac:dyDescent="0.4"/>
    <row r="21351" s="5" customFormat="1" x14ac:dyDescent="0.4"/>
    <row r="21352" s="5" customFormat="1" x14ac:dyDescent="0.4"/>
    <row r="21353" s="5" customFormat="1" x14ac:dyDescent="0.4"/>
    <row r="21354" s="5" customFormat="1" x14ac:dyDescent="0.4"/>
    <row r="21355" s="5" customFormat="1" x14ac:dyDescent="0.4"/>
    <row r="21356" s="5" customFormat="1" x14ac:dyDescent="0.4"/>
    <row r="21357" s="5" customFormat="1" x14ac:dyDescent="0.4"/>
    <row r="21358" s="5" customFormat="1" x14ac:dyDescent="0.4"/>
    <row r="21359" s="5" customFormat="1" x14ac:dyDescent="0.4"/>
    <row r="21360" s="5" customFormat="1" x14ac:dyDescent="0.4"/>
    <row r="21361" s="5" customFormat="1" x14ac:dyDescent="0.4"/>
    <row r="21362" s="5" customFormat="1" x14ac:dyDescent="0.4"/>
    <row r="21363" s="5" customFormat="1" x14ac:dyDescent="0.4"/>
    <row r="21364" s="5" customFormat="1" x14ac:dyDescent="0.4"/>
    <row r="21365" s="5" customFormat="1" x14ac:dyDescent="0.4"/>
    <row r="21366" s="5" customFormat="1" x14ac:dyDescent="0.4"/>
    <row r="21367" s="5" customFormat="1" x14ac:dyDescent="0.4"/>
    <row r="21368" s="5" customFormat="1" x14ac:dyDescent="0.4"/>
    <row r="21369" s="5" customFormat="1" x14ac:dyDescent="0.4"/>
    <row r="21370" s="5" customFormat="1" x14ac:dyDescent="0.4"/>
    <row r="21371" s="5" customFormat="1" x14ac:dyDescent="0.4"/>
    <row r="21372" s="5" customFormat="1" x14ac:dyDescent="0.4"/>
    <row r="21373" s="5" customFormat="1" x14ac:dyDescent="0.4"/>
    <row r="21374" s="5" customFormat="1" x14ac:dyDescent="0.4"/>
    <row r="21375" s="5" customFormat="1" x14ac:dyDescent="0.4"/>
    <row r="21376" s="5" customFormat="1" x14ac:dyDescent="0.4"/>
    <row r="21377" s="5" customFormat="1" x14ac:dyDescent="0.4"/>
    <row r="21378" s="5" customFormat="1" x14ac:dyDescent="0.4"/>
    <row r="21379" s="5" customFormat="1" x14ac:dyDescent="0.4"/>
    <row r="21380" s="5" customFormat="1" x14ac:dyDescent="0.4"/>
    <row r="21381" s="5" customFormat="1" x14ac:dyDescent="0.4"/>
    <row r="21382" s="5" customFormat="1" x14ac:dyDescent="0.4"/>
    <row r="21383" s="5" customFormat="1" x14ac:dyDescent="0.4"/>
    <row r="21384" s="5" customFormat="1" x14ac:dyDescent="0.4"/>
    <row r="21385" s="5" customFormat="1" x14ac:dyDescent="0.4"/>
    <row r="21386" s="5" customFormat="1" x14ac:dyDescent="0.4"/>
    <row r="21387" s="5" customFormat="1" x14ac:dyDescent="0.4"/>
    <row r="21388" s="5" customFormat="1" x14ac:dyDescent="0.4"/>
    <row r="21389" s="5" customFormat="1" x14ac:dyDescent="0.4"/>
    <row r="21390" s="5" customFormat="1" x14ac:dyDescent="0.4"/>
    <row r="21391" s="5" customFormat="1" x14ac:dyDescent="0.4"/>
    <row r="21392" s="5" customFormat="1" x14ac:dyDescent="0.4"/>
    <row r="21393" s="5" customFormat="1" x14ac:dyDescent="0.4"/>
    <row r="21394" s="5" customFormat="1" x14ac:dyDescent="0.4"/>
    <row r="21395" s="5" customFormat="1" x14ac:dyDescent="0.4"/>
    <row r="21396" s="5" customFormat="1" x14ac:dyDescent="0.4"/>
    <row r="21397" s="5" customFormat="1" x14ac:dyDescent="0.4"/>
    <row r="21398" s="5" customFormat="1" x14ac:dyDescent="0.4"/>
    <row r="21399" s="5" customFormat="1" x14ac:dyDescent="0.4"/>
    <row r="21400" s="5" customFormat="1" x14ac:dyDescent="0.4"/>
    <row r="21401" s="5" customFormat="1" x14ac:dyDescent="0.4"/>
    <row r="21402" s="5" customFormat="1" x14ac:dyDescent="0.4"/>
    <row r="21403" s="5" customFormat="1" x14ac:dyDescent="0.4"/>
    <row r="21404" s="5" customFormat="1" x14ac:dyDescent="0.4"/>
    <row r="21405" s="5" customFormat="1" x14ac:dyDescent="0.4"/>
    <row r="21406" s="5" customFormat="1" x14ac:dyDescent="0.4"/>
    <row r="21407" s="5" customFormat="1" x14ac:dyDescent="0.4"/>
    <row r="21408" s="5" customFormat="1" x14ac:dyDescent="0.4"/>
    <row r="21409" s="5" customFormat="1" x14ac:dyDescent="0.4"/>
    <row r="21410" s="5" customFormat="1" x14ac:dyDescent="0.4"/>
    <row r="21411" s="5" customFormat="1" x14ac:dyDescent="0.4"/>
    <row r="21412" s="5" customFormat="1" x14ac:dyDescent="0.4"/>
    <row r="21413" s="5" customFormat="1" x14ac:dyDescent="0.4"/>
    <row r="21414" s="5" customFormat="1" x14ac:dyDescent="0.4"/>
    <row r="21415" s="5" customFormat="1" x14ac:dyDescent="0.4"/>
    <row r="21416" s="5" customFormat="1" x14ac:dyDescent="0.4"/>
    <row r="21417" s="5" customFormat="1" x14ac:dyDescent="0.4"/>
    <row r="21418" s="5" customFormat="1" x14ac:dyDescent="0.4"/>
    <row r="21419" s="5" customFormat="1" x14ac:dyDescent="0.4"/>
    <row r="21420" s="5" customFormat="1" x14ac:dyDescent="0.4"/>
    <row r="21421" s="5" customFormat="1" x14ac:dyDescent="0.4"/>
    <row r="21422" s="5" customFormat="1" x14ac:dyDescent="0.4"/>
    <row r="21423" s="5" customFormat="1" x14ac:dyDescent="0.4"/>
    <row r="21424" s="5" customFormat="1" x14ac:dyDescent="0.4"/>
    <row r="21425" s="5" customFormat="1" x14ac:dyDescent="0.4"/>
    <row r="21426" s="5" customFormat="1" x14ac:dyDescent="0.4"/>
    <row r="21427" s="5" customFormat="1" x14ac:dyDescent="0.4"/>
    <row r="21428" s="5" customFormat="1" x14ac:dyDescent="0.4"/>
    <row r="21429" s="5" customFormat="1" x14ac:dyDescent="0.4"/>
    <row r="21430" s="5" customFormat="1" x14ac:dyDescent="0.4"/>
    <row r="21431" s="5" customFormat="1" x14ac:dyDescent="0.4"/>
    <row r="21432" s="5" customFormat="1" x14ac:dyDescent="0.4"/>
    <row r="21433" s="5" customFormat="1" x14ac:dyDescent="0.4"/>
    <row r="21434" s="5" customFormat="1" x14ac:dyDescent="0.4"/>
    <row r="21435" s="5" customFormat="1" x14ac:dyDescent="0.4"/>
    <row r="21436" s="5" customFormat="1" x14ac:dyDescent="0.4"/>
    <row r="21437" s="5" customFormat="1" x14ac:dyDescent="0.4"/>
    <row r="21438" s="5" customFormat="1" x14ac:dyDescent="0.4"/>
    <row r="21439" s="5" customFormat="1" x14ac:dyDescent="0.4"/>
    <row r="21440" s="5" customFormat="1" x14ac:dyDescent="0.4"/>
    <row r="21441" s="5" customFormat="1" x14ac:dyDescent="0.4"/>
    <row r="21442" s="5" customFormat="1" x14ac:dyDescent="0.4"/>
    <row r="21443" s="5" customFormat="1" x14ac:dyDescent="0.4"/>
    <row r="21444" s="5" customFormat="1" x14ac:dyDescent="0.4"/>
    <row r="21445" s="5" customFormat="1" x14ac:dyDescent="0.4"/>
    <row r="21446" s="5" customFormat="1" x14ac:dyDescent="0.4"/>
    <row r="21447" s="5" customFormat="1" x14ac:dyDescent="0.4"/>
    <row r="21448" s="5" customFormat="1" x14ac:dyDescent="0.4"/>
    <row r="21449" s="5" customFormat="1" x14ac:dyDescent="0.4"/>
    <row r="21450" s="5" customFormat="1" x14ac:dyDescent="0.4"/>
    <row r="21451" s="5" customFormat="1" x14ac:dyDescent="0.4"/>
    <row r="21452" s="5" customFormat="1" x14ac:dyDescent="0.4"/>
    <row r="21453" s="5" customFormat="1" x14ac:dyDescent="0.4"/>
    <row r="21454" s="5" customFormat="1" x14ac:dyDescent="0.4"/>
    <row r="21455" s="5" customFormat="1" x14ac:dyDescent="0.4"/>
    <row r="21456" s="5" customFormat="1" x14ac:dyDescent="0.4"/>
    <row r="21457" s="5" customFormat="1" x14ac:dyDescent="0.4"/>
    <row r="21458" s="5" customFormat="1" x14ac:dyDescent="0.4"/>
    <row r="21459" s="5" customFormat="1" x14ac:dyDescent="0.4"/>
    <row r="21460" s="5" customFormat="1" x14ac:dyDescent="0.4"/>
    <row r="21461" s="5" customFormat="1" x14ac:dyDescent="0.4"/>
    <row r="21462" s="5" customFormat="1" x14ac:dyDescent="0.4"/>
    <row r="21463" s="5" customFormat="1" x14ac:dyDescent="0.4"/>
    <row r="21464" s="5" customFormat="1" x14ac:dyDescent="0.4"/>
    <row r="21465" s="5" customFormat="1" x14ac:dyDescent="0.4"/>
    <row r="21466" s="5" customFormat="1" x14ac:dyDescent="0.4"/>
    <row r="21467" s="5" customFormat="1" x14ac:dyDescent="0.4"/>
    <row r="21468" s="5" customFormat="1" x14ac:dyDescent="0.4"/>
    <row r="21469" s="5" customFormat="1" x14ac:dyDescent="0.4"/>
    <row r="21470" s="5" customFormat="1" x14ac:dyDescent="0.4"/>
    <row r="21471" s="5" customFormat="1" x14ac:dyDescent="0.4"/>
    <row r="21472" s="5" customFormat="1" x14ac:dyDescent="0.4"/>
    <row r="21473" s="5" customFormat="1" x14ac:dyDescent="0.4"/>
    <row r="21474" s="5" customFormat="1" x14ac:dyDescent="0.4"/>
    <row r="21475" s="5" customFormat="1" x14ac:dyDescent="0.4"/>
    <row r="21476" s="5" customFormat="1" x14ac:dyDescent="0.4"/>
    <row r="21477" s="5" customFormat="1" x14ac:dyDescent="0.4"/>
    <row r="21478" s="5" customFormat="1" x14ac:dyDescent="0.4"/>
    <row r="21479" s="5" customFormat="1" x14ac:dyDescent="0.4"/>
    <row r="21480" s="5" customFormat="1" x14ac:dyDescent="0.4"/>
    <row r="21481" s="5" customFormat="1" x14ac:dyDescent="0.4"/>
    <row r="21482" s="5" customFormat="1" x14ac:dyDescent="0.4"/>
    <row r="21483" s="5" customFormat="1" x14ac:dyDescent="0.4"/>
    <row r="21484" s="5" customFormat="1" x14ac:dyDescent="0.4"/>
    <row r="21485" s="5" customFormat="1" x14ac:dyDescent="0.4"/>
    <row r="21486" s="5" customFormat="1" x14ac:dyDescent="0.4"/>
    <row r="21487" s="5" customFormat="1" x14ac:dyDescent="0.4"/>
    <row r="21488" s="5" customFormat="1" x14ac:dyDescent="0.4"/>
    <row r="21489" s="5" customFormat="1" x14ac:dyDescent="0.4"/>
    <row r="21490" s="5" customFormat="1" x14ac:dyDescent="0.4"/>
    <row r="21491" s="5" customFormat="1" x14ac:dyDescent="0.4"/>
    <row r="21492" s="5" customFormat="1" x14ac:dyDescent="0.4"/>
    <row r="21493" s="5" customFormat="1" x14ac:dyDescent="0.4"/>
    <row r="21494" s="5" customFormat="1" x14ac:dyDescent="0.4"/>
    <row r="21495" s="5" customFormat="1" x14ac:dyDescent="0.4"/>
    <row r="21496" s="5" customFormat="1" x14ac:dyDescent="0.4"/>
    <row r="21497" s="5" customFormat="1" x14ac:dyDescent="0.4"/>
    <row r="21498" s="5" customFormat="1" x14ac:dyDescent="0.4"/>
    <row r="21499" s="5" customFormat="1" x14ac:dyDescent="0.4"/>
    <row r="21500" s="5" customFormat="1" x14ac:dyDescent="0.4"/>
    <row r="21501" s="5" customFormat="1" x14ac:dyDescent="0.4"/>
    <row r="21502" s="5" customFormat="1" x14ac:dyDescent="0.4"/>
    <row r="21503" s="5" customFormat="1" x14ac:dyDescent="0.4"/>
    <row r="21504" s="5" customFormat="1" x14ac:dyDescent="0.4"/>
    <row r="21505" s="5" customFormat="1" x14ac:dyDescent="0.4"/>
    <row r="21506" s="5" customFormat="1" x14ac:dyDescent="0.4"/>
    <row r="21507" s="5" customFormat="1" x14ac:dyDescent="0.4"/>
    <row r="21508" s="5" customFormat="1" x14ac:dyDescent="0.4"/>
    <row r="21509" s="5" customFormat="1" x14ac:dyDescent="0.4"/>
    <row r="21510" s="5" customFormat="1" x14ac:dyDescent="0.4"/>
    <row r="21511" s="5" customFormat="1" x14ac:dyDescent="0.4"/>
    <row r="21512" s="5" customFormat="1" x14ac:dyDescent="0.4"/>
    <row r="21513" s="5" customFormat="1" x14ac:dyDescent="0.4"/>
    <row r="21514" s="5" customFormat="1" x14ac:dyDescent="0.4"/>
    <row r="21515" s="5" customFormat="1" x14ac:dyDescent="0.4"/>
    <row r="21516" s="5" customFormat="1" x14ac:dyDescent="0.4"/>
    <row r="21517" s="5" customFormat="1" x14ac:dyDescent="0.4"/>
    <row r="21518" s="5" customFormat="1" x14ac:dyDescent="0.4"/>
    <row r="21519" s="5" customFormat="1" x14ac:dyDescent="0.4"/>
    <row r="21520" s="5" customFormat="1" x14ac:dyDescent="0.4"/>
    <row r="21521" s="5" customFormat="1" x14ac:dyDescent="0.4"/>
    <row r="21522" s="5" customFormat="1" x14ac:dyDescent="0.4"/>
    <row r="21523" s="5" customFormat="1" x14ac:dyDescent="0.4"/>
    <row r="21524" s="5" customFormat="1" x14ac:dyDescent="0.4"/>
    <row r="21525" s="5" customFormat="1" x14ac:dyDescent="0.4"/>
    <row r="21526" s="5" customFormat="1" x14ac:dyDescent="0.4"/>
    <row r="21527" s="5" customFormat="1" x14ac:dyDescent="0.4"/>
    <row r="21528" s="5" customFormat="1" x14ac:dyDescent="0.4"/>
    <row r="21529" s="5" customFormat="1" x14ac:dyDescent="0.4"/>
    <row r="21530" s="5" customFormat="1" x14ac:dyDescent="0.4"/>
    <row r="21531" s="5" customFormat="1" x14ac:dyDescent="0.4"/>
    <row r="21532" s="5" customFormat="1" x14ac:dyDescent="0.4"/>
    <row r="21533" s="5" customFormat="1" x14ac:dyDescent="0.4"/>
    <row r="21534" s="5" customFormat="1" x14ac:dyDescent="0.4"/>
    <row r="21535" s="5" customFormat="1" x14ac:dyDescent="0.4"/>
    <row r="21536" s="5" customFormat="1" x14ac:dyDescent="0.4"/>
    <row r="21537" s="5" customFormat="1" x14ac:dyDescent="0.4"/>
    <row r="21538" s="5" customFormat="1" x14ac:dyDescent="0.4"/>
    <row r="21539" s="5" customFormat="1" x14ac:dyDescent="0.4"/>
    <row r="21540" s="5" customFormat="1" x14ac:dyDescent="0.4"/>
    <row r="21541" s="5" customFormat="1" x14ac:dyDescent="0.4"/>
    <row r="21542" s="5" customFormat="1" x14ac:dyDescent="0.4"/>
    <row r="21543" s="5" customFormat="1" x14ac:dyDescent="0.4"/>
    <row r="21544" s="5" customFormat="1" x14ac:dyDescent="0.4"/>
    <row r="21545" s="5" customFormat="1" x14ac:dyDescent="0.4"/>
    <row r="21546" s="5" customFormat="1" x14ac:dyDescent="0.4"/>
    <row r="21547" s="5" customFormat="1" x14ac:dyDescent="0.4"/>
    <row r="21548" s="5" customFormat="1" x14ac:dyDescent="0.4"/>
    <row r="21549" s="5" customFormat="1" x14ac:dyDescent="0.4"/>
    <row r="21550" s="5" customFormat="1" x14ac:dyDescent="0.4"/>
    <row r="21551" s="5" customFormat="1" x14ac:dyDescent="0.4"/>
    <row r="21552" s="5" customFormat="1" x14ac:dyDescent="0.4"/>
    <row r="21553" s="5" customFormat="1" x14ac:dyDescent="0.4"/>
    <row r="21554" s="5" customFormat="1" x14ac:dyDescent="0.4"/>
    <row r="21555" s="5" customFormat="1" x14ac:dyDescent="0.4"/>
    <row r="21556" s="5" customFormat="1" x14ac:dyDescent="0.4"/>
    <row r="21557" s="5" customFormat="1" x14ac:dyDescent="0.4"/>
    <row r="21558" s="5" customFormat="1" x14ac:dyDescent="0.4"/>
    <row r="21559" s="5" customFormat="1" x14ac:dyDescent="0.4"/>
    <row r="21560" s="5" customFormat="1" x14ac:dyDescent="0.4"/>
    <row r="21561" s="5" customFormat="1" x14ac:dyDescent="0.4"/>
    <row r="21562" s="5" customFormat="1" x14ac:dyDescent="0.4"/>
    <row r="21563" s="5" customFormat="1" x14ac:dyDescent="0.4"/>
    <row r="21564" s="5" customFormat="1" x14ac:dyDescent="0.4"/>
    <row r="21565" s="5" customFormat="1" x14ac:dyDescent="0.4"/>
    <row r="21566" s="5" customFormat="1" x14ac:dyDescent="0.4"/>
    <row r="21567" s="5" customFormat="1" x14ac:dyDescent="0.4"/>
    <row r="21568" s="5" customFormat="1" x14ac:dyDescent="0.4"/>
    <row r="21569" s="5" customFormat="1" x14ac:dyDescent="0.4"/>
    <row r="21570" s="5" customFormat="1" x14ac:dyDescent="0.4"/>
    <row r="21571" s="5" customFormat="1" x14ac:dyDescent="0.4"/>
    <row r="21572" s="5" customFormat="1" x14ac:dyDescent="0.4"/>
    <row r="21573" s="5" customFormat="1" x14ac:dyDescent="0.4"/>
    <row r="21574" s="5" customFormat="1" x14ac:dyDescent="0.4"/>
    <row r="21575" s="5" customFormat="1" x14ac:dyDescent="0.4"/>
    <row r="21576" s="5" customFormat="1" x14ac:dyDescent="0.4"/>
    <row r="21577" s="5" customFormat="1" x14ac:dyDescent="0.4"/>
    <row r="21578" s="5" customFormat="1" x14ac:dyDescent="0.4"/>
    <row r="21579" s="5" customFormat="1" x14ac:dyDescent="0.4"/>
    <row r="21580" s="5" customFormat="1" x14ac:dyDescent="0.4"/>
    <row r="21581" s="5" customFormat="1" x14ac:dyDescent="0.4"/>
    <row r="21582" s="5" customFormat="1" x14ac:dyDescent="0.4"/>
    <row r="21583" s="5" customFormat="1" x14ac:dyDescent="0.4"/>
    <row r="21584" s="5" customFormat="1" x14ac:dyDescent="0.4"/>
    <row r="21585" s="5" customFormat="1" x14ac:dyDescent="0.4"/>
    <row r="21586" s="5" customFormat="1" x14ac:dyDescent="0.4"/>
    <row r="21587" s="5" customFormat="1" x14ac:dyDescent="0.4"/>
    <row r="21588" s="5" customFormat="1" x14ac:dyDescent="0.4"/>
    <row r="21589" s="5" customFormat="1" x14ac:dyDescent="0.4"/>
    <row r="21590" s="5" customFormat="1" x14ac:dyDescent="0.4"/>
    <row r="21591" s="5" customFormat="1" x14ac:dyDescent="0.4"/>
    <row r="21592" s="5" customFormat="1" x14ac:dyDescent="0.4"/>
    <row r="21593" s="5" customFormat="1" x14ac:dyDescent="0.4"/>
    <row r="21594" s="5" customFormat="1" x14ac:dyDescent="0.4"/>
    <row r="21595" s="5" customFormat="1" x14ac:dyDescent="0.4"/>
    <row r="21596" s="5" customFormat="1" x14ac:dyDescent="0.4"/>
    <row r="21597" s="5" customFormat="1" x14ac:dyDescent="0.4"/>
    <row r="21598" s="5" customFormat="1" x14ac:dyDescent="0.4"/>
    <row r="21599" s="5" customFormat="1" x14ac:dyDescent="0.4"/>
    <row r="21600" s="5" customFormat="1" x14ac:dyDescent="0.4"/>
    <row r="21601" s="5" customFormat="1" x14ac:dyDescent="0.4"/>
    <row r="21602" s="5" customFormat="1" x14ac:dyDescent="0.4"/>
    <row r="21603" s="5" customFormat="1" x14ac:dyDescent="0.4"/>
    <row r="21604" s="5" customFormat="1" x14ac:dyDescent="0.4"/>
    <row r="21605" s="5" customFormat="1" x14ac:dyDescent="0.4"/>
    <row r="21606" s="5" customFormat="1" x14ac:dyDescent="0.4"/>
    <row r="21607" s="5" customFormat="1" x14ac:dyDescent="0.4"/>
    <row r="21608" s="5" customFormat="1" x14ac:dyDescent="0.4"/>
    <row r="21609" s="5" customFormat="1" x14ac:dyDescent="0.4"/>
    <row r="21610" s="5" customFormat="1" x14ac:dyDescent="0.4"/>
    <row r="21611" s="5" customFormat="1" x14ac:dyDescent="0.4"/>
    <row r="21612" s="5" customFormat="1" x14ac:dyDescent="0.4"/>
    <row r="21613" s="5" customFormat="1" x14ac:dyDescent="0.4"/>
    <row r="21614" s="5" customFormat="1" x14ac:dyDescent="0.4"/>
    <row r="21615" s="5" customFormat="1" x14ac:dyDescent="0.4"/>
    <row r="21616" s="5" customFormat="1" x14ac:dyDescent="0.4"/>
    <row r="21617" s="5" customFormat="1" x14ac:dyDescent="0.4"/>
    <row r="21618" s="5" customFormat="1" x14ac:dyDescent="0.4"/>
    <row r="21619" s="5" customFormat="1" x14ac:dyDescent="0.4"/>
    <row r="21620" s="5" customFormat="1" x14ac:dyDescent="0.4"/>
    <row r="21621" s="5" customFormat="1" x14ac:dyDescent="0.4"/>
    <row r="21622" s="5" customFormat="1" x14ac:dyDescent="0.4"/>
    <row r="21623" s="5" customFormat="1" x14ac:dyDescent="0.4"/>
    <row r="21624" s="5" customFormat="1" x14ac:dyDescent="0.4"/>
    <row r="21625" s="5" customFormat="1" x14ac:dyDescent="0.4"/>
    <row r="21626" s="5" customFormat="1" x14ac:dyDescent="0.4"/>
    <row r="21627" s="5" customFormat="1" x14ac:dyDescent="0.4"/>
    <row r="21628" s="5" customFormat="1" x14ac:dyDescent="0.4"/>
    <row r="21629" s="5" customFormat="1" x14ac:dyDescent="0.4"/>
    <row r="21630" s="5" customFormat="1" x14ac:dyDescent="0.4"/>
    <row r="21631" s="5" customFormat="1" x14ac:dyDescent="0.4"/>
    <row r="21632" s="5" customFormat="1" x14ac:dyDescent="0.4"/>
    <row r="21633" s="5" customFormat="1" x14ac:dyDescent="0.4"/>
    <row r="21634" s="5" customFormat="1" x14ac:dyDescent="0.4"/>
    <row r="21635" s="5" customFormat="1" x14ac:dyDescent="0.4"/>
    <row r="21636" s="5" customFormat="1" x14ac:dyDescent="0.4"/>
    <row r="21637" s="5" customFormat="1" x14ac:dyDescent="0.4"/>
    <row r="21638" s="5" customFormat="1" x14ac:dyDescent="0.4"/>
    <row r="21639" s="5" customFormat="1" x14ac:dyDescent="0.4"/>
    <row r="21640" s="5" customFormat="1" x14ac:dyDescent="0.4"/>
    <row r="21641" s="5" customFormat="1" x14ac:dyDescent="0.4"/>
    <row r="21642" s="5" customFormat="1" x14ac:dyDescent="0.4"/>
    <row r="21643" s="5" customFormat="1" x14ac:dyDescent="0.4"/>
    <row r="21644" s="5" customFormat="1" x14ac:dyDescent="0.4"/>
    <row r="21645" s="5" customFormat="1" x14ac:dyDescent="0.4"/>
    <row r="21646" s="5" customFormat="1" x14ac:dyDescent="0.4"/>
    <row r="21647" s="5" customFormat="1" x14ac:dyDescent="0.4"/>
    <row r="21648" s="5" customFormat="1" x14ac:dyDescent="0.4"/>
    <row r="21649" s="5" customFormat="1" x14ac:dyDescent="0.4"/>
    <row r="21650" s="5" customFormat="1" x14ac:dyDescent="0.4"/>
    <row r="21651" s="5" customFormat="1" x14ac:dyDescent="0.4"/>
    <row r="21652" s="5" customFormat="1" x14ac:dyDescent="0.4"/>
    <row r="21653" s="5" customFormat="1" x14ac:dyDescent="0.4"/>
    <row r="21654" s="5" customFormat="1" x14ac:dyDescent="0.4"/>
    <row r="21655" s="5" customFormat="1" x14ac:dyDescent="0.4"/>
    <row r="21656" s="5" customFormat="1" x14ac:dyDescent="0.4"/>
    <row r="21657" s="5" customFormat="1" x14ac:dyDescent="0.4"/>
    <row r="21658" s="5" customFormat="1" x14ac:dyDescent="0.4"/>
    <row r="21659" s="5" customFormat="1" x14ac:dyDescent="0.4"/>
    <row r="21660" s="5" customFormat="1" x14ac:dyDescent="0.4"/>
    <row r="21661" s="5" customFormat="1" x14ac:dyDescent="0.4"/>
    <row r="21662" s="5" customFormat="1" x14ac:dyDescent="0.4"/>
    <row r="21663" s="5" customFormat="1" x14ac:dyDescent="0.4"/>
    <row r="21664" s="5" customFormat="1" x14ac:dyDescent="0.4"/>
    <row r="21665" s="5" customFormat="1" x14ac:dyDescent="0.4"/>
    <row r="21666" s="5" customFormat="1" x14ac:dyDescent="0.4"/>
    <row r="21667" s="5" customFormat="1" x14ac:dyDescent="0.4"/>
    <row r="21668" s="5" customFormat="1" x14ac:dyDescent="0.4"/>
    <row r="21669" s="5" customFormat="1" x14ac:dyDescent="0.4"/>
    <row r="21670" s="5" customFormat="1" x14ac:dyDescent="0.4"/>
    <row r="21671" s="5" customFormat="1" x14ac:dyDescent="0.4"/>
    <row r="21672" s="5" customFormat="1" x14ac:dyDescent="0.4"/>
    <row r="21673" s="5" customFormat="1" x14ac:dyDescent="0.4"/>
    <row r="21674" s="5" customFormat="1" x14ac:dyDescent="0.4"/>
    <row r="21675" s="5" customFormat="1" x14ac:dyDescent="0.4"/>
    <row r="21676" s="5" customFormat="1" x14ac:dyDescent="0.4"/>
    <row r="21677" s="5" customFormat="1" x14ac:dyDescent="0.4"/>
    <row r="21678" s="5" customFormat="1" x14ac:dyDescent="0.4"/>
    <row r="21679" s="5" customFormat="1" x14ac:dyDescent="0.4"/>
    <row r="21680" s="5" customFormat="1" x14ac:dyDescent="0.4"/>
    <row r="21681" s="5" customFormat="1" x14ac:dyDescent="0.4"/>
    <row r="21682" s="5" customFormat="1" x14ac:dyDescent="0.4"/>
    <row r="21683" s="5" customFormat="1" x14ac:dyDescent="0.4"/>
    <row r="21684" s="5" customFormat="1" x14ac:dyDescent="0.4"/>
    <row r="21685" s="5" customFormat="1" x14ac:dyDescent="0.4"/>
    <row r="21686" s="5" customFormat="1" x14ac:dyDescent="0.4"/>
    <row r="21687" s="5" customFormat="1" x14ac:dyDescent="0.4"/>
    <row r="21688" s="5" customFormat="1" x14ac:dyDescent="0.4"/>
    <row r="21689" s="5" customFormat="1" x14ac:dyDescent="0.4"/>
    <row r="21690" s="5" customFormat="1" x14ac:dyDescent="0.4"/>
    <row r="21691" s="5" customFormat="1" x14ac:dyDescent="0.4"/>
    <row r="21692" s="5" customFormat="1" x14ac:dyDescent="0.4"/>
    <row r="21693" s="5" customFormat="1" x14ac:dyDescent="0.4"/>
    <row r="21694" s="5" customFormat="1" x14ac:dyDescent="0.4"/>
    <row r="21695" s="5" customFormat="1" x14ac:dyDescent="0.4"/>
    <row r="21696" s="5" customFormat="1" x14ac:dyDescent="0.4"/>
    <row r="21697" s="5" customFormat="1" x14ac:dyDescent="0.4"/>
    <row r="21698" s="5" customFormat="1" x14ac:dyDescent="0.4"/>
    <row r="21699" s="5" customFormat="1" x14ac:dyDescent="0.4"/>
    <row r="21700" s="5" customFormat="1" x14ac:dyDescent="0.4"/>
    <row r="21701" s="5" customFormat="1" x14ac:dyDescent="0.4"/>
    <row r="21702" s="5" customFormat="1" x14ac:dyDescent="0.4"/>
    <row r="21703" s="5" customFormat="1" x14ac:dyDescent="0.4"/>
    <row r="21704" s="5" customFormat="1" x14ac:dyDescent="0.4"/>
    <row r="21705" s="5" customFormat="1" x14ac:dyDescent="0.4"/>
    <row r="21706" s="5" customFormat="1" x14ac:dyDescent="0.4"/>
    <row r="21707" s="5" customFormat="1" x14ac:dyDescent="0.4"/>
    <row r="21708" s="5" customFormat="1" x14ac:dyDescent="0.4"/>
    <row r="21709" s="5" customFormat="1" x14ac:dyDescent="0.4"/>
    <row r="21710" s="5" customFormat="1" x14ac:dyDescent="0.4"/>
    <row r="21711" s="5" customFormat="1" x14ac:dyDescent="0.4"/>
    <row r="21712" s="5" customFormat="1" x14ac:dyDescent="0.4"/>
    <row r="21713" s="5" customFormat="1" x14ac:dyDescent="0.4"/>
    <row r="21714" s="5" customFormat="1" x14ac:dyDescent="0.4"/>
    <row r="21715" s="5" customFormat="1" x14ac:dyDescent="0.4"/>
    <row r="21716" s="5" customFormat="1" x14ac:dyDescent="0.4"/>
    <row r="21717" s="5" customFormat="1" x14ac:dyDescent="0.4"/>
    <row r="21718" s="5" customFormat="1" x14ac:dyDescent="0.4"/>
    <row r="21719" s="5" customFormat="1" x14ac:dyDescent="0.4"/>
    <row r="21720" s="5" customFormat="1" x14ac:dyDescent="0.4"/>
    <row r="21721" s="5" customFormat="1" x14ac:dyDescent="0.4"/>
    <row r="21722" s="5" customFormat="1" x14ac:dyDescent="0.4"/>
    <row r="21723" s="5" customFormat="1" x14ac:dyDescent="0.4"/>
    <row r="21724" s="5" customFormat="1" x14ac:dyDescent="0.4"/>
    <row r="21725" s="5" customFormat="1" x14ac:dyDescent="0.4"/>
    <row r="21726" s="5" customFormat="1" x14ac:dyDescent="0.4"/>
    <row r="21727" s="5" customFormat="1" x14ac:dyDescent="0.4"/>
    <row r="21728" s="5" customFormat="1" x14ac:dyDescent="0.4"/>
    <row r="21729" s="5" customFormat="1" x14ac:dyDescent="0.4"/>
    <row r="21730" s="5" customFormat="1" x14ac:dyDescent="0.4"/>
    <row r="21731" s="5" customFormat="1" x14ac:dyDescent="0.4"/>
    <row r="21732" s="5" customFormat="1" x14ac:dyDescent="0.4"/>
    <row r="21733" s="5" customFormat="1" x14ac:dyDescent="0.4"/>
    <row r="21734" s="5" customFormat="1" x14ac:dyDescent="0.4"/>
    <row r="21735" s="5" customFormat="1" x14ac:dyDescent="0.4"/>
    <row r="21736" s="5" customFormat="1" x14ac:dyDescent="0.4"/>
    <row r="21737" s="5" customFormat="1" x14ac:dyDescent="0.4"/>
    <row r="21738" s="5" customFormat="1" x14ac:dyDescent="0.4"/>
    <row r="21739" s="5" customFormat="1" x14ac:dyDescent="0.4"/>
    <row r="21740" s="5" customFormat="1" x14ac:dyDescent="0.4"/>
    <row r="21741" s="5" customFormat="1" x14ac:dyDescent="0.4"/>
    <row r="21742" s="5" customFormat="1" x14ac:dyDescent="0.4"/>
    <row r="21743" s="5" customFormat="1" x14ac:dyDescent="0.4"/>
    <row r="21744" s="5" customFormat="1" x14ac:dyDescent="0.4"/>
    <row r="21745" s="5" customFormat="1" x14ac:dyDescent="0.4"/>
    <row r="21746" s="5" customFormat="1" x14ac:dyDescent="0.4"/>
    <row r="21747" s="5" customFormat="1" x14ac:dyDescent="0.4"/>
    <row r="21748" s="5" customFormat="1" x14ac:dyDescent="0.4"/>
    <row r="21749" s="5" customFormat="1" x14ac:dyDescent="0.4"/>
    <row r="21750" s="5" customFormat="1" x14ac:dyDescent="0.4"/>
    <row r="21751" s="5" customFormat="1" x14ac:dyDescent="0.4"/>
    <row r="21752" s="5" customFormat="1" x14ac:dyDescent="0.4"/>
    <row r="21753" s="5" customFormat="1" x14ac:dyDescent="0.4"/>
    <row r="21754" s="5" customFormat="1" x14ac:dyDescent="0.4"/>
    <row r="21755" s="5" customFormat="1" x14ac:dyDescent="0.4"/>
    <row r="21756" s="5" customFormat="1" x14ac:dyDescent="0.4"/>
    <row r="21757" s="5" customFormat="1" x14ac:dyDescent="0.4"/>
    <row r="21758" s="5" customFormat="1" x14ac:dyDescent="0.4"/>
    <row r="21759" s="5" customFormat="1" x14ac:dyDescent="0.4"/>
    <row r="21760" s="5" customFormat="1" x14ac:dyDescent="0.4"/>
    <row r="21761" s="5" customFormat="1" x14ac:dyDescent="0.4"/>
    <row r="21762" s="5" customFormat="1" x14ac:dyDescent="0.4"/>
    <row r="21763" s="5" customFormat="1" x14ac:dyDescent="0.4"/>
    <row r="21764" s="5" customFormat="1" x14ac:dyDescent="0.4"/>
    <row r="21765" s="5" customFormat="1" x14ac:dyDescent="0.4"/>
    <row r="21766" s="5" customFormat="1" x14ac:dyDescent="0.4"/>
    <row r="21767" s="5" customFormat="1" x14ac:dyDescent="0.4"/>
    <row r="21768" s="5" customFormat="1" x14ac:dyDescent="0.4"/>
    <row r="21769" s="5" customFormat="1" x14ac:dyDescent="0.4"/>
    <row r="21770" s="5" customFormat="1" x14ac:dyDescent="0.4"/>
    <row r="21771" s="5" customFormat="1" x14ac:dyDescent="0.4"/>
    <row r="21772" s="5" customFormat="1" x14ac:dyDescent="0.4"/>
    <row r="21773" s="5" customFormat="1" x14ac:dyDescent="0.4"/>
    <row r="21774" s="5" customFormat="1" x14ac:dyDescent="0.4"/>
    <row r="21775" s="5" customFormat="1" x14ac:dyDescent="0.4"/>
    <row r="21776" s="5" customFormat="1" x14ac:dyDescent="0.4"/>
    <row r="21777" s="5" customFormat="1" x14ac:dyDescent="0.4"/>
    <row r="21778" s="5" customFormat="1" x14ac:dyDescent="0.4"/>
    <row r="21779" s="5" customFormat="1" x14ac:dyDescent="0.4"/>
    <row r="21780" s="5" customFormat="1" x14ac:dyDescent="0.4"/>
    <row r="21781" s="5" customFormat="1" x14ac:dyDescent="0.4"/>
    <row r="21782" s="5" customFormat="1" x14ac:dyDescent="0.4"/>
    <row r="21783" s="5" customFormat="1" x14ac:dyDescent="0.4"/>
    <row r="21784" s="5" customFormat="1" x14ac:dyDescent="0.4"/>
    <row r="21785" s="5" customFormat="1" x14ac:dyDescent="0.4"/>
    <row r="21786" s="5" customFormat="1" x14ac:dyDescent="0.4"/>
    <row r="21787" s="5" customFormat="1" x14ac:dyDescent="0.4"/>
    <row r="21788" s="5" customFormat="1" x14ac:dyDescent="0.4"/>
    <row r="21789" s="5" customFormat="1" x14ac:dyDescent="0.4"/>
    <row r="21790" s="5" customFormat="1" x14ac:dyDescent="0.4"/>
    <row r="21791" s="5" customFormat="1" x14ac:dyDescent="0.4"/>
    <row r="21792" s="5" customFormat="1" x14ac:dyDescent="0.4"/>
    <row r="21793" s="5" customFormat="1" x14ac:dyDescent="0.4"/>
    <row r="21794" s="5" customFormat="1" x14ac:dyDescent="0.4"/>
    <row r="21795" s="5" customFormat="1" x14ac:dyDescent="0.4"/>
    <row r="21796" s="5" customFormat="1" x14ac:dyDescent="0.4"/>
    <row r="21797" s="5" customFormat="1" x14ac:dyDescent="0.4"/>
    <row r="21798" s="5" customFormat="1" x14ac:dyDescent="0.4"/>
    <row r="21799" s="5" customFormat="1" x14ac:dyDescent="0.4"/>
    <row r="21800" s="5" customFormat="1" x14ac:dyDescent="0.4"/>
    <row r="21801" s="5" customFormat="1" x14ac:dyDescent="0.4"/>
    <row r="21802" s="5" customFormat="1" x14ac:dyDescent="0.4"/>
    <row r="21803" s="5" customFormat="1" x14ac:dyDescent="0.4"/>
    <row r="21804" s="5" customFormat="1" x14ac:dyDescent="0.4"/>
    <row r="21805" s="5" customFormat="1" x14ac:dyDescent="0.4"/>
    <row r="21806" s="5" customFormat="1" x14ac:dyDescent="0.4"/>
    <row r="21807" s="5" customFormat="1" x14ac:dyDescent="0.4"/>
    <row r="21808" s="5" customFormat="1" x14ac:dyDescent="0.4"/>
    <row r="21809" s="5" customFormat="1" x14ac:dyDescent="0.4"/>
    <row r="21810" s="5" customFormat="1" x14ac:dyDescent="0.4"/>
    <row r="21811" s="5" customFormat="1" x14ac:dyDescent="0.4"/>
    <row r="21812" s="5" customFormat="1" x14ac:dyDescent="0.4"/>
    <row r="21813" s="5" customFormat="1" x14ac:dyDescent="0.4"/>
    <row r="21814" s="5" customFormat="1" x14ac:dyDescent="0.4"/>
    <row r="21815" s="5" customFormat="1" x14ac:dyDescent="0.4"/>
    <row r="21816" s="5" customFormat="1" x14ac:dyDescent="0.4"/>
    <row r="21817" s="5" customFormat="1" x14ac:dyDescent="0.4"/>
    <row r="21818" s="5" customFormat="1" x14ac:dyDescent="0.4"/>
    <row r="21819" s="5" customFormat="1" x14ac:dyDescent="0.4"/>
    <row r="21820" s="5" customFormat="1" x14ac:dyDescent="0.4"/>
    <row r="21821" s="5" customFormat="1" x14ac:dyDescent="0.4"/>
    <row r="21822" s="5" customFormat="1" x14ac:dyDescent="0.4"/>
    <row r="21823" s="5" customFormat="1" x14ac:dyDescent="0.4"/>
    <row r="21824" s="5" customFormat="1" x14ac:dyDescent="0.4"/>
    <row r="21825" s="5" customFormat="1" x14ac:dyDescent="0.4"/>
    <row r="21826" s="5" customFormat="1" x14ac:dyDescent="0.4"/>
    <row r="21827" s="5" customFormat="1" x14ac:dyDescent="0.4"/>
    <row r="21828" s="5" customFormat="1" x14ac:dyDescent="0.4"/>
    <row r="21829" s="5" customFormat="1" x14ac:dyDescent="0.4"/>
    <row r="21830" s="5" customFormat="1" x14ac:dyDescent="0.4"/>
    <row r="21831" s="5" customFormat="1" x14ac:dyDescent="0.4"/>
    <row r="21832" s="5" customFormat="1" x14ac:dyDescent="0.4"/>
    <row r="21833" s="5" customFormat="1" x14ac:dyDescent="0.4"/>
    <row r="21834" s="5" customFormat="1" x14ac:dyDescent="0.4"/>
    <row r="21835" s="5" customFormat="1" x14ac:dyDescent="0.4"/>
    <row r="21836" s="5" customFormat="1" x14ac:dyDescent="0.4"/>
    <row r="21837" s="5" customFormat="1" x14ac:dyDescent="0.4"/>
    <row r="21838" s="5" customFormat="1" x14ac:dyDescent="0.4"/>
    <row r="21839" s="5" customFormat="1" x14ac:dyDescent="0.4"/>
    <row r="21840" s="5" customFormat="1" x14ac:dyDescent="0.4"/>
    <row r="21841" s="5" customFormat="1" x14ac:dyDescent="0.4"/>
    <row r="21842" s="5" customFormat="1" x14ac:dyDescent="0.4"/>
    <row r="21843" s="5" customFormat="1" x14ac:dyDescent="0.4"/>
    <row r="21844" s="5" customFormat="1" x14ac:dyDescent="0.4"/>
    <row r="21845" s="5" customFormat="1" x14ac:dyDescent="0.4"/>
    <row r="21846" s="5" customFormat="1" x14ac:dyDescent="0.4"/>
    <row r="21847" s="5" customFormat="1" x14ac:dyDescent="0.4"/>
    <row r="21848" s="5" customFormat="1" x14ac:dyDescent="0.4"/>
    <row r="21849" s="5" customFormat="1" x14ac:dyDescent="0.4"/>
    <row r="21850" s="5" customFormat="1" x14ac:dyDescent="0.4"/>
    <row r="21851" s="5" customFormat="1" x14ac:dyDescent="0.4"/>
    <row r="21852" s="5" customFormat="1" x14ac:dyDescent="0.4"/>
    <row r="21853" s="5" customFormat="1" x14ac:dyDescent="0.4"/>
    <row r="21854" s="5" customFormat="1" x14ac:dyDescent="0.4"/>
    <row r="21855" s="5" customFormat="1" x14ac:dyDescent="0.4"/>
    <row r="21856" s="5" customFormat="1" x14ac:dyDescent="0.4"/>
    <row r="21857" s="5" customFormat="1" x14ac:dyDescent="0.4"/>
    <row r="21858" s="5" customFormat="1" x14ac:dyDescent="0.4"/>
    <row r="21859" s="5" customFormat="1" x14ac:dyDescent="0.4"/>
    <row r="21860" s="5" customFormat="1" x14ac:dyDescent="0.4"/>
    <row r="21861" s="5" customFormat="1" x14ac:dyDescent="0.4"/>
    <row r="21862" s="5" customFormat="1" x14ac:dyDescent="0.4"/>
    <row r="21863" s="5" customFormat="1" x14ac:dyDescent="0.4"/>
    <row r="21864" s="5" customFormat="1" x14ac:dyDescent="0.4"/>
    <row r="21865" s="5" customFormat="1" x14ac:dyDescent="0.4"/>
    <row r="21866" s="5" customFormat="1" x14ac:dyDescent="0.4"/>
    <row r="21867" s="5" customFormat="1" x14ac:dyDescent="0.4"/>
    <row r="21868" s="5" customFormat="1" x14ac:dyDescent="0.4"/>
    <row r="21869" s="5" customFormat="1" x14ac:dyDescent="0.4"/>
    <row r="21870" s="5" customFormat="1" x14ac:dyDescent="0.4"/>
    <row r="21871" s="5" customFormat="1" x14ac:dyDescent="0.4"/>
    <row r="21872" s="5" customFormat="1" x14ac:dyDescent="0.4"/>
    <row r="21873" s="5" customFormat="1" x14ac:dyDescent="0.4"/>
    <row r="21874" s="5" customFormat="1" x14ac:dyDescent="0.4"/>
    <row r="21875" s="5" customFormat="1" x14ac:dyDescent="0.4"/>
    <row r="21876" s="5" customFormat="1" x14ac:dyDescent="0.4"/>
    <row r="21877" s="5" customFormat="1" x14ac:dyDescent="0.4"/>
    <row r="21878" s="5" customFormat="1" x14ac:dyDescent="0.4"/>
    <row r="21879" s="5" customFormat="1" x14ac:dyDescent="0.4"/>
    <row r="21880" s="5" customFormat="1" x14ac:dyDescent="0.4"/>
    <row r="21881" s="5" customFormat="1" x14ac:dyDescent="0.4"/>
    <row r="21882" s="5" customFormat="1" x14ac:dyDescent="0.4"/>
    <row r="21883" s="5" customFormat="1" x14ac:dyDescent="0.4"/>
    <row r="21884" s="5" customFormat="1" x14ac:dyDescent="0.4"/>
    <row r="21885" s="5" customFormat="1" x14ac:dyDescent="0.4"/>
    <row r="21886" s="5" customFormat="1" x14ac:dyDescent="0.4"/>
    <row r="21887" s="5" customFormat="1" x14ac:dyDescent="0.4"/>
    <row r="21888" s="5" customFormat="1" x14ac:dyDescent="0.4"/>
    <row r="21889" s="5" customFormat="1" x14ac:dyDescent="0.4"/>
    <row r="21890" s="5" customFormat="1" x14ac:dyDescent="0.4"/>
    <row r="21891" s="5" customFormat="1" x14ac:dyDescent="0.4"/>
    <row r="21892" s="5" customFormat="1" x14ac:dyDescent="0.4"/>
    <row r="21893" s="5" customFormat="1" x14ac:dyDescent="0.4"/>
    <row r="21894" s="5" customFormat="1" x14ac:dyDescent="0.4"/>
    <row r="21895" s="5" customFormat="1" x14ac:dyDescent="0.4"/>
    <row r="21896" s="5" customFormat="1" x14ac:dyDescent="0.4"/>
    <row r="21897" s="5" customFormat="1" x14ac:dyDescent="0.4"/>
    <row r="21898" s="5" customFormat="1" x14ac:dyDescent="0.4"/>
    <row r="21899" s="5" customFormat="1" x14ac:dyDescent="0.4"/>
    <row r="21900" s="5" customFormat="1" x14ac:dyDescent="0.4"/>
    <row r="21901" s="5" customFormat="1" x14ac:dyDescent="0.4"/>
    <row r="21902" s="5" customFormat="1" x14ac:dyDescent="0.4"/>
    <row r="21903" s="5" customFormat="1" x14ac:dyDescent="0.4"/>
    <row r="21904" s="5" customFormat="1" x14ac:dyDescent="0.4"/>
    <row r="21905" s="5" customFormat="1" x14ac:dyDescent="0.4"/>
    <row r="21906" s="5" customFormat="1" x14ac:dyDescent="0.4"/>
    <row r="21907" s="5" customFormat="1" x14ac:dyDescent="0.4"/>
    <row r="21908" s="5" customFormat="1" x14ac:dyDescent="0.4"/>
    <row r="21909" s="5" customFormat="1" x14ac:dyDescent="0.4"/>
    <row r="21910" s="5" customFormat="1" x14ac:dyDescent="0.4"/>
    <row r="21911" s="5" customFormat="1" x14ac:dyDescent="0.4"/>
    <row r="21912" s="5" customFormat="1" x14ac:dyDescent="0.4"/>
    <row r="21913" s="5" customFormat="1" x14ac:dyDescent="0.4"/>
    <row r="21914" s="5" customFormat="1" x14ac:dyDescent="0.4"/>
    <row r="21915" s="5" customFormat="1" x14ac:dyDescent="0.4"/>
    <row r="21916" s="5" customFormat="1" x14ac:dyDescent="0.4"/>
    <row r="21917" s="5" customFormat="1" x14ac:dyDescent="0.4"/>
    <row r="21918" s="5" customFormat="1" x14ac:dyDescent="0.4"/>
    <row r="21919" s="5" customFormat="1" x14ac:dyDescent="0.4"/>
    <row r="21920" s="5" customFormat="1" x14ac:dyDescent="0.4"/>
    <row r="21921" s="5" customFormat="1" x14ac:dyDescent="0.4"/>
    <row r="21922" s="5" customFormat="1" x14ac:dyDescent="0.4"/>
    <row r="21923" s="5" customFormat="1" x14ac:dyDescent="0.4"/>
    <row r="21924" s="5" customFormat="1" x14ac:dyDescent="0.4"/>
    <row r="21925" s="5" customFormat="1" x14ac:dyDescent="0.4"/>
    <row r="21926" s="5" customFormat="1" x14ac:dyDescent="0.4"/>
    <row r="21927" s="5" customFormat="1" x14ac:dyDescent="0.4"/>
    <row r="21928" s="5" customFormat="1" x14ac:dyDescent="0.4"/>
    <row r="21929" s="5" customFormat="1" x14ac:dyDescent="0.4"/>
    <row r="21930" s="5" customFormat="1" x14ac:dyDescent="0.4"/>
    <row r="21931" s="5" customFormat="1" x14ac:dyDescent="0.4"/>
    <row r="21932" s="5" customFormat="1" x14ac:dyDescent="0.4"/>
    <row r="21933" s="5" customFormat="1" x14ac:dyDescent="0.4"/>
    <row r="21934" s="5" customFormat="1" x14ac:dyDescent="0.4"/>
    <row r="21935" s="5" customFormat="1" x14ac:dyDescent="0.4"/>
    <row r="21936" s="5" customFormat="1" x14ac:dyDescent="0.4"/>
    <row r="21937" s="5" customFormat="1" x14ac:dyDescent="0.4"/>
    <row r="21938" s="5" customFormat="1" x14ac:dyDescent="0.4"/>
    <row r="21939" s="5" customFormat="1" x14ac:dyDescent="0.4"/>
    <row r="21940" s="5" customFormat="1" x14ac:dyDescent="0.4"/>
    <row r="21941" s="5" customFormat="1" x14ac:dyDescent="0.4"/>
    <row r="21942" s="5" customFormat="1" x14ac:dyDescent="0.4"/>
    <row r="21943" s="5" customFormat="1" x14ac:dyDescent="0.4"/>
    <row r="21944" s="5" customFormat="1" x14ac:dyDescent="0.4"/>
    <row r="21945" s="5" customFormat="1" x14ac:dyDescent="0.4"/>
    <row r="21946" s="5" customFormat="1" x14ac:dyDescent="0.4"/>
    <row r="21947" s="5" customFormat="1" x14ac:dyDescent="0.4"/>
    <row r="21948" s="5" customFormat="1" x14ac:dyDescent="0.4"/>
    <row r="21949" s="5" customFormat="1" x14ac:dyDescent="0.4"/>
    <row r="21950" s="5" customFormat="1" x14ac:dyDescent="0.4"/>
    <row r="21951" s="5" customFormat="1" x14ac:dyDescent="0.4"/>
    <row r="21952" s="5" customFormat="1" x14ac:dyDescent="0.4"/>
    <row r="21953" s="5" customFormat="1" x14ac:dyDescent="0.4"/>
    <row r="21954" s="5" customFormat="1" x14ac:dyDescent="0.4"/>
    <row r="21955" s="5" customFormat="1" x14ac:dyDescent="0.4"/>
    <row r="21956" s="5" customFormat="1" x14ac:dyDescent="0.4"/>
    <row r="21957" s="5" customFormat="1" x14ac:dyDescent="0.4"/>
    <row r="21958" s="5" customFormat="1" x14ac:dyDescent="0.4"/>
    <row r="21959" s="5" customFormat="1" x14ac:dyDescent="0.4"/>
    <row r="21960" s="5" customFormat="1" x14ac:dyDescent="0.4"/>
    <row r="21961" s="5" customFormat="1" x14ac:dyDescent="0.4"/>
    <row r="21962" s="5" customFormat="1" x14ac:dyDescent="0.4"/>
    <row r="21963" s="5" customFormat="1" x14ac:dyDescent="0.4"/>
    <row r="21964" s="5" customFormat="1" x14ac:dyDescent="0.4"/>
    <row r="21965" s="5" customFormat="1" x14ac:dyDescent="0.4"/>
    <row r="21966" s="5" customFormat="1" x14ac:dyDescent="0.4"/>
    <row r="21967" s="5" customFormat="1" x14ac:dyDescent="0.4"/>
    <row r="21968" s="5" customFormat="1" x14ac:dyDescent="0.4"/>
    <row r="21969" s="5" customFormat="1" x14ac:dyDescent="0.4"/>
    <row r="21970" s="5" customFormat="1" x14ac:dyDescent="0.4"/>
    <row r="21971" s="5" customFormat="1" x14ac:dyDescent="0.4"/>
    <row r="21972" s="5" customFormat="1" x14ac:dyDescent="0.4"/>
    <row r="21973" s="5" customFormat="1" x14ac:dyDescent="0.4"/>
    <row r="21974" s="5" customFormat="1" x14ac:dyDescent="0.4"/>
    <row r="21975" s="5" customFormat="1" x14ac:dyDescent="0.4"/>
    <row r="21976" s="5" customFormat="1" x14ac:dyDescent="0.4"/>
    <row r="21977" s="5" customFormat="1" x14ac:dyDescent="0.4"/>
    <row r="21978" s="5" customFormat="1" x14ac:dyDescent="0.4"/>
    <row r="21979" s="5" customFormat="1" x14ac:dyDescent="0.4"/>
    <row r="21980" s="5" customFormat="1" x14ac:dyDescent="0.4"/>
    <row r="21981" s="5" customFormat="1" x14ac:dyDescent="0.4"/>
    <row r="21982" s="5" customFormat="1" x14ac:dyDescent="0.4"/>
    <row r="21983" s="5" customFormat="1" x14ac:dyDescent="0.4"/>
    <row r="21984" s="5" customFormat="1" x14ac:dyDescent="0.4"/>
    <row r="21985" s="5" customFormat="1" x14ac:dyDescent="0.4"/>
    <row r="21986" s="5" customFormat="1" x14ac:dyDescent="0.4"/>
    <row r="21987" s="5" customFormat="1" x14ac:dyDescent="0.4"/>
    <row r="21988" s="5" customFormat="1" x14ac:dyDescent="0.4"/>
    <row r="21989" s="5" customFormat="1" x14ac:dyDescent="0.4"/>
    <row r="21990" s="5" customFormat="1" x14ac:dyDescent="0.4"/>
    <row r="21991" s="5" customFormat="1" x14ac:dyDescent="0.4"/>
    <row r="21992" s="5" customFormat="1" x14ac:dyDescent="0.4"/>
    <row r="21993" s="5" customFormat="1" x14ac:dyDescent="0.4"/>
    <row r="21994" s="5" customFormat="1" x14ac:dyDescent="0.4"/>
    <row r="21995" s="5" customFormat="1" x14ac:dyDescent="0.4"/>
    <row r="21996" s="5" customFormat="1" x14ac:dyDescent="0.4"/>
    <row r="21997" s="5" customFormat="1" x14ac:dyDescent="0.4"/>
    <row r="21998" s="5" customFormat="1" x14ac:dyDescent="0.4"/>
    <row r="21999" s="5" customFormat="1" x14ac:dyDescent="0.4"/>
    <row r="22000" s="5" customFormat="1" x14ac:dyDescent="0.4"/>
    <row r="22001" s="5" customFormat="1" x14ac:dyDescent="0.4"/>
    <row r="22002" s="5" customFormat="1" x14ac:dyDescent="0.4"/>
    <row r="22003" s="5" customFormat="1" x14ac:dyDescent="0.4"/>
    <row r="22004" s="5" customFormat="1" x14ac:dyDescent="0.4"/>
    <row r="22005" s="5" customFormat="1" x14ac:dyDescent="0.4"/>
    <row r="22006" s="5" customFormat="1" x14ac:dyDescent="0.4"/>
    <row r="22007" s="5" customFormat="1" x14ac:dyDescent="0.4"/>
    <row r="22008" s="5" customFormat="1" x14ac:dyDescent="0.4"/>
    <row r="22009" s="5" customFormat="1" x14ac:dyDescent="0.4"/>
    <row r="22010" s="5" customFormat="1" x14ac:dyDescent="0.4"/>
    <row r="22011" s="5" customFormat="1" x14ac:dyDescent="0.4"/>
    <row r="22012" s="5" customFormat="1" x14ac:dyDescent="0.4"/>
    <row r="22013" s="5" customFormat="1" x14ac:dyDescent="0.4"/>
    <row r="22014" s="5" customFormat="1" x14ac:dyDescent="0.4"/>
    <row r="22015" s="5" customFormat="1" x14ac:dyDescent="0.4"/>
    <row r="22016" s="5" customFormat="1" x14ac:dyDescent="0.4"/>
    <row r="22017" s="5" customFormat="1" x14ac:dyDescent="0.4"/>
    <row r="22018" s="5" customFormat="1" x14ac:dyDescent="0.4"/>
    <row r="22019" s="5" customFormat="1" x14ac:dyDescent="0.4"/>
    <row r="22020" s="5" customFormat="1" x14ac:dyDescent="0.4"/>
    <row r="22021" s="5" customFormat="1" x14ac:dyDescent="0.4"/>
    <row r="22022" s="5" customFormat="1" x14ac:dyDescent="0.4"/>
    <row r="22023" s="5" customFormat="1" x14ac:dyDescent="0.4"/>
    <row r="22024" s="5" customFormat="1" x14ac:dyDescent="0.4"/>
    <row r="22025" s="5" customFormat="1" x14ac:dyDescent="0.4"/>
    <row r="22026" s="5" customFormat="1" x14ac:dyDescent="0.4"/>
    <row r="22027" s="5" customFormat="1" x14ac:dyDescent="0.4"/>
    <row r="22028" s="5" customFormat="1" x14ac:dyDescent="0.4"/>
    <row r="22029" s="5" customFormat="1" x14ac:dyDescent="0.4"/>
    <row r="22030" s="5" customFormat="1" x14ac:dyDescent="0.4"/>
    <row r="22031" s="5" customFormat="1" x14ac:dyDescent="0.4"/>
    <row r="22032" s="5" customFormat="1" x14ac:dyDescent="0.4"/>
    <row r="22033" s="5" customFormat="1" x14ac:dyDescent="0.4"/>
    <row r="22034" s="5" customFormat="1" x14ac:dyDescent="0.4"/>
    <row r="22035" s="5" customFormat="1" x14ac:dyDescent="0.4"/>
    <row r="22036" s="5" customFormat="1" x14ac:dyDescent="0.4"/>
    <row r="22037" s="5" customFormat="1" x14ac:dyDescent="0.4"/>
    <row r="22038" s="5" customFormat="1" x14ac:dyDescent="0.4"/>
    <row r="22039" s="5" customFormat="1" x14ac:dyDescent="0.4"/>
    <row r="22040" s="5" customFormat="1" x14ac:dyDescent="0.4"/>
    <row r="22041" s="5" customFormat="1" x14ac:dyDescent="0.4"/>
    <row r="22042" s="5" customFormat="1" x14ac:dyDescent="0.4"/>
    <row r="22043" s="5" customFormat="1" x14ac:dyDescent="0.4"/>
    <row r="22044" s="5" customFormat="1" x14ac:dyDescent="0.4"/>
    <row r="22045" s="5" customFormat="1" x14ac:dyDescent="0.4"/>
    <row r="22046" s="5" customFormat="1" x14ac:dyDescent="0.4"/>
    <row r="22047" s="5" customFormat="1" x14ac:dyDescent="0.4"/>
    <row r="22048" s="5" customFormat="1" x14ac:dyDescent="0.4"/>
    <row r="22049" s="5" customFormat="1" x14ac:dyDescent="0.4"/>
    <row r="22050" s="5" customFormat="1" x14ac:dyDescent="0.4"/>
    <row r="22051" s="5" customFormat="1" x14ac:dyDescent="0.4"/>
    <row r="22052" s="5" customFormat="1" x14ac:dyDescent="0.4"/>
    <row r="22053" s="5" customFormat="1" x14ac:dyDescent="0.4"/>
    <row r="22054" s="5" customFormat="1" x14ac:dyDescent="0.4"/>
    <row r="22055" s="5" customFormat="1" x14ac:dyDescent="0.4"/>
    <row r="22056" s="5" customFormat="1" x14ac:dyDescent="0.4"/>
    <row r="22057" s="5" customFormat="1" x14ac:dyDescent="0.4"/>
    <row r="22058" s="5" customFormat="1" x14ac:dyDescent="0.4"/>
    <row r="22059" s="5" customFormat="1" x14ac:dyDescent="0.4"/>
    <row r="22060" s="5" customFormat="1" x14ac:dyDescent="0.4"/>
    <row r="22061" s="5" customFormat="1" x14ac:dyDescent="0.4"/>
    <row r="22062" s="5" customFormat="1" x14ac:dyDescent="0.4"/>
    <row r="22063" s="5" customFormat="1" x14ac:dyDescent="0.4"/>
    <row r="22064" s="5" customFormat="1" x14ac:dyDescent="0.4"/>
    <row r="22065" s="5" customFormat="1" x14ac:dyDescent="0.4"/>
    <row r="22066" s="5" customFormat="1" x14ac:dyDescent="0.4"/>
    <row r="22067" s="5" customFormat="1" x14ac:dyDescent="0.4"/>
    <row r="22068" s="5" customFormat="1" x14ac:dyDescent="0.4"/>
    <row r="22069" s="5" customFormat="1" x14ac:dyDescent="0.4"/>
    <row r="22070" s="5" customFormat="1" x14ac:dyDescent="0.4"/>
    <row r="22071" s="5" customFormat="1" x14ac:dyDescent="0.4"/>
    <row r="22072" s="5" customFormat="1" x14ac:dyDescent="0.4"/>
    <row r="22073" s="5" customFormat="1" x14ac:dyDescent="0.4"/>
    <row r="22074" s="5" customFormat="1" x14ac:dyDescent="0.4"/>
    <row r="22075" s="5" customFormat="1" x14ac:dyDescent="0.4"/>
    <row r="22076" s="5" customFormat="1" x14ac:dyDescent="0.4"/>
    <row r="22077" s="5" customFormat="1" x14ac:dyDescent="0.4"/>
    <row r="22078" s="5" customFormat="1" x14ac:dyDescent="0.4"/>
    <row r="22079" s="5" customFormat="1" x14ac:dyDescent="0.4"/>
    <row r="22080" s="5" customFormat="1" x14ac:dyDescent="0.4"/>
    <row r="22081" s="5" customFormat="1" x14ac:dyDescent="0.4"/>
    <row r="22082" s="5" customFormat="1" x14ac:dyDescent="0.4"/>
    <row r="22083" s="5" customFormat="1" x14ac:dyDescent="0.4"/>
    <row r="22084" s="5" customFormat="1" x14ac:dyDescent="0.4"/>
    <row r="22085" s="5" customFormat="1" x14ac:dyDescent="0.4"/>
    <row r="22086" s="5" customFormat="1" x14ac:dyDescent="0.4"/>
    <row r="22087" s="5" customFormat="1" x14ac:dyDescent="0.4"/>
    <row r="22088" s="5" customFormat="1" x14ac:dyDescent="0.4"/>
    <row r="22089" s="5" customFormat="1" x14ac:dyDescent="0.4"/>
    <row r="22090" s="5" customFormat="1" x14ac:dyDescent="0.4"/>
    <row r="22091" s="5" customFormat="1" x14ac:dyDescent="0.4"/>
    <row r="22092" s="5" customFormat="1" x14ac:dyDescent="0.4"/>
    <row r="22093" s="5" customFormat="1" x14ac:dyDescent="0.4"/>
    <row r="22094" s="5" customFormat="1" x14ac:dyDescent="0.4"/>
    <row r="22095" s="5" customFormat="1" x14ac:dyDescent="0.4"/>
    <row r="22096" s="5" customFormat="1" x14ac:dyDescent="0.4"/>
    <row r="22097" s="5" customFormat="1" x14ac:dyDescent="0.4"/>
    <row r="22098" s="5" customFormat="1" x14ac:dyDescent="0.4"/>
    <row r="22099" s="5" customFormat="1" x14ac:dyDescent="0.4"/>
    <row r="22100" s="5" customFormat="1" x14ac:dyDescent="0.4"/>
    <row r="22101" s="5" customFormat="1" x14ac:dyDescent="0.4"/>
    <row r="22102" s="5" customFormat="1" x14ac:dyDescent="0.4"/>
    <row r="22103" s="5" customFormat="1" x14ac:dyDescent="0.4"/>
    <row r="22104" s="5" customFormat="1" x14ac:dyDescent="0.4"/>
    <row r="22105" s="5" customFormat="1" x14ac:dyDescent="0.4"/>
    <row r="22106" s="5" customFormat="1" x14ac:dyDescent="0.4"/>
    <row r="22107" s="5" customFormat="1" x14ac:dyDescent="0.4"/>
    <row r="22108" s="5" customFormat="1" x14ac:dyDescent="0.4"/>
    <row r="22109" s="5" customFormat="1" x14ac:dyDescent="0.4"/>
    <row r="22110" s="5" customFormat="1" x14ac:dyDescent="0.4"/>
    <row r="22111" s="5" customFormat="1" x14ac:dyDescent="0.4"/>
    <row r="22112" s="5" customFormat="1" x14ac:dyDescent="0.4"/>
    <row r="22113" s="5" customFormat="1" x14ac:dyDescent="0.4"/>
    <row r="22114" s="5" customFormat="1" x14ac:dyDescent="0.4"/>
    <row r="22115" s="5" customFormat="1" x14ac:dyDescent="0.4"/>
    <row r="22116" s="5" customFormat="1" x14ac:dyDescent="0.4"/>
    <row r="22117" s="5" customFormat="1" x14ac:dyDescent="0.4"/>
    <row r="22118" s="5" customFormat="1" x14ac:dyDescent="0.4"/>
    <row r="22119" s="5" customFormat="1" x14ac:dyDescent="0.4"/>
    <row r="22120" s="5" customFormat="1" x14ac:dyDescent="0.4"/>
    <row r="22121" s="5" customFormat="1" x14ac:dyDescent="0.4"/>
    <row r="22122" s="5" customFormat="1" x14ac:dyDescent="0.4"/>
    <row r="22123" s="5" customFormat="1" x14ac:dyDescent="0.4"/>
    <row r="22124" s="5" customFormat="1" x14ac:dyDescent="0.4"/>
    <row r="22125" s="5" customFormat="1" x14ac:dyDescent="0.4"/>
    <row r="22126" s="5" customFormat="1" x14ac:dyDescent="0.4"/>
    <row r="22127" s="5" customFormat="1" x14ac:dyDescent="0.4"/>
    <row r="22128" s="5" customFormat="1" x14ac:dyDescent="0.4"/>
    <row r="22129" s="5" customFormat="1" x14ac:dyDescent="0.4"/>
    <row r="22130" s="5" customFormat="1" x14ac:dyDescent="0.4"/>
    <row r="22131" s="5" customFormat="1" x14ac:dyDescent="0.4"/>
    <row r="22132" s="5" customFormat="1" x14ac:dyDescent="0.4"/>
    <row r="22133" s="5" customFormat="1" x14ac:dyDescent="0.4"/>
    <row r="22134" s="5" customFormat="1" x14ac:dyDescent="0.4"/>
    <row r="22135" s="5" customFormat="1" x14ac:dyDescent="0.4"/>
    <row r="22136" s="5" customFormat="1" x14ac:dyDescent="0.4"/>
    <row r="22137" s="5" customFormat="1" x14ac:dyDescent="0.4"/>
    <row r="22138" s="5" customFormat="1" x14ac:dyDescent="0.4"/>
    <row r="22139" s="5" customFormat="1" x14ac:dyDescent="0.4"/>
    <row r="22140" s="5" customFormat="1" x14ac:dyDescent="0.4"/>
    <row r="22141" s="5" customFormat="1" x14ac:dyDescent="0.4"/>
    <row r="22142" s="5" customFormat="1" x14ac:dyDescent="0.4"/>
    <row r="22143" s="5" customFormat="1" x14ac:dyDescent="0.4"/>
    <row r="22144" s="5" customFormat="1" x14ac:dyDescent="0.4"/>
    <row r="22145" s="5" customFormat="1" x14ac:dyDescent="0.4"/>
    <row r="22146" s="5" customFormat="1" x14ac:dyDescent="0.4"/>
  </sheetData>
  <mergeCells count="220">
    <mergeCell ref="B221:B222"/>
    <mergeCell ref="AE221:AE222"/>
    <mergeCell ref="AF221:AF222"/>
    <mergeCell ref="AG221:AG222"/>
    <mergeCell ref="AF716:AF717"/>
    <mergeCell ref="AG716:AG717"/>
    <mergeCell ref="V203:V205"/>
    <mergeCell ref="AF203:AF205"/>
    <mergeCell ref="AG203:AG205"/>
    <mergeCell ref="B219:B220"/>
    <mergeCell ref="AF219:AF220"/>
    <mergeCell ref="AG219:AG220"/>
    <mergeCell ref="V198:V200"/>
    <mergeCell ref="AF198:AF200"/>
    <mergeCell ref="AG198:AG200"/>
    <mergeCell ref="V201:V202"/>
    <mergeCell ref="AF201:AF202"/>
    <mergeCell ref="AG201:AG202"/>
    <mergeCell ref="V193:V194"/>
    <mergeCell ref="AF193:AF194"/>
    <mergeCell ref="AG193:AG194"/>
    <mergeCell ref="V196:V197"/>
    <mergeCell ref="AF196:AF197"/>
    <mergeCell ref="AG196:AG197"/>
    <mergeCell ref="V188:V189"/>
    <mergeCell ref="AF188:AF189"/>
    <mergeCell ref="AG188:AG189"/>
    <mergeCell ref="V190:V191"/>
    <mergeCell ref="AF190:AF191"/>
    <mergeCell ref="AG190:AG191"/>
    <mergeCell ref="V183:V185"/>
    <mergeCell ref="AF183:AF185"/>
    <mergeCell ref="AG183:AG185"/>
    <mergeCell ref="V186:V187"/>
    <mergeCell ref="AF186:AF187"/>
    <mergeCell ref="AG186:AG187"/>
    <mergeCell ref="V178:V179"/>
    <mergeCell ref="AF178:AF179"/>
    <mergeCell ref="AG178:AG179"/>
    <mergeCell ref="V180:V182"/>
    <mergeCell ref="AF180:AF182"/>
    <mergeCell ref="AG180:AG182"/>
    <mergeCell ref="V171:V173"/>
    <mergeCell ref="AF171:AF173"/>
    <mergeCell ref="AG171:AG173"/>
    <mergeCell ref="V174:V175"/>
    <mergeCell ref="AF174:AF175"/>
    <mergeCell ref="AG174:AG175"/>
    <mergeCell ref="V167:V168"/>
    <mergeCell ref="AF167:AF168"/>
    <mergeCell ref="AG167:AG168"/>
    <mergeCell ref="V169:V170"/>
    <mergeCell ref="AF169:AF170"/>
    <mergeCell ref="AG169:AG170"/>
    <mergeCell ref="B161:B162"/>
    <mergeCell ref="V161:V162"/>
    <mergeCell ref="AF161:AF162"/>
    <mergeCell ref="AG161:AG162"/>
    <mergeCell ref="V163:V165"/>
    <mergeCell ref="AF163:AF165"/>
    <mergeCell ref="AG163:AG165"/>
    <mergeCell ref="V153:V154"/>
    <mergeCell ref="AF153:AF154"/>
    <mergeCell ref="AG153:AG154"/>
    <mergeCell ref="V156:V157"/>
    <mergeCell ref="AF156:AF157"/>
    <mergeCell ref="AG156:AG157"/>
    <mergeCell ref="V147:V148"/>
    <mergeCell ref="AF147:AF148"/>
    <mergeCell ref="AG147:AG148"/>
    <mergeCell ref="V149:V151"/>
    <mergeCell ref="AF149:AF151"/>
    <mergeCell ref="AG149:AG151"/>
    <mergeCell ref="V142:V144"/>
    <mergeCell ref="AF142:AF144"/>
    <mergeCell ref="AG142:AG144"/>
    <mergeCell ref="V145:V146"/>
    <mergeCell ref="AF145:AF146"/>
    <mergeCell ref="AG145:AG146"/>
    <mergeCell ref="V138:V139"/>
    <mergeCell ref="AF138:AF139"/>
    <mergeCell ref="AG138:AG139"/>
    <mergeCell ref="V140:V141"/>
    <mergeCell ref="AF140:AF141"/>
    <mergeCell ref="AG140:AG141"/>
    <mergeCell ref="V132:V134"/>
    <mergeCell ref="AF132:AF134"/>
    <mergeCell ref="AG132:AG134"/>
    <mergeCell ref="V135:V137"/>
    <mergeCell ref="AF135:AF137"/>
    <mergeCell ref="AG135:AG137"/>
    <mergeCell ref="V126:V128"/>
    <mergeCell ref="AF126:AF128"/>
    <mergeCell ref="AG126:AG128"/>
    <mergeCell ref="V129:V131"/>
    <mergeCell ref="AF129:AF131"/>
    <mergeCell ref="AG129:AG131"/>
    <mergeCell ref="V119:V120"/>
    <mergeCell ref="AF119:AF120"/>
    <mergeCell ref="AG119:AG120"/>
    <mergeCell ref="V121:V125"/>
    <mergeCell ref="AF121:AF125"/>
    <mergeCell ref="AG121:AG125"/>
    <mergeCell ref="V113:V115"/>
    <mergeCell ref="AF113:AF115"/>
    <mergeCell ref="AG113:AG115"/>
    <mergeCell ref="V116:V118"/>
    <mergeCell ref="AF116:AF118"/>
    <mergeCell ref="AG116:AG118"/>
    <mergeCell ref="V108:V109"/>
    <mergeCell ref="AF108:AF109"/>
    <mergeCell ref="AG108:AG109"/>
    <mergeCell ref="V110:V112"/>
    <mergeCell ref="AF110:AF112"/>
    <mergeCell ref="AG110:AG112"/>
    <mergeCell ref="V102:V104"/>
    <mergeCell ref="AF102:AF104"/>
    <mergeCell ref="AG102:AG104"/>
    <mergeCell ref="V105:V107"/>
    <mergeCell ref="AF105:AF107"/>
    <mergeCell ref="AG105:AG107"/>
    <mergeCell ref="V96:V98"/>
    <mergeCell ref="AF96:AF98"/>
    <mergeCell ref="AG96:AG98"/>
    <mergeCell ref="V99:V101"/>
    <mergeCell ref="AF99:AF101"/>
    <mergeCell ref="AG99:AG101"/>
    <mergeCell ref="V92:V93"/>
    <mergeCell ref="AF92:AF93"/>
    <mergeCell ref="AG92:AG93"/>
    <mergeCell ref="V94:V95"/>
    <mergeCell ref="AF94:AF95"/>
    <mergeCell ref="AG94:AG95"/>
    <mergeCell ref="V88:V89"/>
    <mergeCell ref="AF88:AF89"/>
    <mergeCell ref="AG88:AG89"/>
    <mergeCell ref="J90:J91"/>
    <mergeCell ref="K90:K91"/>
    <mergeCell ref="V90:V91"/>
    <mergeCell ref="AF90:AF91"/>
    <mergeCell ref="AG90:AG91"/>
    <mergeCell ref="V83:V84"/>
    <mergeCell ref="AF83:AF84"/>
    <mergeCell ref="AG83:AG84"/>
    <mergeCell ref="V86:V87"/>
    <mergeCell ref="AF86:AF87"/>
    <mergeCell ref="AG86:AG87"/>
    <mergeCell ref="V79:V80"/>
    <mergeCell ref="AF79:AF80"/>
    <mergeCell ref="AG79:AG80"/>
    <mergeCell ref="V81:V82"/>
    <mergeCell ref="AF81:AF82"/>
    <mergeCell ref="AG81:AG82"/>
    <mergeCell ref="V75:V76"/>
    <mergeCell ref="AF75:AF76"/>
    <mergeCell ref="AG75:AG76"/>
    <mergeCell ref="V77:V78"/>
    <mergeCell ref="AF77:AF78"/>
    <mergeCell ref="AG77:AG78"/>
    <mergeCell ref="V70:V72"/>
    <mergeCell ref="AF70:AF72"/>
    <mergeCell ref="AG70:AG72"/>
    <mergeCell ref="V73:V74"/>
    <mergeCell ref="AF73:AF74"/>
    <mergeCell ref="AG73:AG74"/>
    <mergeCell ref="V64:V66"/>
    <mergeCell ref="AF64:AF66"/>
    <mergeCell ref="AG64:AG66"/>
    <mergeCell ref="V67:V69"/>
    <mergeCell ref="AF67:AF69"/>
    <mergeCell ref="AG67:AG69"/>
    <mergeCell ref="V60:V61"/>
    <mergeCell ref="AF60:AF61"/>
    <mergeCell ref="AG60:AG61"/>
    <mergeCell ref="V62:V63"/>
    <mergeCell ref="AF62:AF63"/>
    <mergeCell ref="AG62:AG63"/>
    <mergeCell ref="V54:V55"/>
    <mergeCell ref="AF54:AF55"/>
    <mergeCell ref="AG54:AG55"/>
    <mergeCell ref="V57:V59"/>
    <mergeCell ref="AF57:AF59"/>
    <mergeCell ref="AG57:AG59"/>
    <mergeCell ref="V45:V46"/>
    <mergeCell ref="AF45:AF46"/>
    <mergeCell ref="AG45:AG46"/>
    <mergeCell ref="V47:V48"/>
    <mergeCell ref="AF47:AF48"/>
    <mergeCell ref="AG47:AG48"/>
    <mergeCell ref="V36:V37"/>
    <mergeCell ref="AF36:AF37"/>
    <mergeCell ref="AG36:AG37"/>
    <mergeCell ref="V40:V41"/>
    <mergeCell ref="AF40:AF41"/>
    <mergeCell ref="AG40:AG41"/>
    <mergeCell ref="V29:V30"/>
    <mergeCell ref="AF29:AF30"/>
    <mergeCell ref="AG29:AG30"/>
    <mergeCell ref="V32:V33"/>
    <mergeCell ref="AF32:AF33"/>
    <mergeCell ref="AG32:AG33"/>
    <mergeCell ref="V24:V25"/>
    <mergeCell ref="AF24:AF25"/>
    <mergeCell ref="AG24:AG25"/>
    <mergeCell ref="V26:V28"/>
    <mergeCell ref="AF26:AF28"/>
    <mergeCell ref="AG26:AG28"/>
    <mergeCell ref="V18:V19"/>
    <mergeCell ref="AF18:AF19"/>
    <mergeCell ref="AG18:AG19"/>
    <mergeCell ref="V21:V22"/>
    <mergeCell ref="AF21:AF22"/>
    <mergeCell ref="AG21:AG22"/>
    <mergeCell ref="A1:AE1"/>
    <mergeCell ref="V7:V8"/>
    <mergeCell ref="AF7:AF8"/>
    <mergeCell ref="AG7:AG8"/>
    <mergeCell ref="V9:V11"/>
    <mergeCell ref="AF9:AF11"/>
    <mergeCell ref="AG9:AG11"/>
  </mergeCells>
  <conditionalFormatting sqref="D3:D214 D216:D1532">
    <cfRule type="duplicateValues" dxfId="4" priority="2"/>
  </conditionalFormatting>
  <conditionalFormatting sqref="D728:D1532">
    <cfRule type="duplicateValues" dxfId="3" priority="3" stopIfTrue="1"/>
  </conditionalFormatting>
  <conditionalFormatting sqref="E239:F239">
    <cfRule type="duplicateValues" dxfId="2" priority="1"/>
  </conditionalFormatting>
  <conditionalFormatting sqref="L3:L714 L720:L832">
    <cfRule type="duplicateValues" dxfId="1" priority="5"/>
  </conditionalFormatting>
  <conditionalFormatting sqref="L3:L714 L720:L152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Cecibel Chamba</dc:creator>
  <cp:lastModifiedBy>Cecibel Chamba</cp:lastModifiedBy>
  <dcterms:created xsi:type="dcterms:W3CDTF">2026-09-23T15:12:14Z</dcterms:created>
  <dcterms:modified xsi:type="dcterms:W3CDTF">2026-09-23T15:13:30Z</dcterms:modified>
</cp:coreProperties>
</file>